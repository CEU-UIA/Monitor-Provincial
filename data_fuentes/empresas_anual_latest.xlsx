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drawings/drawing26.xml" ContentType="application/vnd.openxmlformats-officedocument.drawing+xml"/>
  <Override PartName="/xl/drawings/drawing27.xml" ContentType="application/vnd.openxmlformats-officedocument.drawing+xml"/>
  <Override PartName="/xl/charts/chart9.xml" ContentType="application/vnd.openxmlformats-officedocument.drawingml.chart+xml"/>
  <Override PartName="/xl/charts/style1.xml" ContentType="application/vnd.ms-office.chartstyle+xml"/>
  <Override PartName="/xl/charts/colors1.xml" ContentType="application/vnd.ms-office.chartcolorstyle+xml"/>
  <Override PartName="/xl/charts/chart10.xml" ContentType="application/vnd.openxmlformats-officedocument.drawingml.chart+xml"/>
  <Override PartName="/xl/charts/style2.xml" ContentType="application/vnd.ms-office.chartstyle+xml"/>
  <Override PartName="/xl/charts/colors2.xml" ContentType="application/vnd.ms-office.chartcolorstyle+xml"/>
  <Override PartName="/xl/charts/chart11.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Y:\BOLETINES\Provinciales\"/>
    </mc:Choice>
  </mc:AlternateContent>
  <bookViews>
    <workbookView xWindow="480" yWindow="90" windowWidth="14460" windowHeight="6255"/>
  </bookViews>
  <sheets>
    <sheet name="Carátula" sheetId="38" r:id="rId1"/>
    <sheet name="Indice" sheetId="30" r:id="rId2"/>
    <sheet name="Metodología" sheetId="37" r:id="rId3"/>
    <sheet name="Partidos de GBA" sheetId="5" r:id="rId4"/>
    <sheet name="Capital Federal" sheetId="18" r:id="rId5"/>
    <sheet name="Resto de Buenos Aires" sheetId="6" r:id="rId6"/>
    <sheet name="Catamarca" sheetId="19" r:id="rId7"/>
    <sheet name="Cordoba" sheetId="7" r:id="rId8"/>
    <sheet name="Corrientes" sheetId="20" r:id="rId9"/>
    <sheet name="Chaco" sheetId="21" r:id="rId10"/>
    <sheet name="Chubut" sheetId="8" r:id="rId11"/>
    <sheet name="Entre Rios" sheetId="9" r:id="rId12"/>
    <sheet name="Formosa" sheetId="22" r:id="rId13"/>
    <sheet name="Jujuy" sheetId="10" r:id="rId14"/>
    <sheet name="La Pampa" sheetId="23" r:id="rId15"/>
    <sheet name="La Rioja" sheetId="11" r:id="rId16"/>
    <sheet name="Mendoza" sheetId="24" r:id="rId17"/>
    <sheet name="Misiones" sheetId="12" r:id="rId18"/>
    <sheet name="Neuquen" sheetId="25" r:id="rId19"/>
    <sheet name="Rio Negro" sheetId="13" r:id="rId20"/>
    <sheet name="San Juan" sheetId="14" r:id="rId21"/>
    <sheet name="Salta" sheetId="26" r:id="rId22"/>
    <sheet name="San Luis" sheetId="27" r:id="rId23"/>
    <sheet name="Santa Cruz" sheetId="15" r:id="rId24"/>
    <sheet name="Santa Fe" sheetId="28" r:id="rId25"/>
    <sheet name="Santiago del Estero" sheetId="16" r:id="rId26"/>
    <sheet name="Tucuman" sheetId="17" r:id="rId27"/>
    <sheet name="Tierra del Fuego" sheetId="29" r:id="rId28"/>
    <sheet name="Hoja1" sheetId="35" r:id="rId29"/>
  </sheets>
  <definedNames>
    <definedName name="_xlnm.Print_Area" localSheetId="4">'Capital Federal'!$A$1:$X$82</definedName>
    <definedName name="_xlnm.Print_Area" localSheetId="6">Catamarca!$A$1:$X$82</definedName>
    <definedName name="_xlnm.Print_Area" localSheetId="9">Chaco!$A$1:$X$82</definedName>
    <definedName name="_xlnm.Print_Area" localSheetId="11">'Entre Rios'!$A$1:$AF$82</definedName>
    <definedName name="_xlnm.Print_Area" localSheetId="13">Jujuy!$A$1:$AF$82</definedName>
    <definedName name="_xlnm.Print_Area" localSheetId="14">'La Pampa'!$A$1:$X$82</definedName>
    <definedName name="_xlnm.Print_Area" localSheetId="15">'La Rioja'!$1:$82</definedName>
    <definedName name="_xlnm.Print_Area" localSheetId="16">Mendoza!$A$1:$X$82</definedName>
    <definedName name="_xlnm.Print_Area" localSheetId="17">Misiones!$A$1:$AF$82</definedName>
    <definedName name="_xlnm.Print_Area" localSheetId="18">Neuquen!$A$1:$X$82</definedName>
    <definedName name="_xlnm.Print_Area" localSheetId="3">'Partidos de GBA'!$A$1:$AF$82</definedName>
    <definedName name="_xlnm.Print_Area" localSheetId="19">'Rio Negro'!$A$1:$AF$82</definedName>
    <definedName name="_xlnm.Print_Area" localSheetId="21">Salta!$A$1:$X$82</definedName>
    <definedName name="_xlnm.Print_Area" localSheetId="20">'San Juan'!$A$1:$AF$82</definedName>
    <definedName name="_xlnm.Print_Area" localSheetId="22">'San Luis'!$A$1:$X$82</definedName>
    <definedName name="_xlnm.Print_Area" localSheetId="23">'Santa Cruz'!$A$1:$AF$82</definedName>
    <definedName name="_xlnm.Print_Area" localSheetId="24">'Santa Fe'!$A$1:$X$82</definedName>
    <definedName name="_xlnm.Print_Area" localSheetId="25">'Santiago del Estero'!$A$1:$AF$82</definedName>
    <definedName name="_xlnm.Print_Area" localSheetId="27">'Tierra del Fuego'!$A$1:$X$82</definedName>
    <definedName name="OLE_LINK1" localSheetId="0">Carátula!$A$1</definedName>
    <definedName name="_xlnm.Print_Titles" localSheetId="4">'Capital Federal'!$A:$B</definedName>
    <definedName name="_xlnm.Print_Titles" localSheetId="6">Catamarca!$A:$B</definedName>
    <definedName name="_xlnm.Print_Titles" localSheetId="9">Chaco!$A:$B</definedName>
    <definedName name="_xlnm.Print_Titles" localSheetId="11">'Entre Rios'!$A:$B</definedName>
    <definedName name="_xlnm.Print_Titles" localSheetId="13">Jujuy!$A:$B</definedName>
    <definedName name="_xlnm.Print_Titles" localSheetId="14">'La Pampa'!$A:$B</definedName>
    <definedName name="_xlnm.Print_Titles" localSheetId="15">'La Rioja'!$CP:$CQ</definedName>
    <definedName name="_xlnm.Print_Titles" localSheetId="16">Mendoza!$A:$B</definedName>
    <definedName name="_xlnm.Print_Titles" localSheetId="17">Misiones!$A:$B</definedName>
    <definedName name="_xlnm.Print_Titles" localSheetId="18">Neuquen!$A:$B</definedName>
    <definedName name="_xlnm.Print_Titles" localSheetId="3">'Partidos de GBA'!$A:$B</definedName>
    <definedName name="_xlnm.Print_Titles" localSheetId="19">'Rio Negro'!$A:$B</definedName>
    <definedName name="_xlnm.Print_Titles" localSheetId="21">Salta!$A:$B</definedName>
    <definedName name="_xlnm.Print_Titles" localSheetId="20">'San Juan'!$A:$B</definedName>
    <definedName name="_xlnm.Print_Titles" localSheetId="22">'San Luis'!$A:$B</definedName>
    <definedName name="_xlnm.Print_Titles" localSheetId="23">'Santa Cruz'!$A:$B</definedName>
    <definedName name="_xlnm.Print_Titles" localSheetId="24">'Santa Fe'!$A:$B</definedName>
    <definedName name="_xlnm.Print_Titles" localSheetId="25">'Santiago del Estero'!$A:$B</definedName>
    <definedName name="_xlnm.Print_Titles" localSheetId="27">'Tierra del Fuego'!$A:$B</definedName>
  </definedNames>
  <calcPr calcId="162913"/>
</workbook>
</file>

<file path=xl/calcChain.xml><?xml version="1.0" encoding="utf-8"?>
<calcChain xmlns="http://schemas.openxmlformats.org/spreadsheetml/2006/main">
  <c r="DG86" i="35" l="1"/>
  <c r="DE86" i="35"/>
  <c r="DF86" i="35"/>
  <c r="DE89" i="35"/>
  <c r="DF89" i="35"/>
  <c r="DG89" i="35"/>
  <c r="CY89" i="35" l="1"/>
  <c r="DD86" i="35"/>
  <c r="DD89" i="35"/>
  <c r="DC86" i="35" l="1"/>
  <c r="DC89" i="35"/>
  <c r="DB86" i="35" l="1"/>
  <c r="DB89" i="35"/>
  <c r="CZ86" i="35" l="1"/>
  <c r="DA86" i="35"/>
  <c r="CZ89" i="35"/>
  <c r="DA89" i="35"/>
  <c r="CY86" i="35" l="1"/>
  <c r="CU89" i="35" l="1"/>
  <c r="CV89" i="35"/>
  <c r="CW89" i="35"/>
  <c r="CX89" i="35"/>
  <c r="CX86" i="35" l="1"/>
  <c r="CW86" i="35" l="1"/>
  <c r="CV86" i="35" l="1"/>
  <c r="CU86" i="35" l="1"/>
  <c r="CT89" i="35" l="1"/>
  <c r="CS89" i="35"/>
  <c r="CR89" i="35"/>
  <c r="CQ89" i="35"/>
  <c r="CP89" i="35"/>
  <c r="CO89" i="35"/>
  <c r="CN89" i="35"/>
  <c r="CM89" i="35"/>
  <c r="CL89" i="35"/>
  <c r="CK89" i="35"/>
  <c r="CJ89" i="35"/>
  <c r="CI89" i="35"/>
  <c r="CH89" i="35"/>
  <c r="CG89" i="35"/>
  <c r="CE89" i="35"/>
  <c r="CD89" i="35"/>
  <c r="CC89" i="35"/>
  <c r="CB89" i="35"/>
  <c r="CA89" i="35"/>
  <c r="BZ89" i="35"/>
  <c r="BY89" i="35"/>
  <c r="BX89" i="35"/>
  <c r="BW89" i="35"/>
  <c r="BV89" i="35"/>
  <c r="BU89" i="35"/>
  <c r="BT89" i="35"/>
  <c r="BS89" i="35"/>
  <c r="BR89" i="35"/>
  <c r="BQ89" i="35"/>
  <c r="BP89" i="35"/>
  <c r="BO89" i="35"/>
  <c r="BN89" i="35"/>
  <c r="BM89" i="35"/>
  <c r="BL89" i="35"/>
  <c r="BK89" i="35"/>
  <c r="BJ89" i="35"/>
  <c r="BI89" i="35"/>
  <c r="BH89" i="35"/>
  <c r="BG89" i="35"/>
  <c r="BF89" i="35"/>
  <c r="BE89" i="35"/>
  <c r="BD89" i="35"/>
  <c r="BC89" i="35"/>
  <c r="BB89" i="35"/>
  <c r="BA89" i="35"/>
  <c r="AZ89" i="35"/>
  <c r="AY89" i="35"/>
  <c r="AX89" i="35"/>
  <c r="AW89" i="35"/>
  <c r="AV89" i="35"/>
  <c r="AU89" i="35"/>
  <c r="AT89" i="35"/>
  <c r="AS89" i="35"/>
  <c r="AR89" i="35"/>
  <c r="AQ89" i="35"/>
  <c r="AP89" i="35"/>
  <c r="AO89" i="35"/>
  <c r="AN89" i="35"/>
  <c r="AM89" i="35"/>
  <c r="AL89" i="35"/>
  <c r="AK89" i="35"/>
  <c r="AJ89" i="35"/>
  <c r="AI89" i="35"/>
  <c r="AH89" i="35"/>
  <c r="AG89" i="35"/>
  <c r="AF89" i="35"/>
  <c r="AE89" i="35"/>
  <c r="AD89" i="35"/>
  <c r="AC89" i="35"/>
  <c r="AB89" i="35"/>
  <c r="AA89" i="35"/>
  <c r="Z89" i="35"/>
  <c r="Y89" i="35"/>
  <c r="X89" i="35"/>
  <c r="W89" i="35"/>
  <c r="V89" i="35"/>
  <c r="U89" i="35"/>
  <c r="T89" i="35"/>
  <c r="S89" i="35"/>
  <c r="R89" i="35"/>
  <c r="Q89" i="35"/>
  <c r="P89" i="35"/>
  <c r="O89" i="35"/>
  <c r="N89" i="35"/>
  <c r="M89" i="35"/>
  <c r="L89" i="35"/>
  <c r="K89" i="35"/>
  <c r="J89" i="35"/>
  <c r="I89" i="35"/>
  <c r="H89" i="35"/>
  <c r="G89" i="35"/>
  <c r="F89" i="35"/>
  <c r="E89" i="35"/>
  <c r="D89" i="35"/>
  <c r="CF89" i="35"/>
  <c r="CB86" i="35"/>
  <c r="CC86" i="35"/>
  <c r="CD86" i="35"/>
  <c r="CE86" i="35"/>
  <c r="CF86" i="35"/>
  <c r="CG86" i="35"/>
  <c r="CH86" i="35"/>
  <c r="CI86" i="35"/>
  <c r="CJ86" i="35"/>
  <c r="CK86" i="35"/>
  <c r="CL86" i="35"/>
  <c r="CM86" i="35"/>
  <c r="CN86" i="35"/>
  <c r="CO86" i="35"/>
  <c r="CP86" i="35"/>
  <c r="CQ86" i="35"/>
  <c r="CR86" i="35"/>
  <c r="CS86" i="35"/>
  <c r="CT86" i="35"/>
  <c r="BK120" i="35" l="1"/>
  <c r="BL120" i="35"/>
  <c r="BM120" i="35"/>
  <c r="BN120" i="35"/>
  <c r="BO120" i="35"/>
  <c r="BP120" i="35"/>
  <c r="BQ120" i="35"/>
  <c r="BR120" i="35"/>
  <c r="BS120" i="35"/>
  <c r="BT120" i="35"/>
  <c r="BU120" i="35"/>
  <c r="BV120" i="35"/>
  <c r="BW120" i="35"/>
  <c r="AU40" i="35" l="1"/>
  <c r="BT40" i="35"/>
  <c r="AZ40" i="35"/>
  <c r="CE40" i="35"/>
  <c r="T40" i="35"/>
  <c r="BL40" i="35"/>
  <c r="AC40" i="35"/>
  <c r="AH40" i="35"/>
  <c r="AM40" i="35"/>
  <c r="BS40" i="35"/>
  <c r="BK40" i="35"/>
  <c r="S40" i="35"/>
  <c r="BH40" i="35"/>
  <c r="CI7" i="35"/>
  <c r="AB40" i="35"/>
  <c r="AG40" i="35"/>
  <c r="DC77" i="35"/>
  <c r="CZ49" i="35"/>
  <c r="CZ50" i="35"/>
  <c r="DA49" i="35"/>
  <c r="DA50" i="35"/>
  <c r="CZ68" i="35"/>
  <c r="CZ69" i="35"/>
  <c r="DD49" i="35"/>
  <c r="DD50" i="35"/>
  <c r="CZ59" i="35"/>
  <c r="DA68" i="35"/>
  <c r="DA69" i="35"/>
  <c r="DC49" i="35"/>
  <c r="DC50" i="35"/>
  <c r="DA59" i="35"/>
  <c r="DD68" i="35"/>
  <c r="DD69" i="35"/>
  <c r="DB49" i="35"/>
  <c r="DB50" i="35"/>
  <c r="CZ70" i="35"/>
  <c r="CZ71" i="35"/>
  <c r="DF59" i="35"/>
  <c r="DB68" i="35"/>
  <c r="DB69" i="35"/>
  <c r="DE49" i="35"/>
  <c r="DE50" i="35"/>
  <c r="DA71" i="35"/>
  <c r="DA70" i="35"/>
  <c r="DE59" i="35"/>
  <c r="CZ43" i="35"/>
  <c r="CZ44" i="35"/>
  <c r="DC68" i="35"/>
  <c r="DC69" i="35"/>
  <c r="DF49" i="35"/>
  <c r="DF50" i="35"/>
  <c r="DD70" i="35"/>
  <c r="DD71" i="35"/>
  <c r="DD59" i="35"/>
  <c r="DA43" i="35"/>
  <c r="DA44" i="35"/>
  <c r="DF68" i="35"/>
  <c r="DF69" i="35"/>
  <c r="DG50" i="35"/>
  <c r="DG49" i="35"/>
  <c r="DC70" i="35"/>
  <c r="DC71" i="35"/>
  <c r="DC59" i="35"/>
  <c r="DF43" i="35"/>
  <c r="DF44" i="35"/>
  <c r="DE69" i="35"/>
  <c r="DE68" i="35"/>
  <c r="CZ47" i="35"/>
  <c r="CZ46" i="35"/>
  <c r="DB70" i="35"/>
  <c r="DB71" i="35"/>
  <c r="DB59" i="35"/>
  <c r="DD43" i="35"/>
  <c r="DD44" i="35"/>
  <c r="DG68" i="35"/>
  <c r="DG69" i="35"/>
  <c r="DA47" i="35"/>
  <c r="DA46" i="35"/>
  <c r="CZ60" i="35"/>
  <c r="DF70" i="35"/>
  <c r="DF71" i="35"/>
  <c r="DG59" i="35"/>
  <c r="DB43" i="35"/>
  <c r="DB44" i="35"/>
  <c r="DD47" i="35"/>
  <c r="DC46" i="35"/>
  <c r="DA60" i="35"/>
  <c r="DE70" i="35"/>
  <c r="DE71" i="35"/>
  <c r="DE43" i="35"/>
  <c r="DE44" i="35"/>
  <c r="DE47" i="35"/>
  <c r="DE46" i="35"/>
  <c r="DC60" i="35"/>
  <c r="DG70" i="35"/>
  <c r="DG71" i="35"/>
  <c r="DC43" i="35"/>
  <c r="DC44" i="35"/>
  <c r="DF47" i="35"/>
  <c r="CZ48" i="35"/>
  <c r="DF46" i="35"/>
  <c r="DE60" i="35"/>
  <c r="CZ58" i="35"/>
  <c r="DG43" i="35"/>
  <c r="DG44" i="35"/>
  <c r="DC47" i="35"/>
  <c r="DA48" i="35"/>
  <c r="DB46" i="35"/>
  <c r="DD60" i="35"/>
  <c r="DA58" i="35"/>
  <c r="CZ77" i="35"/>
  <c r="BE40" i="35"/>
  <c r="BJ40" i="35"/>
  <c r="BN40" i="35"/>
  <c r="DB47" i="35"/>
  <c r="DF48" i="35"/>
  <c r="DD46" i="35"/>
  <c r="DB60" i="35"/>
  <c r="DD58" i="35"/>
  <c r="DA77" i="35"/>
  <c r="DG47" i="35"/>
  <c r="DE48" i="35"/>
  <c r="DG46" i="35"/>
  <c r="DF60" i="35"/>
  <c r="DC58" i="35"/>
  <c r="DC48" i="35"/>
  <c r="DG60" i="35"/>
  <c r="DF58" i="35"/>
  <c r="DE77" i="35"/>
  <c r="DD48" i="35"/>
  <c r="DE58" i="35"/>
  <c r="DB77" i="35"/>
  <c r="DB48" i="35"/>
  <c r="DB58" i="35"/>
  <c r="DD77" i="35"/>
  <c r="DG48" i="35"/>
  <c r="DG58" i="35"/>
  <c r="AJ7" i="35"/>
  <c r="CF40" i="35"/>
  <c r="AI7" i="35"/>
  <c r="BO7" i="35"/>
  <c r="CI40" i="35"/>
  <c r="AR7" i="35"/>
  <c r="CW7" i="35"/>
  <c r="BW7" i="35"/>
  <c r="BC7" i="35"/>
  <c r="CE77" i="35"/>
  <c r="BO77" i="35"/>
  <c r="BO99" i="35" s="1"/>
  <c r="AY77" i="35"/>
  <c r="AI77" i="35"/>
  <c r="S77" i="35"/>
  <c r="BR77" i="35"/>
  <c r="BR99" i="35" s="1"/>
  <c r="BB77" i="35"/>
  <c r="AL77" i="35"/>
  <c r="V77" i="35"/>
  <c r="BU77" i="35"/>
  <c r="BE77" i="35"/>
  <c r="AO77" i="35"/>
  <c r="Y77" i="35"/>
  <c r="BX77" i="35"/>
  <c r="BX99" i="35" s="1"/>
  <c r="BH77" i="35"/>
  <c r="BH82" i="35" s="1"/>
  <c r="BH83" i="35" s="1"/>
  <c r="AR77" i="35"/>
  <c r="AB77" i="35"/>
  <c r="CO77" i="35"/>
  <c r="CM77" i="35"/>
  <c r="CR77" i="35"/>
  <c r="CU77" i="35"/>
  <c r="CY77" i="35"/>
  <c r="N43" i="35"/>
  <c r="N44" i="35"/>
  <c r="AD43" i="35"/>
  <c r="AD44" i="35"/>
  <c r="AT43" i="35"/>
  <c r="AT44" i="35"/>
  <c r="BJ43" i="35"/>
  <c r="BJ44" i="35"/>
  <c r="BZ44" i="35"/>
  <c r="BZ43" i="35"/>
  <c r="O43" i="35"/>
  <c r="O44" i="35"/>
  <c r="AE43" i="35"/>
  <c r="AE44" i="35"/>
  <c r="AU43" i="35"/>
  <c r="AU44" i="35"/>
  <c r="BK44" i="35"/>
  <c r="BK43" i="35"/>
  <c r="CA43" i="35"/>
  <c r="CA44" i="35"/>
  <c r="L43" i="35"/>
  <c r="L44" i="35"/>
  <c r="AB43" i="35"/>
  <c r="AB44" i="35"/>
  <c r="AR43" i="35"/>
  <c r="AR44" i="35"/>
  <c r="BH43" i="35"/>
  <c r="BH44" i="35"/>
  <c r="BX44" i="35"/>
  <c r="BX43" i="35"/>
  <c r="E43" i="35"/>
  <c r="E44" i="35"/>
  <c r="U43" i="35"/>
  <c r="U44" i="35"/>
  <c r="AK43" i="35"/>
  <c r="AK44" i="35"/>
  <c r="BA43" i="35"/>
  <c r="BA44" i="35"/>
  <c r="BQ44" i="35"/>
  <c r="BQ43" i="35"/>
  <c r="CG44" i="35"/>
  <c r="CG43" i="35"/>
  <c r="CM43" i="35"/>
  <c r="CM44" i="35"/>
  <c r="CK43" i="35"/>
  <c r="CK44" i="35"/>
  <c r="CS43" i="35"/>
  <c r="CS44" i="35"/>
  <c r="CW44" i="35"/>
  <c r="CW43" i="35"/>
  <c r="O68" i="35"/>
  <c r="O69" i="35"/>
  <c r="AE68" i="35"/>
  <c r="AE69" i="35"/>
  <c r="AU68" i="35"/>
  <c r="AU69" i="35"/>
  <c r="BK68" i="35"/>
  <c r="BK69" i="35"/>
  <c r="CA68" i="35"/>
  <c r="CA69" i="35"/>
  <c r="L68" i="35"/>
  <c r="L69" i="35"/>
  <c r="AB68" i="35"/>
  <c r="AB69" i="35"/>
  <c r="AR68" i="35"/>
  <c r="AR69" i="35"/>
  <c r="BH68" i="35"/>
  <c r="BH69" i="35"/>
  <c r="BX69" i="35"/>
  <c r="BX68" i="35"/>
  <c r="E68" i="35"/>
  <c r="E69" i="35"/>
  <c r="U68" i="35"/>
  <c r="U69" i="35"/>
  <c r="AK68" i="35"/>
  <c r="AK69" i="35"/>
  <c r="BA68" i="35"/>
  <c r="BA69" i="35"/>
  <c r="BQ69" i="35"/>
  <c r="BQ68" i="35"/>
  <c r="CG68" i="35"/>
  <c r="CG69" i="35"/>
  <c r="R68" i="35"/>
  <c r="R69" i="35"/>
  <c r="AH68" i="35"/>
  <c r="AH69" i="35"/>
  <c r="AX68" i="35"/>
  <c r="AX69" i="35"/>
  <c r="BN69" i="35"/>
  <c r="BN68" i="35"/>
  <c r="CD69" i="35"/>
  <c r="CD68" i="35"/>
  <c r="CL68" i="35"/>
  <c r="CL69" i="35"/>
  <c r="CJ68" i="35"/>
  <c r="CJ69" i="35"/>
  <c r="CS69" i="35"/>
  <c r="CS68" i="35"/>
  <c r="CW68" i="35"/>
  <c r="CW69" i="35"/>
  <c r="G59" i="35"/>
  <c r="W59" i="35"/>
  <c r="AM59" i="35"/>
  <c r="BC59" i="35"/>
  <c r="BS59" i="35"/>
  <c r="D59" i="35"/>
  <c r="T59" i="35"/>
  <c r="AJ59" i="35"/>
  <c r="AZ59" i="35"/>
  <c r="BP59" i="35"/>
  <c r="CF59" i="35"/>
  <c r="M59" i="35"/>
  <c r="AC59" i="35"/>
  <c r="AS59" i="35"/>
  <c r="BI59" i="35"/>
  <c r="BY59" i="35"/>
  <c r="J59" i="35"/>
  <c r="Z59" i="35"/>
  <c r="AP59" i="35"/>
  <c r="BF59" i="35"/>
  <c r="BV59" i="35"/>
  <c r="CM59" i="35"/>
  <c r="CK59" i="35"/>
  <c r="CQ59" i="35"/>
  <c r="CU59" i="35"/>
  <c r="CY59" i="35"/>
  <c r="E49" i="35"/>
  <c r="E50" i="35"/>
  <c r="U49" i="35"/>
  <c r="U50" i="35"/>
  <c r="AK49" i="35"/>
  <c r="AK50" i="35"/>
  <c r="BA49" i="35"/>
  <c r="BA50" i="35"/>
  <c r="BQ49" i="35"/>
  <c r="BQ50" i="35"/>
  <c r="CG50" i="35"/>
  <c r="CG49" i="35"/>
  <c r="R49" i="35"/>
  <c r="R50" i="35"/>
  <c r="AH49" i="35"/>
  <c r="AH50" i="35"/>
  <c r="AX49" i="35"/>
  <c r="AX50" i="35"/>
  <c r="BN50" i="35"/>
  <c r="BN49" i="35"/>
  <c r="CD50" i="35"/>
  <c r="CD49" i="35"/>
  <c r="S49" i="35"/>
  <c r="S50" i="35"/>
  <c r="AI49" i="35"/>
  <c r="AI50" i="35"/>
  <c r="AY49" i="35"/>
  <c r="AY50" i="35"/>
  <c r="BO49" i="35"/>
  <c r="BO50" i="35"/>
  <c r="CE50" i="35"/>
  <c r="CE49" i="35"/>
  <c r="L49" i="35"/>
  <c r="L50" i="35"/>
  <c r="AB49" i="35"/>
  <c r="AB50" i="35"/>
  <c r="AR49" i="35"/>
  <c r="AR50" i="35"/>
  <c r="BH49" i="35"/>
  <c r="BH50" i="35"/>
  <c r="BX49" i="35"/>
  <c r="BX50" i="35"/>
  <c r="CN49" i="35"/>
  <c r="CN50" i="35"/>
  <c r="CL49" i="35"/>
  <c r="CL50" i="35"/>
  <c r="CQ50" i="35"/>
  <c r="CQ49" i="35"/>
  <c r="CU50" i="35"/>
  <c r="CU49" i="35"/>
  <c r="CY49" i="35"/>
  <c r="CY50" i="35"/>
  <c r="M58" i="35"/>
  <c r="AC58" i="35"/>
  <c r="AS58" i="35"/>
  <c r="BI58" i="35"/>
  <c r="BY58" i="35"/>
  <c r="F58" i="35"/>
  <c r="V58" i="35"/>
  <c r="AL58" i="35"/>
  <c r="BB58" i="35"/>
  <c r="BR58" i="35"/>
  <c r="G58" i="35"/>
  <c r="W58" i="35"/>
  <c r="AM58" i="35"/>
  <c r="BC58" i="35"/>
  <c r="BS58" i="35"/>
  <c r="D58" i="35"/>
  <c r="T58" i="35"/>
  <c r="AJ58" i="35"/>
  <c r="AZ58" i="35"/>
  <c r="BP58" i="35"/>
  <c r="CF58" i="35"/>
  <c r="CK58" i="35"/>
  <c r="CI58" i="35"/>
  <c r="CS58" i="35"/>
  <c r="CW58" i="35"/>
  <c r="M60" i="35"/>
  <c r="AC60" i="35"/>
  <c r="AS60" i="35"/>
  <c r="BI60" i="35"/>
  <c r="BY60" i="35"/>
  <c r="J60" i="35"/>
  <c r="Z60" i="35"/>
  <c r="AP60" i="35"/>
  <c r="BF60" i="35"/>
  <c r="BV60" i="35"/>
  <c r="K60" i="35"/>
  <c r="AA60" i="35"/>
  <c r="AQ60" i="35"/>
  <c r="BG60" i="35"/>
  <c r="BW60" i="35"/>
  <c r="D60" i="35"/>
  <c r="T60" i="35"/>
  <c r="AJ60" i="35"/>
  <c r="AZ60" i="35"/>
  <c r="BP60" i="35"/>
  <c r="CF60" i="35"/>
  <c r="CM60" i="35"/>
  <c r="CK60" i="35"/>
  <c r="CS60" i="35"/>
  <c r="CW60" i="35"/>
  <c r="D10" i="35"/>
  <c r="D48" i="35"/>
  <c r="T48" i="35"/>
  <c r="AJ48" i="35"/>
  <c r="AZ48" i="35"/>
  <c r="BP48" i="35"/>
  <c r="CF48" i="35"/>
  <c r="Q48" i="35"/>
  <c r="AG48" i="35"/>
  <c r="AW48" i="35"/>
  <c r="BM48" i="35"/>
  <c r="CC48" i="35"/>
  <c r="J48" i="35"/>
  <c r="Z48" i="35"/>
  <c r="AP48" i="35"/>
  <c r="BF48" i="35"/>
  <c r="BV48" i="35"/>
  <c r="K48" i="35"/>
  <c r="AA48" i="35"/>
  <c r="AQ48" i="35"/>
  <c r="BG48" i="35"/>
  <c r="BW48" i="35"/>
  <c r="CM48" i="35"/>
  <c r="CK48" i="35"/>
  <c r="CQ48" i="35"/>
  <c r="CU48" i="35"/>
  <c r="CY48" i="35"/>
  <c r="P46" i="35"/>
  <c r="AF46" i="35"/>
  <c r="AV46" i="35"/>
  <c r="BL46" i="35"/>
  <c r="CB46" i="35"/>
  <c r="M46" i="35"/>
  <c r="AC46" i="35"/>
  <c r="AS46" i="35"/>
  <c r="BI46" i="35"/>
  <c r="BY46" i="35"/>
  <c r="J46" i="35"/>
  <c r="Z46" i="35"/>
  <c r="AP46" i="35"/>
  <c r="BF46" i="35"/>
  <c r="BV46" i="35"/>
  <c r="K46" i="35"/>
  <c r="AA46" i="35"/>
  <c r="AQ46" i="35"/>
  <c r="BG46" i="35"/>
  <c r="BW46" i="35"/>
  <c r="CO46" i="35"/>
  <c r="CM46" i="35"/>
  <c r="CR46" i="35"/>
  <c r="CU46" i="35"/>
  <c r="CY46" i="35"/>
  <c r="M70" i="35"/>
  <c r="M71" i="35"/>
  <c r="AC70" i="35"/>
  <c r="AC71" i="35"/>
  <c r="AS70" i="35"/>
  <c r="AS71" i="35"/>
  <c r="BI70" i="35"/>
  <c r="BI71" i="35"/>
  <c r="BY71" i="35"/>
  <c r="BY70" i="35"/>
  <c r="J70" i="35"/>
  <c r="J71" i="35"/>
  <c r="Z70" i="35"/>
  <c r="Z71" i="35"/>
  <c r="AP70" i="35"/>
  <c r="AP71" i="35"/>
  <c r="BF70" i="35"/>
  <c r="BF71" i="35"/>
  <c r="BV70" i="35"/>
  <c r="BV71" i="35"/>
  <c r="K70" i="35"/>
  <c r="K71" i="35"/>
  <c r="AA70" i="35"/>
  <c r="AA71" i="35"/>
  <c r="AQ70" i="35"/>
  <c r="AQ71" i="35"/>
  <c r="BG70" i="35"/>
  <c r="BG71" i="35"/>
  <c r="BW71" i="35"/>
  <c r="BW70" i="35"/>
  <c r="D70" i="35"/>
  <c r="D71" i="35"/>
  <c r="T70" i="35"/>
  <c r="T71" i="35"/>
  <c r="AJ70" i="35"/>
  <c r="AJ71" i="35"/>
  <c r="AZ70" i="35"/>
  <c r="AZ71" i="35"/>
  <c r="BP71" i="35"/>
  <c r="BP70" i="35"/>
  <c r="CF70" i="35"/>
  <c r="CF71" i="35"/>
  <c r="CM70" i="35"/>
  <c r="CM71" i="35"/>
  <c r="CK70" i="35"/>
  <c r="CK71" i="35"/>
  <c r="CS70" i="35"/>
  <c r="CS71" i="35"/>
  <c r="CW71" i="35"/>
  <c r="CW70" i="35"/>
  <c r="F47" i="35"/>
  <c r="V47" i="35"/>
  <c r="AL47" i="35"/>
  <c r="BB47" i="35"/>
  <c r="BR47" i="35"/>
  <c r="S47" i="35"/>
  <c r="AI47" i="35"/>
  <c r="AY47" i="35"/>
  <c r="BO47" i="35"/>
  <c r="CE47" i="35"/>
  <c r="P47" i="35"/>
  <c r="AF47" i="35"/>
  <c r="AV47" i="35"/>
  <c r="BL47" i="35"/>
  <c r="CB47" i="35"/>
  <c r="M47" i="35"/>
  <c r="AC47" i="35"/>
  <c r="AS47" i="35"/>
  <c r="BI47" i="35"/>
  <c r="BY47" i="35"/>
  <c r="CL47" i="35"/>
  <c r="CJ47" i="35"/>
  <c r="CQ47" i="35"/>
  <c r="CU47" i="35"/>
  <c r="CY47" i="35"/>
  <c r="CA77" i="35"/>
  <c r="CA99" i="35" s="1"/>
  <c r="BK77" i="35"/>
  <c r="AU77" i="35"/>
  <c r="AE77" i="35"/>
  <c r="CD77" i="35"/>
  <c r="BN77" i="35"/>
  <c r="AX77" i="35"/>
  <c r="AH77" i="35"/>
  <c r="CG77" i="35"/>
  <c r="BQ77" i="35"/>
  <c r="BQ99" i="35" s="1"/>
  <c r="BA77" i="35"/>
  <c r="AK77" i="35"/>
  <c r="U77" i="35"/>
  <c r="BT77" i="35"/>
  <c r="BD77" i="35"/>
  <c r="AN77" i="35"/>
  <c r="X77" i="35"/>
  <c r="CK77" i="35"/>
  <c r="CI77" i="35"/>
  <c r="CQ77" i="35"/>
  <c r="CV77" i="35"/>
  <c r="R43" i="35"/>
  <c r="R44" i="35"/>
  <c r="AH43" i="35"/>
  <c r="AH44" i="35"/>
  <c r="AX43" i="35"/>
  <c r="AX44" i="35"/>
  <c r="BN43" i="35"/>
  <c r="BN44" i="35"/>
  <c r="CD44" i="35"/>
  <c r="CD43" i="35"/>
  <c r="S43" i="35"/>
  <c r="S44" i="35"/>
  <c r="AI43" i="35"/>
  <c r="AI44" i="35"/>
  <c r="AY43" i="35"/>
  <c r="AY44" i="35"/>
  <c r="BO44" i="35"/>
  <c r="BO43" i="35"/>
  <c r="CE44" i="35"/>
  <c r="CE43" i="35"/>
  <c r="P43" i="35"/>
  <c r="P44" i="35"/>
  <c r="AF43" i="35"/>
  <c r="AF44" i="35"/>
  <c r="AV43" i="35"/>
  <c r="AV44" i="35"/>
  <c r="BL43" i="35"/>
  <c r="BL44" i="35"/>
  <c r="CB43" i="35"/>
  <c r="CB44" i="35"/>
  <c r="I43" i="35"/>
  <c r="I44" i="35"/>
  <c r="Y43" i="35"/>
  <c r="Y44" i="35"/>
  <c r="AO43" i="35"/>
  <c r="AO44" i="35"/>
  <c r="BE43" i="35"/>
  <c r="BE44" i="35"/>
  <c r="BU44" i="35"/>
  <c r="BU43" i="35"/>
  <c r="CH44" i="35"/>
  <c r="CH43" i="35"/>
  <c r="CI43" i="35"/>
  <c r="CI44" i="35"/>
  <c r="CP43" i="35"/>
  <c r="CP44" i="35"/>
  <c r="CT44" i="35"/>
  <c r="CT43" i="35"/>
  <c r="CX44" i="35"/>
  <c r="CX43" i="35"/>
  <c r="S68" i="35"/>
  <c r="S69" i="35"/>
  <c r="AI68" i="35"/>
  <c r="AI69" i="35"/>
  <c r="AY68" i="35"/>
  <c r="AY69" i="35"/>
  <c r="BO69" i="35"/>
  <c r="BO68" i="35"/>
  <c r="CE69" i="35"/>
  <c r="CE68" i="35"/>
  <c r="P68" i="35"/>
  <c r="P69" i="35"/>
  <c r="AF68" i="35"/>
  <c r="AF69" i="35"/>
  <c r="AV68" i="35"/>
  <c r="AV69" i="35"/>
  <c r="BL68" i="35"/>
  <c r="BL69" i="35"/>
  <c r="CB68" i="35"/>
  <c r="CB69" i="35"/>
  <c r="I68" i="35"/>
  <c r="I69" i="35"/>
  <c r="Y68" i="35"/>
  <c r="Y69" i="35"/>
  <c r="AO68" i="35"/>
  <c r="AO69" i="35"/>
  <c r="BE68" i="35"/>
  <c r="BE69" i="35"/>
  <c r="BU69" i="35"/>
  <c r="BU68" i="35"/>
  <c r="F68" i="35"/>
  <c r="F69" i="35"/>
  <c r="V68" i="35"/>
  <c r="V69" i="35"/>
  <c r="AL68" i="35"/>
  <c r="AL69" i="35"/>
  <c r="BB68" i="35"/>
  <c r="BB69" i="35"/>
  <c r="BR68" i="35"/>
  <c r="BR69" i="35"/>
  <c r="CH69" i="35"/>
  <c r="CH68" i="35"/>
  <c r="CO68" i="35"/>
  <c r="CO69" i="35"/>
  <c r="CP68" i="35"/>
  <c r="CP69" i="35"/>
  <c r="CT69" i="35"/>
  <c r="CT68" i="35"/>
  <c r="CX68" i="35"/>
  <c r="CX69" i="35"/>
  <c r="K59" i="35"/>
  <c r="AA59" i="35"/>
  <c r="AQ59" i="35"/>
  <c r="BG59" i="35"/>
  <c r="BW59" i="35"/>
  <c r="H59" i="35"/>
  <c r="X59" i="35"/>
  <c r="AN59" i="35"/>
  <c r="BD59" i="35"/>
  <c r="BT59" i="35"/>
  <c r="Q59" i="35"/>
  <c r="AG59" i="35"/>
  <c r="AW59" i="35"/>
  <c r="BM59" i="35"/>
  <c r="CC59" i="35"/>
  <c r="N59" i="35"/>
  <c r="AD59" i="35"/>
  <c r="AT59" i="35"/>
  <c r="BJ59" i="35"/>
  <c r="BZ59" i="35"/>
  <c r="CI59" i="35"/>
  <c r="CN59" i="35"/>
  <c r="CR59" i="35"/>
  <c r="CV59" i="35"/>
  <c r="I49" i="35"/>
  <c r="I50" i="35"/>
  <c r="Y49" i="35"/>
  <c r="Y50" i="35"/>
  <c r="AO49" i="35"/>
  <c r="AO50" i="35"/>
  <c r="BE49" i="35"/>
  <c r="BE50" i="35"/>
  <c r="BU49" i="35"/>
  <c r="BU50" i="35"/>
  <c r="F49" i="35"/>
  <c r="F50" i="35"/>
  <c r="V49" i="35"/>
  <c r="V50" i="35"/>
  <c r="AL49" i="35"/>
  <c r="AL50" i="35"/>
  <c r="BB49" i="35"/>
  <c r="BB50" i="35"/>
  <c r="BR49" i="35"/>
  <c r="BR50" i="35"/>
  <c r="G49" i="35"/>
  <c r="G50" i="35"/>
  <c r="W49" i="35"/>
  <c r="W50" i="35"/>
  <c r="AM49" i="35"/>
  <c r="AM50" i="35"/>
  <c r="BC49" i="35"/>
  <c r="BC50" i="35"/>
  <c r="BS49" i="35"/>
  <c r="BS50" i="35"/>
  <c r="P49" i="35"/>
  <c r="P50" i="35"/>
  <c r="AF49" i="35"/>
  <c r="AF50" i="35"/>
  <c r="AV49" i="35"/>
  <c r="AV50" i="35"/>
  <c r="BL50" i="35"/>
  <c r="BL49" i="35"/>
  <c r="CB49" i="35"/>
  <c r="CB50" i="35"/>
  <c r="CJ49" i="35"/>
  <c r="CJ50" i="35"/>
  <c r="CO49" i="35"/>
  <c r="CO50" i="35"/>
  <c r="CR49" i="35"/>
  <c r="CR50" i="35"/>
  <c r="CV50" i="35"/>
  <c r="CV49" i="35"/>
  <c r="Q58" i="35"/>
  <c r="AG58" i="35"/>
  <c r="AW58" i="35"/>
  <c r="BM58" i="35"/>
  <c r="CC58" i="35"/>
  <c r="J58" i="35"/>
  <c r="Z58" i="35"/>
  <c r="AP58" i="35"/>
  <c r="BF58" i="35"/>
  <c r="BV58" i="35"/>
  <c r="K58" i="35"/>
  <c r="AA58" i="35"/>
  <c r="AQ58" i="35"/>
  <c r="BG58" i="35"/>
  <c r="BW58" i="35"/>
  <c r="H58" i="35"/>
  <c r="X58" i="35"/>
  <c r="AN58" i="35"/>
  <c r="BD58" i="35"/>
  <c r="BT58" i="35"/>
  <c r="CH58" i="35"/>
  <c r="CN58" i="35"/>
  <c r="CP58" i="35"/>
  <c r="CT58" i="35"/>
  <c r="CX58" i="35"/>
  <c r="Q60" i="35"/>
  <c r="AG60" i="35"/>
  <c r="AW60" i="35"/>
  <c r="BM60" i="35"/>
  <c r="CC60" i="35"/>
  <c r="N60" i="35"/>
  <c r="AD60" i="35"/>
  <c r="AT60" i="35"/>
  <c r="BJ60" i="35"/>
  <c r="BZ60" i="35"/>
  <c r="O60" i="35"/>
  <c r="AE60" i="35"/>
  <c r="AU60" i="35"/>
  <c r="BK60" i="35"/>
  <c r="CA60" i="35"/>
  <c r="H60" i="35"/>
  <c r="X60" i="35"/>
  <c r="AN60" i="35"/>
  <c r="BD60" i="35"/>
  <c r="BT60" i="35"/>
  <c r="CH60" i="35"/>
  <c r="CI60" i="35"/>
  <c r="CP60" i="35"/>
  <c r="CT60" i="35"/>
  <c r="CX60" i="35"/>
  <c r="E10" i="35"/>
  <c r="H48" i="35"/>
  <c r="X48" i="35"/>
  <c r="AN48" i="35"/>
  <c r="BD48" i="35"/>
  <c r="BT48" i="35"/>
  <c r="E48" i="35"/>
  <c r="U48" i="35"/>
  <c r="AK48" i="35"/>
  <c r="BA48" i="35"/>
  <c r="BQ48" i="35"/>
  <c r="CG48" i="35"/>
  <c r="N48" i="35"/>
  <c r="AD48" i="35"/>
  <c r="AT48" i="35"/>
  <c r="BJ48" i="35"/>
  <c r="BZ48" i="35"/>
  <c r="O48" i="35"/>
  <c r="AE48" i="35"/>
  <c r="AU48" i="35"/>
  <c r="BK48" i="35"/>
  <c r="CA48" i="35"/>
  <c r="CI48" i="35"/>
  <c r="CN48" i="35"/>
  <c r="CR48" i="35"/>
  <c r="CV48" i="35"/>
  <c r="D46" i="35"/>
  <c r="T46" i="35"/>
  <c r="AJ46" i="35"/>
  <c r="AZ46" i="35"/>
  <c r="BP46" i="35"/>
  <c r="CF46" i="35"/>
  <c r="Q46" i="35"/>
  <c r="AG46" i="35"/>
  <c r="AW46" i="35"/>
  <c r="BM46" i="35"/>
  <c r="CC46" i="35"/>
  <c r="N46" i="35"/>
  <c r="AD46" i="35"/>
  <c r="AT46" i="35"/>
  <c r="BJ46" i="35"/>
  <c r="BZ46" i="35"/>
  <c r="O46" i="35"/>
  <c r="AE46" i="35"/>
  <c r="AU46" i="35"/>
  <c r="BK46" i="35"/>
  <c r="CA46" i="35"/>
  <c r="CK46" i="35"/>
  <c r="CI46" i="35"/>
  <c r="CQ46" i="35"/>
  <c r="CV46" i="35"/>
  <c r="Q70" i="35"/>
  <c r="Q71" i="35"/>
  <c r="AG70" i="35"/>
  <c r="AG71" i="35"/>
  <c r="AW70" i="35"/>
  <c r="AW71" i="35"/>
  <c r="BM71" i="35"/>
  <c r="BM70" i="35"/>
  <c r="CC71" i="35"/>
  <c r="CC70" i="35"/>
  <c r="N70" i="35"/>
  <c r="N71" i="35"/>
  <c r="AD70" i="35"/>
  <c r="AD71" i="35"/>
  <c r="AT70" i="35"/>
  <c r="AT71" i="35"/>
  <c r="BJ70" i="35"/>
  <c r="BJ71" i="35"/>
  <c r="BZ71" i="35"/>
  <c r="BZ70" i="35"/>
  <c r="O70" i="35"/>
  <c r="O71" i="35"/>
  <c r="AE70" i="35"/>
  <c r="AE71" i="35"/>
  <c r="AU70" i="35"/>
  <c r="AU71" i="35"/>
  <c r="BK70" i="35"/>
  <c r="BK71" i="35"/>
  <c r="CA71" i="35"/>
  <c r="CA70" i="35"/>
  <c r="H70" i="35"/>
  <c r="H71" i="35"/>
  <c r="X70" i="35"/>
  <c r="X71" i="35"/>
  <c r="AN70" i="35"/>
  <c r="AN71" i="35"/>
  <c r="BD70" i="35"/>
  <c r="BD71" i="35"/>
  <c r="BT70" i="35"/>
  <c r="BT71" i="35"/>
  <c r="CH70" i="35"/>
  <c r="CH71" i="35"/>
  <c r="CI70" i="35"/>
  <c r="CI71" i="35"/>
  <c r="CP70" i="35"/>
  <c r="CP71" i="35"/>
  <c r="CT70" i="35"/>
  <c r="CT71" i="35"/>
  <c r="CX71" i="35"/>
  <c r="CX70" i="35"/>
  <c r="J47" i="35"/>
  <c r="Z47" i="35"/>
  <c r="AP47" i="35"/>
  <c r="BF47" i="35"/>
  <c r="BV47" i="35"/>
  <c r="G47" i="35"/>
  <c r="W47" i="35"/>
  <c r="AM47" i="35"/>
  <c r="BC47" i="35"/>
  <c r="BS47" i="35"/>
  <c r="D47" i="35"/>
  <c r="T47" i="35"/>
  <c r="AJ47" i="35"/>
  <c r="AZ47" i="35"/>
  <c r="BP47" i="35"/>
  <c r="CF47" i="35"/>
  <c r="Q47" i="35"/>
  <c r="AG47" i="35"/>
  <c r="AW47" i="35"/>
  <c r="BM47" i="35"/>
  <c r="CC47" i="35"/>
  <c r="CO47" i="35"/>
  <c r="CM47" i="35"/>
  <c r="CR47" i="35"/>
  <c r="CV47" i="35"/>
  <c r="BW77" i="35"/>
  <c r="BG77" i="35"/>
  <c r="AQ77" i="35"/>
  <c r="AA77" i="35"/>
  <c r="BZ77" i="35"/>
  <c r="BZ99" i="35" s="1"/>
  <c r="BJ77" i="35"/>
  <c r="AT77" i="35"/>
  <c r="AD77" i="35"/>
  <c r="CC77" i="35"/>
  <c r="BM77" i="35"/>
  <c r="AW77" i="35"/>
  <c r="AG77" i="35"/>
  <c r="CF77" i="35"/>
  <c r="BP77" i="35"/>
  <c r="BP99" i="35" s="1"/>
  <c r="AZ77" i="35"/>
  <c r="AJ77" i="35"/>
  <c r="T77" i="35"/>
  <c r="CN77" i="35"/>
  <c r="CL77" i="35"/>
  <c r="CT77" i="35"/>
  <c r="CW77" i="35"/>
  <c r="F43" i="35"/>
  <c r="F44" i="35"/>
  <c r="V43" i="35"/>
  <c r="V44" i="35"/>
  <c r="AL43" i="35"/>
  <c r="AL44" i="35"/>
  <c r="BB43" i="35"/>
  <c r="BB44" i="35"/>
  <c r="BR43" i="35"/>
  <c r="BR44" i="35"/>
  <c r="G43" i="35"/>
  <c r="G44" i="35"/>
  <c r="W43" i="35"/>
  <c r="W44" i="35"/>
  <c r="AM43" i="35"/>
  <c r="AM44" i="35"/>
  <c r="BC43" i="35"/>
  <c r="BC44" i="35"/>
  <c r="BS43" i="35"/>
  <c r="BS44" i="35"/>
  <c r="D43" i="35"/>
  <c r="D44" i="35"/>
  <c r="T43" i="35"/>
  <c r="T44" i="35"/>
  <c r="AJ43" i="35"/>
  <c r="AJ44" i="35"/>
  <c r="AZ43" i="35"/>
  <c r="AZ44" i="35"/>
  <c r="BP43" i="35"/>
  <c r="BP44" i="35"/>
  <c r="CF44" i="35"/>
  <c r="CF43" i="35"/>
  <c r="M43" i="35"/>
  <c r="M44" i="35"/>
  <c r="AC43" i="35"/>
  <c r="AC44" i="35"/>
  <c r="AS43" i="35"/>
  <c r="AS44" i="35"/>
  <c r="BI43" i="35"/>
  <c r="BI44" i="35"/>
  <c r="BY43" i="35"/>
  <c r="BY44" i="35"/>
  <c r="CN43" i="35"/>
  <c r="CN44" i="35"/>
  <c r="CL43" i="35"/>
  <c r="CL44" i="35"/>
  <c r="CQ44" i="35"/>
  <c r="CQ43" i="35"/>
  <c r="CU44" i="35"/>
  <c r="CU43" i="35"/>
  <c r="CY43" i="35"/>
  <c r="CY44" i="35"/>
  <c r="G68" i="35"/>
  <c r="G69" i="35"/>
  <c r="W68" i="35"/>
  <c r="W69" i="35"/>
  <c r="AM68" i="35"/>
  <c r="AM69" i="35"/>
  <c r="BC68" i="35"/>
  <c r="BC69" i="35"/>
  <c r="BS68" i="35"/>
  <c r="BS69" i="35"/>
  <c r="D68" i="35"/>
  <c r="D69" i="35"/>
  <c r="T68" i="35"/>
  <c r="T69" i="35"/>
  <c r="AJ68" i="35"/>
  <c r="AJ69" i="35"/>
  <c r="AZ68" i="35"/>
  <c r="AZ69" i="35"/>
  <c r="BP69" i="35"/>
  <c r="BP68" i="35"/>
  <c r="CF69" i="35"/>
  <c r="CF68" i="35"/>
  <c r="M68" i="35"/>
  <c r="M69" i="35"/>
  <c r="AC68" i="35"/>
  <c r="AC69" i="35"/>
  <c r="AS68" i="35"/>
  <c r="AS69" i="35"/>
  <c r="BI68" i="35"/>
  <c r="BI69" i="35"/>
  <c r="BY68" i="35"/>
  <c r="BY69" i="35"/>
  <c r="J68" i="35"/>
  <c r="J69" i="35"/>
  <c r="Z68" i="35"/>
  <c r="Z69" i="35"/>
  <c r="AP68" i="35"/>
  <c r="AP69" i="35"/>
  <c r="BF68" i="35"/>
  <c r="BF69" i="35"/>
  <c r="BV69" i="35"/>
  <c r="BV68" i="35"/>
  <c r="CM68" i="35"/>
  <c r="CM69" i="35"/>
  <c r="CK68" i="35"/>
  <c r="CK69" i="35"/>
  <c r="CQ69" i="35"/>
  <c r="CQ68" i="35"/>
  <c r="CU69" i="35"/>
  <c r="CU68" i="35"/>
  <c r="CY69" i="35"/>
  <c r="CY68" i="35"/>
  <c r="O59" i="35"/>
  <c r="AE59" i="35"/>
  <c r="AU59" i="35"/>
  <c r="BK59" i="35"/>
  <c r="CA59" i="35"/>
  <c r="L59" i="35"/>
  <c r="AB59" i="35"/>
  <c r="AR59" i="35"/>
  <c r="BH59" i="35"/>
  <c r="BX59" i="35"/>
  <c r="E59" i="35"/>
  <c r="U59" i="35"/>
  <c r="AK59" i="35"/>
  <c r="BA59" i="35"/>
  <c r="BQ59" i="35"/>
  <c r="CG59" i="35"/>
  <c r="R59" i="35"/>
  <c r="AH59" i="35"/>
  <c r="AX59" i="35"/>
  <c r="BN59" i="35"/>
  <c r="CD59" i="35"/>
  <c r="CL59" i="35"/>
  <c r="CJ59" i="35"/>
  <c r="CS59" i="35"/>
  <c r="CW59" i="35"/>
  <c r="M49" i="35"/>
  <c r="M50" i="35"/>
  <c r="AC49" i="35"/>
  <c r="AC50" i="35"/>
  <c r="AS49" i="35"/>
  <c r="AS50" i="35"/>
  <c r="BI50" i="35"/>
  <c r="BI49" i="35"/>
  <c r="BY49" i="35"/>
  <c r="BY50" i="35"/>
  <c r="J49" i="35"/>
  <c r="J50" i="35"/>
  <c r="Z49" i="35"/>
  <c r="Z50" i="35"/>
  <c r="AP49" i="35"/>
  <c r="AP50" i="35"/>
  <c r="BF49" i="35"/>
  <c r="BF50" i="35"/>
  <c r="BV50" i="35"/>
  <c r="BV49" i="35"/>
  <c r="K49" i="35"/>
  <c r="K50" i="35"/>
  <c r="AA49" i="35"/>
  <c r="AA50" i="35"/>
  <c r="AQ49" i="35"/>
  <c r="AQ50" i="35"/>
  <c r="BG49" i="35"/>
  <c r="BG50" i="35"/>
  <c r="BW49" i="35"/>
  <c r="BW50" i="35"/>
  <c r="D49" i="35"/>
  <c r="D50" i="35"/>
  <c r="T49" i="35"/>
  <c r="T50" i="35"/>
  <c r="AJ49" i="35"/>
  <c r="AJ50" i="35"/>
  <c r="AZ49" i="35"/>
  <c r="AZ50" i="35"/>
  <c r="BP49" i="35"/>
  <c r="BP50" i="35"/>
  <c r="CF50" i="35"/>
  <c r="CF49" i="35"/>
  <c r="CM49" i="35"/>
  <c r="CM50" i="35"/>
  <c r="CK49" i="35"/>
  <c r="CK50" i="35"/>
  <c r="CS49" i="35"/>
  <c r="CS50" i="35"/>
  <c r="CW50" i="35"/>
  <c r="CW49" i="35"/>
  <c r="E58" i="35"/>
  <c r="U58" i="35"/>
  <c r="AK58" i="35"/>
  <c r="BA58" i="35"/>
  <c r="BQ58" i="35"/>
  <c r="CG58" i="35"/>
  <c r="N58" i="35"/>
  <c r="AD58" i="35"/>
  <c r="AT58" i="35"/>
  <c r="BJ58" i="35"/>
  <c r="BZ58" i="35"/>
  <c r="O58" i="35"/>
  <c r="AE58" i="35"/>
  <c r="AU58" i="35"/>
  <c r="BK58" i="35"/>
  <c r="CA58" i="35"/>
  <c r="L58" i="35"/>
  <c r="AB58" i="35"/>
  <c r="AR58" i="35"/>
  <c r="BH58" i="35"/>
  <c r="BX58" i="35"/>
  <c r="CL58" i="35"/>
  <c r="CJ58" i="35"/>
  <c r="CQ58" i="35"/>
  <c r="CU58" i="35"/>
  <c r="CY58" i="35"/>
  <c r="E60" i="35"/>
  <c r="U60" i="35"/>
  <c r="AK60" i="35"/>
  <c r="BA60" i="35"/>
  <c r="BQ60" i="35"/>
  <c r="CG60" i="35"/>
  <c r="R60" i="35"/>
  <c r="AH60" i="35"/>
  <c r="AX60" i="35"/>
  <c r="BN60" i="35"/>
  <c r="CD60" i="35"/>
  <c r="S60" i="35"/>
  <c r="AI60" i="35"/>
  <c r="AY60" i="35"/>
  <c r="BO60" i="35"/>
  <c r="CE60" i="35"/>
  <c r="L60" i="35"/>
  <c r="AB60" i="35"/>
  <c r="AR60" i="35"/>
  <c r="BH60" i="35"/>
  <c r="BX60" i="35"/>
  <c r="CN60" i="35"/>
  <c r="CL60" i="35"/>
  <c r="CR60" i="35"/>
  <c r="CU60" i="35"/>
  <c r="CY60" i="35"/>
  <c r="C10" i="35"/>
  <c r="L48" i="35"/>
  <c r="AB48" i="35"/>
  <c r="AR48" i="35"/>
  <c r="BH48" i="35"/>
  <c r="BX48" i="35"/>
  <c r="I48" i="35"/>
  <c r="Y48" i="35"/>
  <c r="AO48" i="35"/>
  <c r="BE48" i="35"/>
  <c r="BU48" i="35"/>
  <c r="R48" i="35"/>
  <c r="AH48" i="35"/>
  <c r="AX48" i="35"/>
  <c r="BN48" i="35"/>
  <c r="CD48" i="35"/>
  <c r="S48" i="35"/>
  <c r="AI48" i="35"/>
  <c r="AY48" i="35"/>
  <c r="BO48" i="35"/>
  <c r="CE48" i="35"/>
  <c r="CL48" i="35"/>
  <c r="CJ48" i="35"/>
  <c r="CS48" i="35"/>
  <c r="CW48" i="35"/>
  <c r="H46" i="35"/>
  <c r="X46" i="35"/>
  <c r="AN46" i="35"/>
  <c r="BD46" i="35"/>
  <c r="BT46" i="35"/>
  <c r="E46" i="35"/>
  <c r="U46" i="35"/>
  <c r="AK46" i="35"/>
  <c r="BA46" i="35"/>
  <c r="BQ46" i="35"/>
  <c r="CG46" i="35"/>
  <c r="R46" i="35"/>
  <c r="AH46" i="35"/>
  <c r="AX46" i="35"/>
  <c r="BN46" i="35"/>
  <c r="CD46" i="35"/>
  <c r="S46" i="35"/>
  <c r="AI46" i="35"/>
  <c r="AY46" i="35"/>
  <c r="BO46" i="35"/>
  <c r="CE46" i="35"/>
  <c r="CN46" i="35"/>
  <c r="CL46" i="35"/>
  <c r="CS46" i="35"/>
  <c r="CW46" i="35"/>
  <c r="E70" i="35"/>
  <c r="E71" i="35"/>
  <c r="U70" i="35"/>
  <c r="U71" i="35"/>
  <c r="AK70" i="35"/>
  <c r="AK71" i="35"/>
  <c r="BA70" i="35"/>
  <c r="BA71" i="35"/>
  <c r="BQ71" i="35"/>
  <c r="BQ70" i="35"/>
  <c r="CG71" i="35"/>
  <c r="CG70" i="35"/>
  <c r="R70" i="35"/>
  <c r="R71" i="35"/>
  <c r="AH70" i="35"/>
  <c r="AH71" i="35"/>
  <c r="AX70" i="35"/>
  <c r="AX71" i="35"/>
  <c r="BN70" i="35"/>
  <c r="BN71" i="35"/>
  <c r="CD70" i="35"/>
  <c r="CD71" i="35"/>
  <c r="S70" i="35"/>
  <c r="S71" i="35"/>
  <c r="AI70" i="35"/>
  <c r="AI71" i="35"/>
  <c r="AY70" i="35"/>
  <c r="AY71" i="35"/>
  <c r="BO70" i="35"/>
  <c r="BO71" i="35"/>
  <c r="CE70" i="35"/>
  <c r="CE71" i="35"/>
  <c r="L70" i="35"/>
  <c r="L71" i="35"/>
  <c r="AB70" i="35"/>
  <c r="AB71" i="35"/>
  <c r="AR70" i="35"/>
  <c r="AR71" i="35"/>
  <c r="BH71" i="35"/>
  <c r="BH70" i="35"/>
  <c r="BX70" i="35"/>
  <c r="BX71" i="35"/>
  <c r="CN70" i="35"/>
  <c r="CN71" i="35"/>
  <c r="CL70" i="35"/>
  <c r="CL71" i="35"/>
  <c r="CQ70" i="35"/>
  <c r="CQ71" i="35"/>
  <c r="CU71" i="35"/>
  <c r="CU70" i="35"/>
  <c r="CY71" i="35"/>
  <c r="CY70" i="35"/>
  <c r="N47" i="35"/>
  <c r="AD47" i="35"/>
  <c r="AT47" i="35"/>
  <c r="BJ47" i="35"/>
  <c r="BZ47" i="35"/>
  <c r="K47" i="35"/>
  <c r="AA47" i="35"/>
  <c r="AQ47" i="35"/>
  <c r="BG47" i="35"/>
  <c r="BW47" i="35"/>
  <c r="H47" i="35"/>
  <c r="X47" i="35"/>
  <c r="AN47" i="35"/>
  <c r="BD47" i="35"/>
  <c r="BT47" i="35"/>
  <c r="E47" i="35"/>
  <c r="U47" i="35"/>
  <c r="AK47" i="35"/>
  <c r="BA47" i="35"/>
  <c r="BQ47" i="35"/>
  <c r="CG47" i="35"/>
  <c r="CK47" i="35"/>
  <c r="CI47" i="35"/>
  <c r="CS47" i="35"/>
  <c r="CW47" i="35"/>
  <c r="BS77" i="35"/>
  <c r="BS99" i="35" s="1"/>
  <c r="BC77" i="35"/>
  <c r="AM77" i="35"/>
  <c r="W77" i="35"/>
  <c r="BV77" i="35"/>
  <c r="BF77" i="35"/>
  <c r="AP77" i="35"/>
  <c r="Z77" i="35"/>
  <c r="BY77" i="35"/>
  <c r="BY99" i="35" s="1"/>
  <c r="BI77" i="35"/>
  <c r="AS77" i="35"/>
  <c r="AC77" i="35"/>
  <c r="CB77" i="35"/>
  <c r="BL77" i="35"/>
  <c r="AV77" i="35"/>
  <c r="AF77" i="35"/>
  <c r="CH77" i="35"/>
  <c r="CJ77" i="35"/>
  <c r="CP77" i="35"/>
  <c r="CS77" i="35"/>
  <c r="CX77" i="35"/>
  <c r="J43" i="35"/>
  <c r="J44" i="35"/>
  <c r="Z43" i="35"/>
  <c r="Z44" i="35"/>
  <c r="AP43" i="35"/>
  <c r="AP44" i="35"/>
  <c r="BF43" i="35"/>
  <c r="BF44" i="35"/>
  <c r="BV44" i="35"/>
  <c r="BV43" i="35"/>
  <c r="K43" i="35"/>
  <c r="K44" i="35"/>
  <c r="AA43" i="35"/>
  <c r="AA44" i="35"/>
  <c r="AQ43" i="35"/>
  <c r="AQ44" i="35"/>
  <c r="BG43" i="35"/>
  <c r="BG44" i="35"/>
  <c r="BW43" i="35"/>
  <c r="BW44" i="35"/>
  <c r="H43" i="35"/>
  <c r="H44" i="35"/>
  <c r="X43" i="35"/>
  <c r="X44" i="35"/>
  <c r="AN43" i="35"/>
  <c r="AN44" i="35"/>
  <c r="BD43" i="35"/>
  <c r="BD44" i="35"/>
  <c r="BT43" i="35"/>
  <c r="BT44" i="35"/>
  <c r="Q43" i="35"/>
  <c r="Q44" i="35"/>
  <c r="AG43" i="35"/>
  <c r="AG44" i="35"/>
  <c r="AW43" i="35"/>
  <c r="AW44" i="35"/>
  <c r="BM44" i="35"/>
  <c r="BM43" i="35"/>
  <c r="CC43" i="35"/>
  <c r="CC44" i="35"/>
  <c r="CJ43" i="35"/>
  <c r="CJ44" i="35"/>
  <c r="CO43" i="35"/>
  <c r="CO44" i="35"/>
  <c r="CR43" i="35"/>
  <c r="CR44" i="35"/>
  <c r="CV44" i="35"/>
  <c r="CV43" i="35"/>
  <c r="K68" i="35"/>
  <c r="K69" i="35"/>
  <c r="AA68" i="35"/>
  <c r="AA69" i="35"/>
  <c r="AQ68" i="35"/>
  <c r="AQ69" i="35"/>
  <c r="BG68" i="35"/>
  <c r="BG69" i="35"/>
  <c r="BW69" i="35"/>
  <c r="BW68" i="35"/>
  <c r="H68" i="35"/>
  <c r="H69" i="35"/>
  <c r="X68" i="35"/>
  <c r="X69" i="35"/>
  <c r="AN68" i="35"/>
  <c r="AN69" i="35"/>
  <c r="BD68" i="35"/>
  <c r="BD69" i="35"/>
  <c r="BT68" i="35"/>
  <c r="BT69" i="35"/>
  <c r="Q68" i="35"/>
  <c r="Q69" i="35"/>
  <c r="AG68" i="35"/>
  <c r="AG69" i="35"/>
  <c r="AW68" i="35"/>
  <c r="AW69" i="35"/>
  <c r="BM68" i="35"/>
  <c r="BM69" i="35"/>
  <c r="CC68" i="35"/>
  <c r="CC69" i="35"/>
  <c r="N68" i="35"/>
  <c r="N69" i="35"/>
  <c r="AD68" i="35"/>
  <c r="AD69" i="35"/>
  <c r="AT68" i="35"/>
  <c r="AT69" i="35"/>
  <c r="BJ69" i="35"/>
  <c r="BJ68" i="35"/>
  <c r="BZ69" i="35"/>
  <c r="BZ68" i="35"/>
  <c r="CI68" i="35"/>
  <c r="CI69" i="35"/>
  <c r="CN68" i="35"/>
  <c r="CN69" i="35"/>
  <c r="CR68" i="35"/>
  <c r="CR69" i="35"/>
  <c r="CV68" i="35"/>
  <c r="CV69" i="35"/>
  <c r="S59" i="35"/>
  <c r="AI59" i="35"/>
  <c r="AY59" i="35"/>
  <c r="BO59" i="35"/>
  <c r="CE59" i="35"/>
  <c r="P59" i="35"/>
  <c r="AF59" i="35"/>
  <c r="AV59" i="35"/>
  <c r="BL59" i="35"/>
  <c r="CB59" i="35"/>
  <c r="I59" i="35"/>
  <c r="Y59" i="35"/>
  <c r="AO59" i="35"/>
  <c r="BE59" i="35"/>
  <c r="BU59" i="35"/>
  <c r="F59" i="35"/>
  <c r="V59" i="35"/>
  <c r="AL59" i="35"/>
  <c r="BB59" i="35"/>
  <c r="BR59" i="35"/>
  <c r="CH59" i="35"/>
  <c r="CO59" i="35"/>
  <c r="CP59" i="35"/>
  <c r="CT59" i="35"/>
  <c r="CX59" i="35"/>
  <c r="Q49" i="35"/>
  <c r="Q50" i="35"/>
  <c r="AG49" i="35"/>
  <c r="AG50" i="35"/>
  <c r="AW49" i="35"/>
  <c r="AW50" i="35"/>
  <c r="BM50" i="35"/>
  <c r="BM49" i="35"/>
  <c r="CC50" i="35"/>
  <c r="CC49" i="35"/>
  <c r="N49" i="35"/>
  <c r="N50" i="35"/>
  <c r="AD49" i="35"/>
  <c r="AD50" i="35"/>
  <c r="AT49" i="35"/>
  <c r="AT50" i="35"/>
  <c r="BJ49" i="35"/>
  <c r="BJ50" i="35"/>
  <c r="BZ49" i="35"/>
  <c r="BZ50" i="35"/>
  <c r="O49" i="35"/>
  <c r="O50" i="35"/>
  <c r="AE49" i="35"/>
  <c r="AE50" i="35"/>
  <c r="AU49" i="35"/>
  <c r="AU50" i="35"/>
  <c r="BK50" i="35"/>
  <c r="BK49" i="35"/>
  <c r="CA49" i="35"/>
  <c r="CA50" i="35"/>
  <c r="H49" i="35"/>
  <c r="H50" i="35"/>
  <c r="X49" i="35"/>
  <c r="X50" i="35"/>
  <c r="AN49" i="35"/>
  <c r="AN50" i="35"/>
  <c r="BD49" i="35"/>
  <c r="BD50" i="35"/>
  <c r="BT49" i="35"/>
  <c r="BT50" i="35"/>
  <c r="CH49" i="35"/>
  <c r="CH50" i="35"/>
  <c r="CI49" i="35"/>
  <c r="CI50" i="35"/>
  <c r="CP49" i="35"/>
  <c r="CP50" i="35"/>
  <c r="CT50" i="35"/>
  <c r="CT49" i="35"/>
  <c r="CX50" i="35"/>
  <c r="CX49" i="35"/>
  <c r="I58" i="35"/>
  <c r="Y58" i="35"/>
  <c r="AO58" i="35"/>
  <c r="BE58" i="35"/>
  <c r="BU58" i="35"/>
  <c r="R58" i="35"/>
  <c r="AH58" i="35"/>
  <c r="AX58" i="35"/>
  <c r="BN58" i="35"/>
  <c r="CD58" i="35"/>
  <c r="S58" i="35"/>
  <c r="AI58" i="35"/>
  <c r="AY58" i="35"/>
  <c r="BO58" i="35"/>
  <c r="CE58" i="35"/>
  <c r="P58" i="35"/>
  <c r="AF58" i="35"/>
  <c r="AV58" i="35"/>
  <c r="BL58" i="35"/>
  <c r="CB58" i="35"/>
  <c r="CO58" i="35"/>
  <c r="CM58" i="35"/>
  <c r="CR58" i="35"/>
  <c r="CV58" i="35"/>
  <c r="I60" i="35"/>
  <c r="Y60" i="35"/>
  <c r="AO60" i="35"/>
  <c r="BE60" i="35"/>
  <c r="BU60" i="35"/>
  <c r="F60" i="35"/>
  <c r="V60" i="35"/>
  <c r="AL60" i="35"/>
  <c r="BB60" i="35"/>
  <c r="BR60" i="35"/>
  <c r="G60" i="35"/>
  <c r="W60" i="35"/>
  <c r="AM60" i="35"/>
  <c r="BC60" i="35"/>
  <c r="BS60" i="35"/>
  <c r="P60" i="35"/>
  <c r="AF60" i="35"/>
  <c r="AV60" i="35"/>
  <c r="BL60" i="35"/>
  <c r="CB60" i="35"/>
  <c r="CJ60" i="35"/>
  <c r="CO60" i="35"/>
  <c r="CQ60" i="35"/>
  <c r="CV60" i="35"/>
  <c r="F10" i="35"/>
  <c r="P48" i="35"/>
  <c r="AF48" i="35"/>
  <c r="AV48" i="35"/>
  <c r="BL48" i="35"/>
  <c r="CB48" i="35"/>
  <c r="M48" i="35"/>
  <c r="AC48" i="35"/>
  <c r="AS48" i="35"/>
  <c r="BI48" i="35"/>
  <c r="BY48" i="35"/>
  <c r="F48" i="35"/>
  <c r="V48" i="35"/>
  <c r="AL48" i="35"/>
  <c r="BB48" i="35"/>
  <c r="BR48" i="35"/>
  <c r="G48" i="35"/>
  <c r="W48" i="35"/>
  <c r="AM48" i="35"/>
  <c r="BC48" i="35"/>
  <c r="BS48" i="35"/>
  <c r="CH48" i="35"/>
  <c r="CO48" i="35"/>
  <c r="CP48" i="35"/>
  <c r="CT48" i="35"/>
  <c r="CX48" i="35"/>
  <c r="L46" i="35"/>
  <c r="AB46" i="35"/>
  <c r="AR46" i="35"/>
  <c r="BH46" i="35"/>
  <c r="BX46" i="35"/>
  <c r="I46" i="35"/>
  <c r="Y46" i="35"/>
  <c r="AO46" i="35"/>
  <c r="BE46" i="35"/>
  <c r="BU46" i="35"/>
  <c r="F46" i="35"/>
  <c r="V46" i="35"/>
  <c r="AL46" i="35"/>
  <c r="BB46" i="35"/>
  <c r="BR46" i="35"/>
  <c r="G46" i="35"/>
  <c r="W46" i="35"/>
  <c r="AM46" i="35"/>
  <c r="BC46" i="35"/>
  <c r="BS46" i="35"/>
  <c r="CH46" i="35"/>
  <c r="CJ46" i="35"/>
  <c r="CP46" i="35"/>
  <c r="CT46" i="35"/>
  <c r="CX46" i="35"/>
  <c r="I70" i="35"/>
  <c r="I71" i="35"/>
  <c r="Y70" i="35"/>
  <c r="Y71" i="35"/>
  <c r="AO70" i="35"/>
  <c r="AO71" i="35"/>
  <c r="BE70" i="35"/>
  <c r="BE71" i="35"/>
  <c r="BU70" i="35"/>
  <c r="BU71" i="35"/>
  <c r="F70" i="35"/>
  <c r="F71" i="35"/>
  <c r="V70" i="35"/>
  <c r="V71" i="35"/>
  <c r="AL70" i="35"/>
  <c r="AL71" i="35"/>
  <c r="BB70" i="35"/>
  <c r="BB71" i="35"/>
  <c r="BR71" i="35"/>
  <c r="BR70" i="35"/>
  <c r="G70" i="35"/>
  <c r="G71" i="35"/>
  <c r="W70" i="35"/>
  <c r="W71" i="35"/>
  <c r="AM70" i="35"/>
  <c r="AM71" i="35"/>
  <c r="BC70" i="35"/>
  <c r="BC71" i="35"/>
  <c r="BS71" i="35"/>
  <c r="BS70" i="35"/>
  <c r="P70" i="35"/>
  <c r="P71" i="35"/>
  <c r="AF70" i="35"/>
  <c r="AF71" i="35"/>
  <c r="AV70" i="35"/>
  <c r="AV71" i="35"/>
  <c r="BL71" i="35"/>
  <c r="BL70" i="35"/>
  <c r="CB70" i="35"/>
  <c r="CB71" i="35"/>
  <c r="CJ70" i="35"/>
  <c r="CJ71" i="35"/>
  <c r="CO70" i="35"/>
  <c r="CO71" i="35"/>
  <c r="CR70" i="35"/>
  <c r="CR71" i="35"/>
  <c r="CV70" i="35"/>
  <c r="CV71" i="35"/>
  <c r="R47" i="35"/>
  <c r="AH47" i="35"/>
  <c r="AX47" i="35"/>
  <c r="BN47" i="35"/>
  <c r="CD47" i="35"/>
  <c r="O47" i="35"/>
  <c r="AE47" i="35"/>
  <c r="AU47" i="35"/>
  <c r="BK47" i="35"/>
  <c r="CA47" i="35"/>
  <c r="L47" i="35"/>
  <c r="AB47" i="35"/>
  <c r="AR47" i="35"/>
  <c r="BH47" i="35"/>
  <c r="BX47" i="35"/>
  <c r="I47" i="35"/>
  <c r="Y47" i="35"/>
  <c r="AO47" i="35"/>
  <c r="BE47" i="35"/>
  <c r="BU47" i="35"/>
  <c r="CH47" i="35"/>
  <c r="CN47" i="35"/>
  <c r="CP47" i="35"/>
  <c r="CT47" i="35"/>
  <c r="CX47" i="35"/>
  <c r="C71" i="35"/>
  <c r="C49" i="35"/>
  <c r="C60" i="35"/>
  <c r="C47" i="35"/>
  <c r="C44" i="35"/>
  <c r="C69" i="35"/>
  <c r="C68" i="35"/>
  <c r="C58" i="35"/>
  <c r="C50" i="35"/>
  <c r="C48" i="35"/>
  <c r="C46" i="35"/>
  <c r="C59" i="35"/>
  <c r="C43" i="35"/>
  <c r="C70" i="35"/>
  <c r="H40" i="35" l="1"/>
  <c r="R40" i="35"/>
  <c r="O40" i="35"/>
  <c r="N40" i="35"/>
  <c r="M40" i="35"/>
  <c r="P7" i="35"/>
  <c r="AC7" i="35"/>
  <c r="CN40" i="35"/>
  <c r="BO40" i="35"/>
  <c r="AG7" i="35"/>
  <c r="AV40" i="35"/>
  <c r="BK7" i="35"/>
  <c r="DB85" i="35"/>
  <c r="T7" i="35"/>
  <c r="V7" i="35"/>
  <c r="CA7" i="35"/>
  <c r="AI40" i="35"/>
  <c r="L40" i="35"/>
  <c r="Q7" i="35"/>
  <c r="X7" i="35"/>
  <c r="AL40" i="35"/>
  <c r="AD7" i="35"/>
  <c r="CY7" i="35"/>
  <c r="BV40" i="35"/>
  <c r="W40" i="35"/>
  <c r="BA40" i="35"/>
  <c r="BL7" i="35"/>
  <c r="BQ40" i="35"/>
  <c r="AN40" i="35"/>
  <c r="CY40" i="35"/>
  <c r="AY7" i="35"/>
  <c r="CA40" i="35"/>
  <c r="BF40" i="35"/>
  <c r="CV7" i="35"/>
  <c r="D40" i="35"/>
  <c r="CB7" i="35"/>
  <c r="AF7" i="35"/>
  <c r="AR40" i="35"/>
  <c r="BN7" i="35"/>
  <c r="Z7" i="35"/>
  <c r="R7" i="35"/>
  <c r="BX40" i="35"/>
  <c r="CR40" i="35"/>
  <c r="CV40" i="35"/>
  <c r="Y7" i="35"/>
  <c r="BX7" i="35"/>
  <c r="I7" i="35"/>
  <c r="AM7" i="35"/>
  <c r="BR7" i="35"/>
  <c r="D7" i="35"/>
  <c r="AL7" i="35"/>
  <c r="CE7" i="35"/>
  <c r="CT7" i="35"/>
  <c r="CX40" i="35"/>
  <c r="BG7" i="35"/>
  <c r="E7" i="35"/>
  <c r="AA7" i="35"/>
  <c r="L7" i="35"/>
  <c r="AO7" i="35"/>
  <c r="BZ40" i="35"/>
  <c r="CF7" i="35"/>
  <c r="AP7" i="35"/>
  <c r="CG7" i="35"/>
  <c r="AS7" i="35"/>
  <c r="U7" i="35"/>
  <c r="AQ7" i="35"/>
  <c r="AV7" i="35"/>
  <c r="AW40" i="35"/>
  <c r="E40" i="35"/>
  <c r="W7" i="35"/>
  <c r="BH7" i="35"/>
  <c r="BP7" i="35"/>
  <c r="DC85" i="35"/>
  <c r="AA40" i="35"/>
  <c r="BF7" i="35"/>
  <c r="CK40" i="35"/>
  <c r="BB7" i="35"/>
  <c r="I40" i="35"/>
  <c r="BI40" i="35"/>
  <c r="BR40" i="35"/>
  <c r="BM7" i="35"/>
  <c r="CH40" i="35"/>
  <c r="AE7" i="35"/>
  <c r="AQ40" i="35"/>
  <c r="CB40" i="35"/>
  <c r="CO40" i="35"/>
  <c r="CJ40" i="35"/>
  <c r="CL40" i="35"/>
  <c r="S7" i="35"/>
  <c r="AB7" i="35"/>
  <c r="CC7" i="35"/>
  <c r="BM40" i="35"/>
  <c r="CK7" i="35"/>
  <c r="AK7" i="35"/>
  <c r="BS7" i="35"/>
  <c r="AZ7" i="35"/>
  <c r="CU40" i="35"/>
  <c r="AD40" i="35"/>
  <c r="BY7" i="35"/>
  <c r="BA7" i="35"/>
  <c r="H7" i="35"/>
  <c r="AX7" i="35"/>
  <c r="CP7" i="35"/>
  <c r="CG40" i="35"/>
  <c r="CS40" i="35"/>
  <c r="J7" i="35"/>
  <c r="G7" i="35"/>
  <c r="BU7" i="35"/>
  <c r="BJ7" i="35"/>
  <c r="X40" i="35"/>
  <c r="BU40" i="35"/>
  <c r="AT40" i="35"/>
  <c r="BP40" i="35"/>
  <c r="CM40" i="35"/>
  <c r="K7" i="35"/>
  <c r="BT7" i="35"/>
  <c r="CX7" i="35"/>
  <c r="AH7" i="35"/>
  <c r="AT7" i="35"/>
  <c r="CN7" i="35"/>
  <c r="O7" i="35"/>
  <c r="AN7" i="35"/>
  <c r="CD7" i="35"/>
  <c r="CR7" i="35"/>
  <c r="DE7" i="35"/>
  <c r="CO7" i="35"/>
  <c r="BI7" i="35"/>
  <c r="CZ7" i="35"/>
  <c r="BV7" i="35"/>
  <c r="CS7" i="35"/>
  <c r="BE7" i="35"/>
  <c r="CL7" i="35"/>
  <c r="Q40" i="35"/>
  <c r="BD7" i="35"/>
  <c r="CC40" i="35"/>
  <c r="CP40" i="35"/>
  <c r="AK40" i="35"/>
  <c r="AU7" i="35"/>
  <c r="AF40" i="35"/>
  <c r="V40" i="35"/>
  <c r="BG40" i="35"/>
  <c r="AJ40" i="35"/>
  <c r="BB40" i="35"/>
  <c r="BW40" i="35"/>
  <c r="F7" i="35"/>
  <c r="U40" i="35"/>
  <c r="K40" i="35"/>
  <c r="CM7" i="35"/>
  <c r="CJ7" i="35"/>
  <c r="AW7" i="35"/>
  <c r="AO40" i="35"/>
  <c r="CH7" i="35"/>
  <c r="DC12" i="35"/>
  <c r="BD40" i="35"/>
  <c r="DB40" i="35"/>
  <c r="DC45" i="35"/>
  <c r="G40" i="35"/>
  <c r="M7" i="35"/>
  <c r="P40" i="35"/>
  <c r="CW40" i="35"/>
  <c r="CZ40" i="35"/>
  <c r="AP40" i="35"/>
  <c r="CT40" i="35"/>
  <c r="J40" i="35"/>
  <c r="BQ7" i="35"/>
  <c r="DA40" i="35"/>
  <c r="AE40" i="35"/>
  <c r="F40" i="35"/>
  <c r="BZ7" i="35"/>
  <c r="DC40" i="35"/>
  <c r="CQ7" i="35"/>
  <c r="DF7" i="35"/>
  <c r="BY40" i="35"/>
  <c r="AS40" i="35"/>
  <c r="AX40" i="35"/>
  <c r="CU7" i="35"/>
  <c r="DD40" i="35"/>
  <c r="DG72" i="35"/>
  <c r="DG61" i="35"/>
  <c r="DG7" i="35"/>
  <c r="DE45" i="35"/>
  <c r="DA7" i="35"/>
  <c r="DG40" i="35"/>
  <c r="BC40" i="35"/>
  <c r="CD40" i="35"/>
  <c r="DE40" i="35"/>
  <c r="DF72" i="35"/>
  <c r="Y40" i="35"/>
  <c r="CZ45" i="35"/>
  <c r="DA85" i="35"/>
  <c r="AY40" i="35"/>
  <c r="DD45" i="35"/>
  <c r="DB7" i="35"/>
  <c r="DB57" i="35"/>
  <c r="Z40" i="35"/>
  <c r="DB72" i="35"/>
  <c r="DF40" i="35"/>
  <c r="DE51" i="35"/>
  <c r="DC72" i="35"/>
  <c r="DA51" i="35"/>
  <c r="DD7" i="35"/>
  <c r="DE61" i="35"/>
  <c r="DC7" i="35"/>
  <c r="DA45" i="35"/>
  <c r="CZ72" i="35"/>
  <c r="DD72" i="35"/>
  <c r="DC57" i="35"/>
  <c r="DB45" i="35"/>
  <c r="DF45" i="35"/>
  <c r="N7" i="35"/>
  <c r="DB12" i="35"/>
  <c r="DD16" i="35"/>
  <c r="DA61" i="35"/>
  <c r="DE16" i="35"/>
  <c r="DB16" i="35"/>
  <c r="DB61" i="35"/>
  <c r="DD61" i="35"/>
  <c r="DF61" i="35"/>
  <c r="DF57" i="35"/>
  <c r="DD12" i="35"/>
  <c r="DE72" i="35"/>
  <c r="DD85" i="35"/>
  <c r="CZ82" i="35"/>
  <c r="CZ83" i="35" s="1"/>
  <c r="DG16" i="35"/>
  <c r="DE12" i="35"/>
  <c r="DC51" i="35"/>
  <c r="DA57" i="35"/>
  <c r="CZ12" i="35"/>
  <c r="DG51" i="35"/>
  <c r="DE82" i="35"/>
  <c r="DE83" i="35" s="1"/>
  <c r="DE88" i="35"/>
  <c r="CZ51" i="35"/>
  <c r="DA12" i="35"/>
  <c r="DF51" i="35"/>
  <c r="DB82" i="35"/>
  <c r="DB83" i="35" s="1"/>
  <c r="DB88" i="35"/>
  <c r="CZ57" i="35"/>
  <c r="DE57" i="35"/>
  <c r="DD82" i="35"/>
  <c r="DD83" i="35" s="1"/>
  <c r="DD88" i="35"/>
  <c r="DG57" i="35"/>
  <c r="DC61" i="35"/>
  <c r="DF16" i="35"/>
  <c r="CZ61" i="35"/>
  <c r="DG12" i="35"/>
  <c r="DB51" i="35"/>
  <c r="DG45" i="35"/>
  <c r="CZ85" i="35"/>
  <c r="DA72" i="35"/>
  <c r="DD51" i="35"/>
  <c r="DE85" i="35"/>
  <c r="DA82" i="35"/>
  <c r="DA83" i="35" s="1"/>
  <c r="DA88" i="35"/>
  <c r="DC16" i="35"/>
  <c r="CZ16" i="35"/>
  <c r="DD57" i="35"/>
  <c r="DF12" i="35"/>
  <c r="DA16" i="35"/>
  <c r="DC82" i="35"/>
  <c r="DC83" i="35" s="1"/>
  <c r="DC88" i="35"/>
  <c r="C40" i="35"/>
  <c r="C7" i="35"/>
  <c r="CY82" i="35"/>
  <c r="CY83" i="35" s="1"/>
  <c r="CZ88" i="35"/>
  <c r="CQ40" i="35"/>
  <c r="CJ72" i="35"/>
  <c r="Y51" i="35"/>
  <c r="CW51" i="35"/>
  <c r="CX45" i="35"/>
  <c r="BU12" i="35"/>
  <c r="AT61" i="35"/>
  <c r="BR16" i="35"/>
  <c r="W61" i="35"/>
  <c r="AU72" i="35"/>
  <c r="F72" i="35"/>
  <c r="CT12" i="35"/>
  <c r="D12" i="35"/>
  <c r="AT12" i="35"/>
  <c r="CP12" i="35"/>
  <c r="C72" i="35"/>
  <c r="CH12" i="35"/>
  <c r="AB51" i="35"/>
  <c r="BR51" i="35"/>
  <c r="C51" i="35"/>
  <c r="CP51" i="35"/>
  <c r="CT51" i="35"/>
  <c r="CX51" i="35"/>
  <c r="C61" i="35"/>
  <c r="BO12" i="35"/>
  <c r="CS51" i="35"/>
  <c r="BN12" i="35"/>
  <c r="CS12" i="35"/>
  <c r="AZ61" i="35"/>
  <c r="CE12" i="35"/>
  <c r="CI12" i="35"/>
  <c r="CX12" i="35"/>
  <c r="CY51" i="35"/>
  <c r="CP45" i="35"/>
  <c r="BC45" i="35"/>
  <c r="F45" i="35"/>
  <c r="Y45" i="35"/>
  <c r="AR45" i="35"/>
  <c r="CI61" i="35"/>
  <c r="BM61" i="35"/>
  <c r="T61" i="35"/>
  <c r="BC16" i="35"/>
  <c r="F16" i="35"/>
  <c r="AV16" i="35"/>
  <c r="CF12" i="35"/>
  <c r="AM12" i="35"/>
  <c r="C57" i="35"/>
  <c r="C45" i="35"/>
  <c r="CY72" i="35"/>
  <c r="CB12" i="35"/>
  <c r="BL12" i="35"/>
  <c r="CD12" i="35"/>
  <c r="CW12" i="35"/>
  <c r="CU51" i="35"/>
  <c r="CK61" i="35"/>
  <c r="AW61" i="35"/>
  <c r="D61" i="35"/>
  <c r="AM16" i="35"/>
  <c r="BY16" i="35"/>
  <c r="AF16" i="35"/>
  <c r="AE72" i="35"/>
  <c r="BU72" i="35"/>
  <c r="BS12" i="35"/>
  <c r="AD12" i="35"/>
  <c r="CV51" i="35"/>
  <c r="L51" i="35"/>
  <c r="BB51" i="35"/>
  <c r="I51" i="35"/>
  <c r="CW16" i="35"/>
  <c r="CU72" i="35"/>
  <c r="BW51" i="35"/>
  <c r="CJ45" i="35"/>
  <c r="AM45" i="35"/>
  <c r="BB45" i="35"/>
  <c r="BU45" i="35"/>
  <c r="I45" i="35"/>
  <c r="AB45" i="35"/>
  <c r="BZ61" i="35"/>
  <c r="AG61" i="35"/>
  <c r="BS61" i="35"/>
  <c r="CX16" i="35"/>
  <c r="W16" i="35"/>
  <c r="BI16" i="35"/>
  <c r="P16" i="35"/>
  <c r="O72" i="35"/>
  <c r="BE72" i="35"/>
  <c r="CO12" i="35"/>
  <c r="BC12" i="35"/>
  <c r="N12" i="35"/>
  <c r="CQ51" i="35"/>
  <c r="CA51" i="35"/>
  <c r="AL51" i="35"/>
  <c r="CS16" i="35"/>
  <c r="CL51" i="35"/>
  <c r="BG51" i="35"/>
  <c r="BX45" i="35"/>
  <c r="BJ61" i="35"/>
  <c r="Q61" i="35"/>
  <c r="BC61" i="35"/>
  <c r="CT16" i="35"/>
  <c r="G16" i="35"/>
  <c r="AS16" i="35"/>
  <c r="CH72" i="35"/>
  <c r="AO72" i="35"/>
  <c r="CC12" i="35"/>
  <c r="CO51" i="35"/>
  <c r="BK51" i="35"/>
  <c r="V51" i="35"/>
  <c r="CW45" i="35"/>
  <c r="CL72" i="35"/>
  <c r="AQ51" i="35"/>
  <c r="CH45" i="35"/>
  <c r="W45" i="35"/>
  <c r="AL45" i="35"/>
  <c r="BE45" i="35"/>
  <c r="L45" i="35"/>
  <c r="CF61" i="35"/>
  <c r="AM61" i="35"/>
  <c r="CP16" i="35"/>
  <c r="AC16" i="35"/>
  <c r="BR72" i="35"/>
  <c r="Y72" i="35"/>
  <c r="BP12" i="35"/>
  <c r="W12" i="35"/>
  <c r="BM12" i="35"/>
  <c r="CJ51" i="35"/>
  <c r="AU51" i="35"/>
  <c r="F51" i="35"/>
  <c r="CY61" i="35"/>
  <c r="CL16" i="35"/>
  <c r="AA51" i="35"/>
  <c r="BH45" i="35"/>
  <c r="AD61" i="35"/>
  <c r="BP61" i="35"/>
  <c r="CO16" i="35"/>
  <c r="BB16" i="35"/>
  <c r="M16" i="35"/>
  <c r="CV72" i="35"/>
  <c r="BB72" i="35"/>
  <c r="I72" i="35"/>
  <c r="AZ12" i="35"/>
  <c r="G12" i="35"/>
  <c r="AW12" i="35"/>
  <c r="BX51" i="35"/>
  <c r="AE51" i="35"/>
  <c r="BU51" i="35"/>
  <c r="CS45" i="35"/>
  <c r="CU61" i="35"/>
  <c r="K51" i="35"/>
  <c r="CT45" i="35"/>
  <c r="BS45" i="35"/>
  <c r="G45" i="35"/>
  <c r="V45" i="35"/>
  <c r="AO45" i="35"/>
  <c r="CV61" i="35"/>
  <c r="N61" i="35"/>
  <c r="G61" i="35"/>
  <c r="CH16" i="35"/>
  <c r="AL16" i="35"/>
  <c r="CB16" i="35"/>
  <c r="CA72" i="35"/>
  <c r="AL72" i="35"/>
  <c r="AJ12" i="35"/>
  <c r="BZ12" i="35"/>
  <c r="AG12" i="35"/>
  <c r="BH51" i="35"/>
  <c r="O51" i="35"/>
  <c r="BE51" i="35"/>
  <c r="BR45" i="35"/>
  <c r="CQ61" i="35"/>
  <c r="CC61" i="35"/>
  <c r="AJ61" i="35"/>
  <c r="BS16" i="35"/>
  <c r="V16" i="35"/>
  <c r="BL16" i="35"/>
  <c r="CO72" i="35"/>
  <c r="BK72" i="35"/>
  <c r="V72" i="35"/>
  <c r="T12" i="35"/>
  <c r="BJ12" i="35"/>
  <c r="Q12" i="35"/>
  <c r="AR51" i="35"/>
  <c r="CH51" i="35"/>
  <c r="AO51" i="35"/>
  <c r="CL12" i="35"/>
  <c r="BX12" i="35"/>
  <c r="BK12" i="35"/>
  <c r="CV12" i="35"/>
  <c r="CN72" i="35"/>
  <c r="BN72" i="35"/>
  <c r="CG72" i="35"/>
  <c r="BY12" i="35"/>
  <c r="CR12" i="35"/>
  <c r="CU12" i="35"/>
  <c r="BT51" i="35"/>
  <c r="BQ51" i="35"/>
  <c r="CI72" i="35"/>
  <c r="BZ72" i="35"/>
  <c r="BS51" i="35"/>
  <c r="CB72" i="35"/>
  <c r="BY72" i="35"/>
  <c r="CB51" i="35"/>
  <c r="BY51" i="35"/>
  <c r="BH12" i="35"/>
  <c r="CG12" i="35"/>
  <c r="CX72" i="35"/>
  <c r="BT12" i="35"/>
  <c r="BT72" i="35"/>
  <c r="BQ72" i="35"/>
  <c r="BI12" i="35"/>
  <c r="CR51" i="35"/>
  <c r="CK51" i="35"/>
  <c r="BJ72" i="35"/>
  <c r="CC72" i="35"/>
  <c r="CQ12" i="35"/>
  <c r="CI51" i="35"/>
  <c r="BZ51" i="35"/>
  <c r="BL72" i="35"/>
  <c r="CE72" i="35"/>
  <c r="BI72" i="35"/>
  <c r="BL51" i="35"/>
  <c r="CE51" i="35"/>
  <c r="BI51" i="35"/>
  <c r="CM12" i="35"/>
  <c r="CK12" i="35"/>
  <c r="BQ12" i="35"/>
  <c r="CT72" i="35"/>
  <c r="BW12" i="35"/>
  <c r="CR72" i="35"/>
  <c r="CJ12" i="35"/>
  <c r="C12" i="35"/>
  <c r="CD51" i="35"/>
  <c r="BM72" i="35"/>
  <c r="CN12" i="35"/>
  <c r="CF51" i="35"/>
  <c r="BJ51" i="35"/>
  <c r="CC51" i="35"/>
  <c r="BO72" i="35"/>
  <c r="BO51" i="35"/>
  <c r="CA12" i="35"/>
  <c r="CP72" i="35"/>
  <c r="CD72" i="35"/>
  <c r="BV12" i="35"/>
  <c r="CY12" i="35"/>
  <c r="CN51" i="35"/>
  <c r="BN51" i="35"/>
  <c r="CG51" i="35"/>
  <c r="BS72" i="35"/>
  <c r="BR12" i="35"/>
  <c r="BP51" i="35"/>
  <c r="BM51" i="35"/>
  <c r="CM72" i="35"/>
  <c r="BV72" i="35"/>
  <c r="CM51" i="35"/>
  <c r="BV51" i="35"/>
  <c r="CR57" i="35"/>
  <c r="CO57" i="35"/>
  <c r="CE57" i="35"/>
  <c r="BN57" i="35"/>
  <c r="BE57" i="35"/>
  <c r="Y57" i="35"/>
  <c r="CY88" i="35"/>
  <c r="CX82" i="35"/>
  <c r="CX83" i="35" s="1"/>
  <c r="CX88" i="35"/>
  <c r="CX85" i="35"/>
  <c r="CH82" i="35"/>
  <c r="CH83" i="35" s="1"/>
  <c r="CH88" i="35"/>
  <c r="BL82" i="35"/>
  <c r="BL83" i="35" s="1"/>
  <c r="BL88" i="35"/>
  <c r="AS82" i="35"/>
  <c r="AS83" i="35" s="1"/>
  <c r="AS88" i="35"/>
  <c r="Z82" i="35"/>
  <c r="Z83" i="35" s="1"/>
  <c r="Z88" i="35"/>
  <c r="BS82" i="35"/>
  <c r="BS83" i="35" s="1"/>
  <c r="BS88" i="35"/>
  <c r="BX72" i="35"/>
  <c r="L72" i="35"/>
  <c r="CE45" i="35"/>
  <c r="AY45" i="35"/>
  <c r="S45" i="35"/>
  <c r="AH45" i="35"/>
  <c r="CG45" i="35"/>
  <c r="BA45" i="35"/>
  <c r="U45" i="35"/>
  <c r="AN45" i="35"/>
  <c r="H45" i="35"/>
  <c r="CM61" i="35"/>
  <c r="AP61" i="35"/>
  <c r="BI61" i="35"/>
  <c r="CB61" i="35"/>
  <c r="P61" i="35"/>
  <c r="AI61" i="35"/>
  <c r="CJ16" i="35"/>
  <c r="AY16" i="35"/>
  <c r="BN16" i="35"/>
  <c r="C16" i="35"/>
  <c r="Y16" i="35"/>
  <c r="AR16" i="35"/>
  <c r="AR57" i="35"/>
  <c r="L57" i="35"/>
  <c r="AE57" i="35"/>
  <c r="BZ57" i="35"/>
  <c r="AT57" i="35"/>
  <c r="N57" i="35"/>
  <c r="AK57" i="35"/>
  <c r="E57" i="35"/>
  <c r="H72" i="35"/>
  <c r="AX72" i="35"/>
  <c r="E72" i="35"/>
  <c r="S12" i="35"/>
  <c r="AP12" i="35"/>
  <c r="BD51" i="35"/>
  <c r="AH51" i="35"/>
  <c r="BA51" i="35"/>
  <c r="CT82" i="35"/>
  <c r="CT83" i="35" s="1"/>
  <c r="CT88" i="35"/>
  <c r="CT85" i="35"/>
  <c r="T82" i="35"/>
  <c r="T83" i="35" s="1"/>
  <c r="T88" i="35"/>
  <c r="CJ85" i="35"/>
  <c r="CF85" i="35"/>
  <c r="CF82" i="35"/>
  <c r="CF83" i="35" s="1"/>
  <c r="CF88" i="35"/>
  <c r="BM82" i="35"/>
  <c r="BM83" i="35" s="1"/>
  <c r="BM88" i="35"/>
  <c r="AT82" i="35"/>
  <c r="AT83" i="35" s="1"/>
  <c r="AT88" i="35"/>
  <c r="AA82" i="35"/>
  <c r="AA83" i="35" s="1"/>
  <c r="AA88" i="35"/>
  <c r="CW72" i="35"/>
  <c r="AA72" i="35"/>
  <c r="CV45" i="35"/>
  <c r="CI45" i="35"/>
  <c r="AU45" i="35"/>
  <c r="O45" i="35"/>
  <c r="AD45" i="35"/>
  <c r="CC45" i="35"/>
  <c r="AW45" i="35"/>
  <c r="Q45" i="35"/>
  <c r="AJ45" i="35"/>
  <c r="D45" i="35"/>
  <c r="CJ61" i="35"/>
  <c r="AL61" i="35"/>
  <c r="BE61" i="35"/>
  <c r="BX61" i="35"/>
  <c r="L61" i="35"/>
  <c r="AE61" i="35"/>
  <c r="CR16" i="35"/>
  <c r="BK16" i="35"/>
  <c r="BZ16" i="35"/>
  <c r="N16" i="35"/>
  <c r="AK16" i="35"/>
  <c r="BD16" i="35"/>
  <c r="CT57" i="35"/>
  <c r="CN57" i="35"/>
  <c r="BT57" i="35"/>
  <c r="G72" i="35"/>
  <c r="AD72" i="35"/>
  <c r="AW72" i="35"/>
  <c r="AB12" i="35"/>
  <c r="AU12" i="35"/>
  <c r="F12" i="35"/>
  <c r="Y12" i="35"/>
  <c r="D51" i="35"/>
  <c r="W51" i="35"/>
  <c r="AT51" i="35"/>
  <c r="CK82" i="35"/>
  <c r="CK83" i="35" s="1"/>
  <c r="CK88" i="35"/>
  <c r="BD82" i="35"/>
  <c r="BD83" i="35" s="1"/>
  <c r="BD88" i="35"/>
  <c r="AK82" i="35"/>
  <c r="AK83" i="35" s="1"/>
  <c r="AK88" i="35"/>
  <c r="CH85" i="35"/>
  <c r="CD88" i="35"/>
  <c r="CD85" i="35"/>
  <c r="CD82" i="35"/>
  <c r="CD83" i="35" s="1"/>
  <c r="BK82" i="35"/>
  <c r="BK83" i="35" s="1"/>
  <c r="BK88" i="35"/>
  <c r="CQ72" i="35"/>
  <c r="BP72" i="35"/>
  <c r="D72" i="35"/>
  <c r="AQ45" i="35"/>
  <c r="K45" i="35"/>
  <c r="BF45" i="35"/>
  <c r="Z45" i="35"/>
  <c r="AS45" i="35"/>
  <c r="M45" i="35"/>
  <c r="BL45" i="35"/>
  <c r="AF45" i="35"/>
  <c r="CW61" i="35"/>
  <c r="CD61" i="35"/>
  <c r="R61" i="35"/>
  <c r="AK61" i="35"/>
  <c r="BD61" i="35"/>
  <c r="BW61" i="35"/>
  <c r="K61" i="35"/>
  <c r="CK16" i="35"/>
  <c r="AQ16" i="35"/>
  <c r="BF16" i="35"/>
  <c r="CC16" i="35"/>
  <c r="Q16" i="35"/>
  <c r="AJ16" i="35"/>
  <c r="CS57" i="35"/>
  <c r="BP57" i="35"/>
  <c r="BR57" i="35"/>
  <c r="P72" i="35"/>
  <c r="AI72" i="35"/>
  <c r="BF72" i="35"/>
  <c r="M72" i="35"/>
  <c r="BD12" i="35"/>
  <c r="K12" i="35"/>
  <c r="AH12" i="35"/>
  <c r="BA12" i="35"/>
  <c r="P51" i="35"/>
  <c r="AI51" i="35"/>
  <c r="BF51" i="35"/>
  <c r="M51" i="35"/>
  <c r="CV85" i="35"/>
  <c r="CR88" i="35"/>
  <c r="CR82" i="35"/>
  <c r="CR83" i="35" s="1"/>
  <c r="AB82" i="35"/>
  <c r="AB83" i="35" s="1"/>
  <c r="AB88" i="35"/>
  <c r="BU82" i="35"/>
  <c r="BU83" i="35" s="1"/>
  <c r="BU88" i="35"/>
  <c r="BB82" i="35"/>
  <c r="BB83" i="35" s="1"/>
  <c r="BB88" i="35"/>
  <c r="AI82" i="35"/>
  <c r="AI83" i="35" s="1"/>
  <c r="AI88" i="35"/>
  <c r="BL57" i="35"/>
  <c r="AF57" i="35"/>
  <c r="AY57" i="35"/>
  <c r="S57" i="35"/>
  <c r="AH57" i="35"/>
  <c r="BU57" i="35"/>
  <c r="CW85" i="35"/>
  <c r="CS82" i="35"/>
  <c r="CS83" i="35" s="1"/>
  <c r="CS88" i="35"/>
  <c r="CB82" i="35"/>
  <c r="CB83" i="35" s="1"/>
  <c r="CB85" i="35"/>
  <c r="CB88" i="35"/>
  <c r="BI82" i="35"/>
  <c r="BI83" i="35" s="1"/>
  <c r="BI88" i="35"/>
  <c r="AP82" i="35"/>
  <c r="AP83" i="35" s="1"/>
  <c r="AP88" i="35"/>
  <c r="W82" i="35"/>
  <c r="W83" i="35" s="1"/>
  <c r="W88" i="35"/>
  <c r="BH72" i="35"/>
  <c r="CN45" i="35"/>
  <c r="CD45" i="35"/>
  <c r="BQ45" i="35"/>
  <c r="CO61" i="35"/>
  <c r="Z61" i="35"/>
  <c r="AS61" i="35"/>
  <c r="BL61" i="35"/>
  <c r="CE61" i="35"/>
  <c r="S61" i="35"/>
  <c r="AI16" i="35"/>
  <c r="AX16" i="35"/>
  <c r="BU16" i="35"/>
  <c r="I16" i="35"/>
  <c r="AB16" i="35"/>
  <c r="CQ57" i="35"/>
  <c r="CL57" i="35"/>
  <c r="CA57" i="35"/>
  <c r="BD72" i="35"/>
  <c r="AH72" i="35"/>
  <c r="BA72" i="35"/>
  <c r="AV12" i="35"/>
  <c r="Z12" i="35"/>
  <c r="AS12" i="35"/>
  <c r="AN51" i="35"/>
  <c r="R51" i="35"/>
  <c r="AK51" i="35"/>
  <c r="CP85" i="35"/>
  <c r="CL88" i="35"/>
  <c r="CL82" i="35"/>
  <c r="CL83" i="35" s="1"/>
  <c r="CL85" i="35"/>
  <c r="AJ82" i="35"/>
  <c r="AJ83" i="35" s="1"/>
  <c r="AJ88" i="35"/>
  <c r="CC88" i="35"/>
  <c r="CC85" i="35"/>
  <c r="CC82" i="35"/>
  <c r="CC83" i="35" s="1"/>
  <c r="BJ82" i="35"/>
  <c r="BJ83" i="35" s="1"/>
  <c r="BJ88" i="35"/>
  <c r="AQ82" i="35"/>
  <c r="AQ83" i="35" s="1"/>
  <c r="AQ88" i="35"/>
  <c r="CS72" i="35"/>
  <c r="BW72" i="35"/>
  <c r="K72" i="35"/>
  <c r="CQ45" i="35"/>
  <c r="BZ45" i="35"/>
  <c r="BM45" i="35"/>
  <c r="CX61" i="35"/>
  <c r="CH61" i="35"/>
  <c r="V61" i="35"/>
  <c r="AO61" i="35"/>
  <c r="BH61" i="35"/>
  <c r="CA61" i="35"/>
  <c r="O61" i="35"/>
  <c r="CN16" i="35"/>
  <c r="AU16" i="35"/>
  <c r="BJ16" i="35"/>
  <c r="CG16" i="35"/>
  <c r="U16" i="35"/>
  <c r="AN16" i="35"/>
  <c r="AN57" i="35"/>
  <c r="H57" i="35"/>
  <c r="BG57" i="35"/>
  <c r="AA57" i="35"/>
  <c r="BV57" i="35"/>
  <c r="AP57" i="35"/>
  <c r="J57" i="35"/>
  <c r="BM57" i="35"/>
  <c r="AG57" i="35"/>
  <c r="BC72" i="35"/>
  <c r="N72" i="35"/>
  <c r="AG72" i="35"/>
  <c r="L12" i="35"/>
  <c r="AE12" i="35"/>
  <c r="BB12" i="35"/>
  <c r="I12" i="35"/>
  <c r="AZ51" i="35"/>
  <c r="G51" i="35"/>
  <c r="AD51" i="35"/>
  <c r="AW51" i="35"/>
  <c r="CV82" i="35"/>
  <c r="CV83" i="35" s="1"/>
  <c r="CV88" i="35"/>
  <c r="BT82" i="35"/>
  <c r="BT83" i="35" s="1"/>
  <c r="BT88" i="35"/>
  <c r="BA82" i="35"/>
  <c r="BA83" i="35" s="1"/>
  <c r="BA88" i="35"/>
  <c r="AH82" i="35"/>
  <c r="AH83" i="35" s="1"/>
  <c r="AH88" i="35"/>
  <c r="CA88" i="35"/>
  <c r="CA82" i="35"/>
  <c r="CA83" i="35" s="1"/>
  <c r="AZ72" i="35"/>
  <c r="CO45" i="35"/>
  <c r="BV45" i="35"/>
  <c r="CS61" i="35"/>
  <c r="BN61" i="35"/>
  <c r="CG61" i="35"/>
  <c r="U61" i="35"/>
  <c r="AN61" i="35"/>
  <c r="BG61" i="35"/>
  <c r="CY16" i="35"/>
  <c r="CM16" i="35"/>
  <c r="AA16" i="35"/>
  <c r="AP16" i="35"/>
  <c r="BM16" i="35"/>
  <c r="CF16" i="35"/>
  <c r="T16" i="35"/>
  <c r="CK57" i="35"/>
  <c r="AJ57" i="35"/>
  <c r="D57" i="35"/>
  <c r="BC57" i="35"/>
  <c r="W57" i="35"/>
  <c r="AL57" i="35"/>
  <c r="F57" i="35"/>
  <c r="BI57" i="35"/>
  <c r="AC57" i="35"/>
  <c r="S72" i="35"/>
  <c r="AP72" i="35"/>
  <c r="AN12" i="35"/>
  <c r="BG12" i="35"/>
  <c r="R12" i="35"/>
  <c r="AK12" i="35"/>
  <c r="S51" i="35"/>
  <c r="AP51" i="35"/>
  <c r="CQ85" i="35"/>
  <c r="CM85" i="35"/>
  <c r="CM82" i="35"/>
  <c r="CM83" i="35" s="1"/>
  <c r="CM88" i="35"/>
  <c r="AR82" i="35"/>
  <c r="AR83" i="35" s="1"/>
  <c r="AR88" i="35"/>
  <c r="Y82" i="35"/>
  <c r="Y83" i="35" s="1"/>
  <c r="Y88" i="35"/>
  <c r="BR82" i="35"/>
  <c r="BR83" i="35" s="1"/>
  <c r="BR88" i="35"/>
  <c r="AY82" i="35"/>
  <c r="AY83" i="35" s="1"/>
  <c r="AY88" i="35"/>
  <c r="CM57" i="35"/>
  <c r="CB57" i="35"/>
  <c r="BO57" i="35"/>
  <c r="CD57" i="35"/>
  <c r="AO57" i="35"/>
  <c r="I57" i="35"/>
  <c r="CP82" i="35"/>
  <c r="CP83" i="35" s="1"/>
  <c r="CP88" i="35"/>
  <c r="AF82" i="35"/>
  <c r="AF83" i="35" s="1"/>
  <c r="AF88" i="35"/>
  <c r="BY82" i="35"/>
  <c r="BY83" i="35" s="1"/>
  <c r="BY88" i="35"/>
  <c r="BF82" i="35"/>
  <c r="BF83" i="35" s="1"/>
  <c r="BF88" i="35"/>
  <c r="AM82" i="35"/>
  <c r="AM83" i="35" s="1"/>
  <c r="AM88" i="35"/>
  <c r="AR72" i="35"/>
  <c r="BO45" i="35"/>
  <c r="AI45" i="35"/>
  <c r="AX45" i="35"/>
  <c r="R45" i="35"/>
  <c r="AK45" i="35"/>
  <c r="E45" i="35"/>
  <c r="BD45" i="35"/>
  <c r="X45" i="35"/>
  <c r="BV61" i="35"/>
  <c r="J61" i="35"/>
  <c r="AC61" i="35"/>
  <c r="AV61" i="35"/>
  <c r="BO61" i="35"/>
  <c r="CE16" i="35"/>
  <c r="S16" i="35"/>
  <c r="AH16" i="35"/>
  <c r="BE16" i="35"/>
  <c r="BX16" i="35"/>
  <c r="L16" i="35"/>
  <c r="CY57" i="35"/>
  <c r="BH57" i="35"/>
  <c r="AB57" i="35"/>
  <c r="AU57" i="35"/>
  <c r="O57" i="35"/>
  <c r="BJ57" i="35"/>
  <c r="AD57" i="35"/>
  <c r="CG57" i="35"/>
  <c r="BA57" i="35"/>
  <c r="U57" i="35"/>
  <c r="AN72" i="35"/>
  <c r="R72" i="35"/>
  <c r="AK72" i="35"/>
  <c r="AF12" i="35"/>
  <c r="AY12" i="35"/>
  <c r="J12" i="35"/>
  <c r="AC12" i="35"/>
  <c r="X51" i="35"/>
  <c r="U51" i="35"/>
  <c r="CR85" i="35"/>
  <c r="CN82" i="35"/>
  <c r="CN83" i="35" s="1"/>
  <c r="CN85" i="35"/>
  <c r="CN88" i="35"/>
  <c r="AZ82" i="35"/>
  <c r="AZ83" i="35" s="1"/>
  <c r="AZ88" i="35"/>
  <c r="AG82" i="35"/>
  <c r="AG83" i="35" s="1"/>
  <c r="AG88" i="35"/>
  <c r="BZ82" i="35"/>
  <c r="BZ83" i="35" s="1"/>
  <c r="BZ88" i="35"/>
  <c r="BH88" i="35"/>
  <c r="BG82" i="35"/>
  <c r="BG83" i="35" s="1"/>
  <c r="BG88" i="35"/>
  <c r="BG72" i="35"/>
  <c r="CK45" i="35"/>
  <c r="BK45" i="35"/>
  <c r="AE45" i="35"/>
  <c r="AT45" i="35"/>
  <c r="N45" i="35"/>
  <c r="AG45" i="35"/>
  <c r="CF45" i="35"/>
  <c r="AZ45" i="35"/>
  <c r="T45" i="35"/>
  <c r="CT61" i="35"/>
  <c r="BR61" i="35"/>
  <c r="F61" i="35"/>
  <c r="Y61" i="35"/>
  <c r="AR61" i="35"/>
  <c r="BK61" i="35"/>
  <c r="CI16" i="35"/>
  <c r="AE16" i="35"/>
  <c r="AT16" i="35"/>
  <c r="BQ16" i="35"/>
  <c r="E16" i="35"/>
  <c r="X16" i="35"/>
  <c r="CX57" i="35"/>
  <c r="CH57" i="35"/>
  <c r="AM72" i="35"/>
  <c r="Q72" i="35"/>
  <c r="O12" i="35"/>
  <c r="AL12" i="35"/>
  <c r="BE12" i="35"/>
  <c r="AJ51" i="35"/>
  <c r="BC51" i="35"/>
  <c r="N51" i="35"/>
  <c r="AG51" i="35"/>
  <c r="CU85" i="35"/>
  <c r="CQ82" i="35"/>
  <c r="CQ83" i="35" s="1"/>
  <c r="CQ88" i="35"/>
  <c r="X82" i="35"/>
  <c r="X83" i="35" s="1"/>
  <c r="X88" i="35"/>
  <c r="BQ82" i="35"/>
  <c r="BQ83" i="35" s="1"/>
  <c r="BQ88" i="35"/>
  <c r="AX82" i="35"/>
  <c r="AX83" i="35" s="1"/>
  <c r="AX88" i="35"/>
  <c r="AE82" i="35"/>
  <c r="AE83" i="35" s="1"/>
  <c r="AE88" i="35"/>
  <c r="CK72" i="35"/>
  <c r="AJ72" i="35"/>
  <c r="CY45" i="35"/>
  <c r="CR45" i="35"/>
  <c r="BG45" i="35"/>
  <c r="AA45" i="35"/>
  <c r="AP45" i="35"/>
  <c r="J45" i="35"/>
  <c r="BI45" i="35"/>
  <c r="AC45" i="35"/>
  <c r="CB45" i="35"/>
  <c r="AV45" i="35"/>
  <c r="P45" i="35"/>
  <c r="CL61" i="35"/>
  <c r="AX61" i="35"/>
  <c r="BQ61" i="35"/>
  <c r="E61" i="35"/>
  <c r="X61" i="35"/>
  <c r="AQ61" i="35"/>
  <c r="CU16" i="35"/>
  <c r="BW16" i="35"/>
  <c r="K16" i="35"/>
  <c r="Z16" i="35"/>
  <c r="AW16" i="35"/>
  <c r="BP16" i="35"/>
  <c r="D16" i="35"/>
  <c r="BY57" i="35"/>
  <c r="AV72" i="35"/>
  <c r="Z72" i="35"/>
  <c r="AS72" i="35"/>
  <c r="X12" i="35"/>
  <c r="AQ12" i="35"/>
  <c r="U12" i="35"/>
  <c r="AV51" i="35"/>
  <c r="Z51" i="35"/>
  <c r="AS51" i="35"/>
  <c r="CS85" i="35"/>
  <c r="CO88" i="35"/>
  <c r="CO85" i="35"/>
  <c r="CO82" i="35"/>
  <c r="CO83" i="35" s="1"/>
  <c r="AO82" i="35"/>
  <c r="AO83" i="35" s="1"/>
  <c r="AO88" i="35"/>
  <c r="V82" i="35"/>
  <c r="V83" i="35" s="1"/>
  <c r="V88" i="35"/>
  <c r="BO82" i="35"/>
  <c r="BO83" i="35" s="1"/>
  <c r="BO88" i="35"/>
  <c r="CV57" i="35"/>
  <c r="AV57" i="35"/>
  <c r="P57" i="35"/>
  <c r="AI57" i="35"/>
  <c r="AX57" i="35"/>
  <c r="R57" i="35"/>
  <c r="CJ88" i="35"/>
  <c r="CJ82" i="35"/>
  <c r="CJ83" i="35" s="1"/>
  <c r="AV82" i="35"/>
  <c r="AV83" i="35" s="1"/>
  <c r="AV88" i="35"/>
  <c r="AC82" i="35"/>
  <c r="AC83" i="35" s="1"/>
  <c r="AC88" i="35"/>
  <c r="BV82" i="35"/>
  <c r="BV83" i="35" s="1"/>
  <c r="BV88" i="35"/>
  <c r="BC82" i="35"/>
  <c r="BC83" i="35" s="1"/>
  <c r="BC88" i="35"/>
  <c r="AB72" i="35"/>
  <c r="CL45" i="35"/>
  <c r="BN45" i="35"/>
  <c r="BT45" i="35"/>
  <c r="CR61" i="35"/>
  <c r="BF61" i="35"/>
  <c r="BY61" i="35"/>
  <c r="M61" i="35"/>
  <c r="AF61" i="35"/>
  <c r="AY61" i="35"/>
  <c r="BO16" i="35"/>
  <c r="CD16" i="35"/>
  <c r="R16" i="35"/>
  <c r="AO16" i="35"/>
  <c r="BH16" i="35"/>
  <c r="CU57" i="35"/>
  <c r="CJ57" i="35"/>
  <c r="BX57" i="35"/>
  <c r="BK57" i="35"/>
  <c r="BQ57" i="35"/>
  <c r="X72" i="35"/>
  <c r="U72" i="35"/>
  <c r="P12" i="35"/>
  <c r="AI12" i="35"/>
  <c r="BF12" i="35"/>
  <c r="M12" i="35"/>
  <c r="H51" i="35"/>
  <c r="AX51" i="35"/>
  <c r="E51" i="35"/>
  <c r="CW82" i="35"/>
  <c r="CW83" i="35" s="1"/>
  <c r="CW88" i="35"/>
  <c r="BP82" i="35"/>
  <c r="BP83" i="35" s="1"/>
  <c r="BP88" i="35"/>
  <c r="AW82" i="35"/>
  <c r="AW83" i="35" s="1"/>
  <c r="AW88" i="35"/>
  <c r="AD82" i="35"/>
  <c r="AD83" i="35" s="1"/>
  <c r="AD88" i="35"/>
  <c r="BW82" i="35"/>
  <c r="BW83" i="35" s="1"/>
  <c r="BW88" i="35"/>
  <c r="AQ72" i="35"/>
  <c r="CA45" i="35"/>
  <c r="BJ45" i="35"/>
  <c r="BP45" i="35"/>
  <c r="CP61" i="35"/>
  <c r="BB61" i="35"/>
  <c r="BU61" i="35"/>
  <c r="I61" i="35"/>
  <c r="AB61" i="35"/>
  <c r="AU61" i="35"/>
  <c r="CV16" i="35"/>
  <c r="CA16" i="35"/>
  <c r="O16" i="35"/>
  <c r="AD16" i="35"/>
  <c r="BA16" i="35"/>
  <c r="BT16" i="35"/>
  <c r="H16" i="35"/>
  <c r="CP57" i="35"/>
  <c r="BD57" i="35"/>
  <c r="X57" i="35"/>
  <c r="BW57" i="35"/>
  <c r="AQ57" i="35"/>
  <c r="K57" i="35"/>
  <c r="BF57" i="35"/>
  <c r="Z57" i="35"/>
  <c r="CC57" i="35"/>
  <c r="AW57" i="35"/>
  <c r="Q57" i="35"/>
  <c r="W72" i="35"/>
  <c r="AT72" i="35"/>
  <c r="AR12" i="35"/>
  <c r="V12" i="35"/>
  <c r="AO12" i="35"/>
  <c r="T51" i="35"/>
  <c r="AM51" i="35"/>
  <c r="Q51" i="35"/>
  <c r="CI82" i="35"/>
  <c r="CI83" i="35" s="1"/>
  <c r="CI88" i="35"/>
  <c r="AN82" i="35"/>
  <c r="AN83" i="35" s="1"/>
  <c r="AN88" i="35"/>
  <c r="U82" i="35"/>
  <c r="U83" i="35" s="1"/>
  <c r="U88" i="35"/>
  <c r="CK85" i="35"/>
  <c r="CG88" i="35"/>
  <c r="CG85" i="35"/>
  <c r="CG82" i="35"/>
  <c r="CG83" i="35" s="1"/>
  <c r="BN82" i="35"/>
  <c r="BN83" i="35" s="1"/>
  <c r="BN88" i="35"/>
  <c r="AU82" i="35"/>
  <c r="AU83" i="35" s="1"/>
  <c r="AU88" i="35"/>
  <c r="CF72" i="35"/>
  <c r="T72" i="35"/>
  <c r="CU45" i="35"/>
  <c r="CM45" i="35"/>
  <c r="BW45" i="35"/>
  <c r="BY45" i="35"/>
  <c r="CN61" i="35"/>
  <c r="AH61" i="35"/>
  <c r="BA61" i="35"/>
  <c r="BT61" i="35"/>
  <c r="H61" i="35"/>
  <c r="AA61" i="35"/>
  <c r="CQ16" i="35"/>
  <c r="BG16" i="35"/>
  <c r="BV16" i="35"/>
  <c r="J16" i="35"/>
  <c r="AG16" i="35"/>
  <c r="AZ16" i="35"/>
  <c r="CW57" i="35"/>
  <c r="CI57" i="35"/>
  <c r="CF57" i="35"/>
  <c r="AZ57" i="35"/>
  <c r="T57" i="35"/>
  <c r="BS57" i="35"/>
  <c r="AM57" i="35"/>
  <c r="G57" i="35"/>
  <c r="BB57" i="35"/>
  <c r="V57" i="35"/>
  <c r="AS57" i="35"/>
  <c r="M57" i="35"/>
  <c r="AF72" i="35"/>
  <c r="AY72" i="35"/>
  <c r="J72" i="35"/>
  <c r="AC72" i="35"/>
  <c r="H12" i="35"/>
  <c r="AA12" i="35"/>
  <c r="AX12" i="35"/>
  <c r="E12" i="35"/>
  <c r="AF51" i="35"/>
  <c r="AY51" i="35"/>
  <c r="J51" i="35"/>
  <c r="AC51" i="35"/>
  <c r="CY85" i="35"/>
  <c r="CU82" i="35"/>
  <c r="CU83" i="35" s="1"/>
  <c r="CU88" i="35"/>
  <c r="BX82" i="35"/>
  <c r="BX83" i="35" s="1"/>
  <c r="BX88" i="35"/>
  <c r="BE82" i="35"/>
  <c r="BE83" i="35" s="1"/>
  <c r="BE88" i="35"/>
  <c r="AL82" i="35"/>
  <c r="AL83" i="35" s="1"/>
  <c r="AL88" i="35"/>
  <c r="S82" i="35"/>
  <c r="S83" i="35" s="1"/>
  <c r="CI85" i="35"/>
  <c r="CE82" i="35"/>
  <c r="CE83" i="35" s="1"/>
  <c r="CE88" i="35"/>
  <c r="CE85" i="35"/>
  <c r="BU99" i="35"/>
  <c r="BW99" i="35"/>
  <c r="BT99" i="35"/>
  <c r="BV99" i="35"/>
  <c r="F77" i="35" l="1"/>
  <c r="F82" i="35" s="1"/>
  <c r="F83" i="35" s="1"/>
  <c r="DF77" i="35"/>
  <c r="DF85" i="35" s="1"/>
  <c r="I77" i="35"/>
  <c r="C77" i="35"/>
  <c r="C82" i="35" s="1"/>
  <c r="C83" i="35" s="1"/>
  <c r="N77" i="35"/>
  <c r="E77" i="35"/>
  <c r="K77" i="35"/>
  <c r="DG77" i="35"/>
  <c r="M77" i="35"/>
  <c r="P77" i="35"/>
  <c r="G77" i="35"/>
  <c r="J77" i="35"/>
  <c r="O77" i="35"/>
  <c r="Q77" i="35"/>
  <c r="H77" i="35"/>
  <c r="R77" i="35"/>
  <c r="D77" i="35"/>
  <c r="L77" i="35"/>
  <c r="DF82" i="35" l="1"/>
  <c r="DF83" i="35" s="1"/>
  <c r="DF88" i="35"/>
  <c r="I82" i="35"/>
  <c r="I83" i="35" s="1"/>
  <c r="I88" i="35"/>
  <c r="D82" i="35"/>
  <c r="D83" i="35" s="1"/>
  <c r="D88" i="35"/>
  <c r="S88" i="35"/>
  <c r="R82" i="35"/>
  <c r="R83" i="35" s="1"/>
  <c r="R88" i="35"/>
  <c r="H82" i="35"/>
  <c r="H83" i="35" s="1"/>
  <c r="H88" i="35"/>
  <c r="Q82" i="35"/>
  <c r="Q83" i="35" s="1"/>
  <c r="Q88" i="35"/>
  <c r="L82" i="35"/>
  <c r="L83" i="35" s="1"/>
  <c r="L88" i="35"/>
  <c r="O82" i="35"/>
  <c r="O83" i="35" s="1"/>
  <c r="O88" i="35"/>
  <c r="G82" i="35"/>
  <c r="G83" i="35" s="1"/>
  <c r="G88" i="35"/>
  <c r="J82" i="35"/>
  <c r="J83" i="35" s="1"/>
  <c r="J88" i="35"/>
  <c r="P82" i="35"/>
  <c r="P83" i="35" s="1"/>
  <c r="P88" i="35"/>
  <c r="K82" i="35"/>
  <c r="K83" i="35" s="1"/>
  <c r="K88" i="35"/>
  <c r="E82" i="35"/>
  <c r="E83" i="35" s="1"/>
  <c r="E88" i="35"/>
  <c r="F88" i="35"/>
  <c r="DG82" i="35"/>
  <c r="DG83" i="35" s="1"/>
  <c r="DG88" i="35"/>
  <c r="DG85" i="35"/>
  <c r="N88" i="35"/>
  <c r="N82" i="35"/>
  <c r="N83" i="35" s="1"/>
  <c r="M82" i="35"/>
  <c r="M83" i="35" s="1"/>
  <c r="M88" i="35"/>
</calcChain>
</file>

<file path=xl/sharedStrings.xml><?xml version="1.0" encoding="utf-8"?>
<sst xmlns="http://schemas.openxmlformats.org/spreadsheetml/2006/main" count="12084" uniqueCount="385">
  <si>
    <t>Volver al índice</t>
  </si>
  <si>
    <t>PARTIDOS DE GBA</t>
  </si>
  <si>
    <t>Ramas de actividad</t>
  </si>
  <si>
    <t>2º Trim 1996</t>
  </si>
  <si>
    <t>3º Trim 1996</t>
  </si>
  <si>
    <t>4º Trim 1996</t>
  </si>
  <si>
    <t>1º Trim 1997</t>
  </si>
  <si>
    <t>2º Trim 1997</t>
  </si>
  <si>
    <t>3º Trim 1997</t>
  </si>
  <si>
    <t>4º Trim 1997</t>
  </si>
  <si>
    <t>1º Trim 1998</t>
  </si>
  <si>
    <t>A</t>
  </si>
  <si>
    <t>AGRICULTURA, GANADERIA, CAZA Y SILVICULTURA</t>
  </si>
  <si>
    <t>Agricultura y ganaderia</t>
  </si>
  <si>
    <t>Silvicultura, extracción de madera</t>
  </si>
  <si>
    <t>B</t>
  </si>
  <si>
    <t>PESCA Y SERVICIOS CONEXOS</t>
  </si>
  <si>
    <t>Pesca y actividades relacionadas con la pesca</t>
  </si>
  <si>
    <t>C</t>
  </si>
  <si>
    <t>EXPLOTACION  DE  MINAS  Y  CANTERAS</t>
  </si>
  <si>
    <t>Extraccion de petroleo crudo y gas natural</t>
  </si>
  <si>
    <t>Extraccion de minerales metaliferos</t>
  </si>
  <si>
    <t>Explotacion de otras minas y canteras</t>
  </si>
  <si>
    <t>D</t>
  </si>
  <si>
    <t>INDUSTRIA MANUFACTURERA</t>
  </si>
  <si>
    <t>Alimentos</t>
  </si>
  <si>
    <t>Tabaco</t>
  </si>
  <si>
    <t>Productos textiles</t>
  </si>
  <si>
    <t>Confecciones</t>
  </si>
  <si>
    <t>Calzado y cuero</t>
  </si>
  <si>
    <t>Madera</t>
  </si>
  <si>
    <t>Papel</t>
  </si>
  <si>
    <t>Edición e impresión</t>
  </si>
  <si>
    <t>Productos de petróleo</t>
  </si>
  <si>
    <t>Productos químicos</t>
  </si>
  <si>
    <t>Productos de caucho y plástico</t>
  </si>
  <si>
    <t>Otros minerales no metálicos</t>
  </si>
  <si>
    <t>Metales comunes</t>
  </si>
  <si>
    <t>Otros productos de metal</t>
  </si>
  <si>
    <t>Maquinaria y equipo</t>
  </si>
  <si>
    <t>Maquinaria de oficina</t>
  </si>
  <si>
    <t>Aparatos eléctricos</t>
  </si>
  <si>
    <t>Radio y televisión</t>
  </si>
  <si>
    <t>Instrumentos médicos</t>
  </si>
  <si>
    <t>Automotores</t>
  </si>
  <si>
    <t>Otros equipo de transporte</t>
  </si>
  <si>
    <t>Muebles</t>
  </si>
  <si>
    <t>Reciclamiento de desperdicios y desechos</t>
  </si>
  <si>
    <t>E</t>
  </si>
  <si>
    <t>ELECTRICIDAD, GAS Y AGUA</t>
  </si>
  <si>
    <t>Electricidad, gas y agua</t>
  </si>
  <si>
    <t>Captación, depuración y distribución de agua</t>
  </si>
  <si>
    <t>F</t>
  </si>
  <si>
    <t>CONSTRUCCION</t>
  </si>
  <si>
    <t>Construccion</t>
  </si>
  <si>
    <t>G</t>
  </si>
  <si>
    <t>COMERCIO AL POR MAYOR Y AL POR MENOR</t>
  </si>
  <si>
    <t>Vta y reparación de vehículos. vta por menor de combustible</t>
  </si>
  <si>
    <t>Comercio al por mayor</t>
  </si>
  <si>
    <t>Comercio al por menor</t>
  </si>
  <si>
    <t>H</t>
  </si>
  <si>
    <t xml:space="preserve">HOTELERIA Y RESTAURANTES </t>
  </si>
  <si>
    <t>Servicios de hoteleria y restaurantes</t>
  </si>
  <si>
    <t>I</t>
  </si>
  <si>
    <t>SERVICIOS DE TRANSPORTE, DE ALMACENAMIENTO Y DE COMUNICACIONES</t>
  </si>
  <si>
    <t>Transporte ferroviario y automotor y por tuberias</t>
  </si>
  <si>
    <t>Transporte marítimo y fluvial</t>
  </si>
  <si>
    <t>Transporte aéreo de cargas y de pasajeros</t>
  </si>
  <si>
    <t>Manipulación de carga, almacenamiento y depósito</t>
  </si>
  <si>
    <t xml:space="preserve">Telecomunicaciones y correos  </t>
  </si>
  <si>
    <t>J</t>
  </si>
  <si>
    <t xml:space="preserve">INTERMEDIACION FINANCIERA Y OTROS SERVICIOS FINANCIEROS </t>
  </si>
  <si>
    <t>Intermediacion financiera y otros servicios financieros</t>
  </si>
  <si>
    <t xml:space="preserve">Seguros </t>
  </si>
  <si>
    <t>Servicios auxiliares a la actividad financiera</t>
  </si>
  <si>
    <t>K</t>
  </si>
  <si>
    <t>SERVICIOS INMOBILIARIOS, EMPRESARIALES Y DE ALQUILER</t>
  </si>
  <si>
    <t>Servicios inmobiliarios</t>
  </si>
  <si>
    <t>Alquiler de equipo de transporte y de maquinaria</t>
  </si>
  <si>
    <t>Actividades de informática</t>
  </si>
  <si>
    <t>Investigación y desarrollo</t>
  </si>
  <si>
    <t>Servicios jurídicos, contables y otros servicios a empresas</t>
  </si>
  <si>
    <t>Agencias de empleo temporario</t>
  </si>
  <si>
    <t>M</t>
  </si>
  <si>
    <t>ENSEÑANZA</t>
  </si>
  <si>
    <t>Enseñanza</t>
  </si>
  <si>
    <t>N</t>
  </si>
  <si>
    <t>SERVICIOS SOCIALES Y DE SALUD</t>
  </si>
  <si>
    <t>Servicios sociales y de salud</t>
  </si>
  <si>
    <t>O</t>
  </si>
  <si>
    <t>SERVICIOS COMUNITARIOS, SOCIALES Y PERSONALES N.C.P.</t>
  </si>
  <si>
    <t>Eliminación de desperdicios</t>
  </si>
  <si>
    <t>Servicios de organizaciones empresariales</t>
  </si>
  <si>
    <t>Servicios culturales, deportivos y de esparcimiento</t>
  </si>
  <si>
    <t>Servicios n.c.p.</t>
  </si>
  <si>
    <t>TOTAL</t>
  </si>
  <si>
    <t>Notas:</t>
  </si>
  <si>
    <t>RESTO DE BUENOS AIRES</t>
  </si>
  <si>
    <t>Edición</t>
  </si>
  <si>
    <t>Telecomunicaciones y correos</t>
  </si>
  <si>
    <t>Seguros</t>
  </si>
  <si>
    <t>CORDOBA</t>
  </si>
  <si>
    <t>CHUBUT</t>
  </si>
  <si>
    <t>Cuero</t>
  </si>
  <si>
    <t>ENTRE RIOS</t>
  </si>
  <si>
    <t>Calzado</t>
  </si>
  <si>
    <t>JUJUY</t>
  </si>
  <si>
    <t>LA RIOJA</t>
  </si>
  <si>
    <t>Cuero y calzado</t>
  </si>
  <si>
    <t>MISIONES</t>
  </si>
  <si>
    <t>RIO NEGRO</t>
  </si>
  <si>
    <t>SAN JUAN</t>
  </si>
  <si>
    <t>SANTA CRUZ</t>
  </si>
  <si>
    <t>SANTIAGO DEL ESTERO</t>
  </si>
  <si>
    <t>CAPITAL FEDERAL</t>
  </si>
  <si>
    <t>Calzado y productos de cuero</t>
  </si>
  <si>
    <t>CATAMARCA</t>
  </si>
  <si>
    <t>Corrientes</t>
  </si>
  <si>
    <t>CHACO</t>
  </si>
  <si>
    <t>FORMOSA</t>
  </si>
  <si>
    <t>LA PAMPA</t>
  </si>
  <si>
    <t>MENDOZA</t>
  </si>
  <si>
    <t>NEUQUEN</t>
  </si>
  <si>
    <t>SALTA</t>
  </si>
  <si>
    <t>SAN LUIS</t>
  </si>
  <si>
    <t>SANTA FE</t>
  </si>
  <si>
    <t>TIERRA DEL FUEGO</t>
  </si>
  <si>
    <t>Partidos de GBA</t>
  </si>
  <si>
    <t>Formosa</t>
  </si>
  <si>
    <t>Salta</t>
  </si>
  <si>
    <t>Capital Federal</t>
  </si>
  <si>
    <t>Jujuy</t>
  </si>
  <si>
    <t>San Juan</t>
  </si>
  <si>
    <t>Resto de Bueno Aires</t>
  </si>
  <si>
    <t>La Pampa</t>
  </si>
  <si>
    <t>San Luis</t>
  </si>
  <si>
    <t>Catamarca</t>
  </si>
  <si>
    <t>La Rioja</t>
  </si>
  <si>
    <t>Santa Cruz</t>
  </si>
  <si>
    <t>Córdoba</t>
  </si>
  <si>
    <t>Mendoza</t>
  </si>
  <si>
    <t>Santa Fe</t>
  </si>
  <si>
    <t>Misiones</t>
  </si>
  <si>
    <t>Santiago del Estero</t>
  </si>
  <si>
    <t>Chaco</t>
  </si>
  <si>
    <t>Neuquén</t>
  </si>
  <si>
    <t>Tucumán</t>
  </si>
  <si>
    <t>Chubut</t>
  </si>
  <si>
    <t>Río Negro</t>
  </si>
  <si>
    <t>Tierra del Fuego</t>
  </si>
  <si>
    <t>Entre Ríos</t>
  </si>
  <si>
    <t>3 - s/d : Dato no publicado para resguardar el secreto estadístico de las firmas</t>
  </si>
  <si>
    <t>Empleo. Asalariados registrados del sector privado por rama de actividad - Trimestres corridos 1° 1996 - 2° 2013</t>
  </si>
  <si>
    <t>serie anterior</t>
  </si>
  <si>
    <t/>
  </si>
  <si>
    <t>ocup112</t>
  </si>
  <si>
    <t>ocup212</t>
  </si>
  <si>
    <t>ocup312</t>
  </si>
  <si>
    <t>ocup412</t>
  </si>
  <si>
    <t>ocup113</t>
  </si>
  <si>
    <t>ocup213</t>
  </si>
  <si>
    <t>ocup313</t>
  </si>
  <si>
    <t>ocup413</t>
  </si>
  <si>
    <t>ocup114</t>
  </si>
  <si>
    <t>ocup214</t>
  </si>
  <si>
    <t>ocup314</t>
  </si>
  <si>
    <t>ocup414</t>
  </si>
  <si>
    <t>ocup115</t>
  </si>
  <si>
    <t>ocup215</t>
  </si>
  <si>
    <t>Suma</t>
  </si>
  <si>
    <t>letra</t>
  </si>
  <si>
    <t>Total</t>
  </si>
  <si>
    <t>empresas</t>
  </si>
  <si>
    <t>ocup315</t>
  </si>
  <si>
    <t>4° Trim 2015</t>
  </si>
  <si>
    <t>1° Trim 2016</t>
  </si>
  <si>
    <t>te_03_15</t>
  </si>
  <si>
    <t>te_03_16</t>
  </si>
  <si>
    <t>te_03_15_correg_prov</t>
  </si>
  <si>
    <t>te_03_16_correg_prov</t>
  </si>
  <si>
    <t>PUB</t>
  </si>
  <si>
    <t>0</t>
  </si>
  <si>
    <t>TUCUMAN</t>
  </si>
  <si>
    <t>Empleo. Asalariados registrados del sector privado por rama de actividad - Trimestres corridos 1° 1996 - 1° 2017</t>
  </si>
  <si>
    <t>3° Trim 2021</t>
  </si>
  <si>
    <t>Agencias de empleo eventual</t>
  </si>
  <si>
    <t>1er trim 1996</t>
  </si>
  <si>
    <t>2do trim 1996</t>
  </si>
  <si>
    <t>3er trim 1996</t>
  </si>
  <si>
    <t>4to trim 1996</t>
  </si>
  <si>
    <t>1er trim 1997</t>
  </si>
  <si>
    <t>2do trim 1997</t>
  </si>
  <si>
    <t>3er trim 1997</t>
  </si>
  <si>
    <t>4to trim 1997</t>
  </si>
  <si>
    <t>1er trim 1998</t>
  </si>
  <si>
    <t>2do trim 1998</t>
  </si>
  <si>
    <t>3er trim 1998</t>
  </si>
  <si>
    <t>4to trim 1998</t>
  </si>
  <si>
    <t>1er trim 1999</t>
  </si>
  <si>
    <t>2do trim 1999</t>
  </si>
  <si>
    <t>3er trim 1999</t>
  </si>
  <si>
    <t>4to trim 1999</t>
  </si>
  <si>
    <t>1er trim 2000</t>
  </si>
  <si>
    <t>2do trim 2000</t>
  </si>
  <si>
    <t>3er trim 2000</t>
  </si>
  <si>
    <t>4to trim 2000</t>
  </si>
  <si>
    <t>1er trim 2001</t>
  </si>
  <si>
    <t>2do trim 2001</t>
  </si>
  <si>
    <t>3er trim 2001</t>
  </si>
  <si>
    <t>4to trim 2001</t>
  </si>
  <si>
    <t>1er trim 2002</t>
  </si>
  <si>
    <t>2do trim 2002</t>
  </si>
  <si>
    <t>3er trim 2002</t>
  </si>
  <si>
    <t>4to trim 2002</t>
  </si>
  <si>
    <t>1er trim 2003</t>
  </si>
  <si>
    <t>2do trim 2003</t>
  </si>
  <si>
    <t>3er trim 2003</t>
  </si>
  <si>
    <t>4to trim 2003</t>
  </si>
  <si>
    <t>1er trim 2004</t>
  </si>
  <si>
    <t>2do trim 2004</t>
  </si>
  <si>
    <t>3er trim 2004</t>
  </si>
  <si>
    <t>4to trim 2004</t>
  </si>
  <si>
    <t>1er trim 2005</t>
  </si>
  <si>
    <t>2do trim 2005</t>
  </si>
  <si>
    <t>3er trim 2005</t>
  </si>
  <si>
    <t>4to trim 2005</t>
  </si>
  <si>
    <t>1er trim 2006</t>
  </si>
  <si>
    <t>2do trim 2006</t>
  </si>
  <si>
    <t>3er trim 2006</t>
  </si>
  <si>
    <t>4to trim 2006</t>
  </si>
  <si>
    <t>1er trim 2007</t>
  </si>
  <si>
    <t>2do trim 2007</t>
  </si>
  <si>
    <t>3er trim 2007</t>
  </si>
  <si>
    <t>4to trim 2007</t>
  </si>
  <si>
    <t>1er trim 2008</t>
  </si>
  <si>
    <t>2do trim 2008</t>
  </si>
  <si>
    <t>3er trim 2008</t>
  </si>
  <si>
    <t>4to trim 2008</t>
  </si>
  <si>
    <t>1er trim 2009</t>
  </si>
  <si>
    <t>2do trim 2009</t>
  </si>
  <si>
    <t>3er trim 2009</t>
  </si>
  <si>
    <t>4to trim 2009</t>
  </si>
  <si>
    <t>1er trim 2010</t>
  </si>
  <si>
    <t>2do trim 2010</t>
  </si>
  <si>
    <t>3er trim 2010</t>
  </si>
  <si>
    <t>4to trim 2010</t>
  </si>
  <si>
    <t>1er trim 2011</t>
  </si>
  <si>
    <t>2do trim 2011</t>
  </si>
  <si>
    <t>3er trim 2011</t>
  </si>
  <si>
    <t>4to trim 2011</t>
  </si>
  <si>
    <t>1er trim 2012</t>
  </si>
  <si>
    <t>2do trim 2012</t>
  </si>
  <si>
    <t>3er trim 2012</t>
  </si>
  <si>
    <t>4to trim 2012</t>
  </si>
  <si>
    <t>1er trim 2013</t>
  </si>
  <si>
    <t>2do trim 2013</t>
  </si>
  <si>
    <t>3er trim 2013</t>
  </si>
  <si>
    <t>4to trim 2013</t>
  </si>
  <si>
    <t>1er trim 2014</t>
  </si>
  <si>
    <t>2do trim 2014</t>
  </si>
  <si>
    <t>3er trim 2014</t>
  </si>
  <si>
    <t>4to trim 2014</t>
  </si>
  <si>
    <t>1er trim 2015</t>
  </si>
  <si>
    <t>2do trim 2015</t>
  </si>
  <si>
    <t>3er trim 2015</t>
  </si>
  <si>
    <t>4to trim 2015</t>
  </si>
  <si>
    <t>1er trim 2016</t>
  </si>
  <si>
    <t>2do trim 2016</t>
  </si>
  <si>
    <t>3er trim 2016</t>
  </si>
  <si>
    <t>4to trim 2016</t>
  </si>
  <si>
    <t>1er trim 2017</t>
  </si>
  <si>
    <t>2do trim 2017</t>
  </si>
  <si>
    <t>3er trim 2017</t>
  </si>
  <si>
    <t>4to trim 2017</t>
  </si>
  <si>
    <t>1er trim 2018</t>
  </si>
  <si>
    <t>2do trim 2018</t>
  </si>
  <si>
    <t>3er trim 2018</t>
  </si>
  <si>
    <t>4to trim 2018</t>
  </si>
  <si>
    <t>1er trim 2019</t>
  </si>
  <si>
    <t>2do trim 2019</t>
  </si>
  <si>
    <t>3er trim 2019</t>
  </si>
  <si>
    <t>4to trim 2019</t>
  </si>
  <si>
    <t>1er trim 2020</t>
  </si>
  <si>
    <t>2do trim 2020</t>
  </si>
  <si>
    <t>3er trim 2020</t>
  </si>
  <si>
    <t>4to trim 2020</t>
  </si>
  <si>
    <t>1er trim 2021</t>
  </si>
  <si>
    <t>2do trim 2021</t>
  </si>
  <si>
    <t>3er trim 2021</t>
  </si>
  <si>
    <t>4to trim 2021</t>
  </si>
  <si>
    <t>1er trim 2022</t>
  </si>
  <si>
    <t>Serie Provincial (1)</t>
  </si>
  <si>
    <t>Serie Nacional (2)</t>
  </si>
  <si>
    <t>diferencia (1-2)</t>
  </si>
  <si>
    <t>2do trim 2022</t>
  </si>
  <si>
    <t>3er trim 2022</t>
  </si>
  <si>
    <t>4to trim 2022</t>
  </si>
  <si>
    <t>1er trim 2023</t>
  </si>
  <si>
    <t>Índice Boletin Anual de Empresas por Provincias (a 2 dígitos)</t>
  </si>
  <si>
    <t>Empresas del sector privado por rama de actividad - Activas en cada año</t>
  </si>
  <si>
    <t>Nota metodológica</t>
  </si>
  <si>
    <t>ESTADÍSTICAS SOBRE EMPRESAS Y EMPLEO ASALARIADO REGISTRADO PORPROVINCIA</t>
  </si>
  <si>
    <t xml:space="preserve">El Boletín Provincial recopila una serie de tablas estadísticas elaboradas por el Observatorio de Empleo y Dinámica Empresarial[1]  del Ministerio de Trabajo, Empleo y Seguridad Social. </t>
  </si>
  <si>
    <t>Tiene como fuente los registros administrativos del Sistema Integrado Previsional Argentino (SIPA) que contienen las declaraciones mensuales que realizan las empresas sobre el personal que tienen en relación de dependencia para el pago de los aportes y contribuciones patronales. La unidad de análisis es la empresa, definida como una unidad legal independiente[2]  y está identificada por su Código Único de Identificación Tributaria (CUIT). Los indicadores se refieren al empleo asalariado registrado y a las empresas privadas de industria, comercio y servicios radicadas en todo el país.</t>
  </si>
  <si>
    <t>Las empresas se encuentran clasificadas según las provincias donde declaran sus ocupados. Es decir, las empresas que informan sobre sus trabajadores en diferentes provincias se contabilizan en cada una de las provincias donde declararon ocupados, por ello, la suma de las empresas desagregadas por provincia supera al total de empresas que operan efectivamente en el país. Asimismo, el empleo se encuentra clasificado por provincia de acuerdo a las zonas donde las empresas declaran que trabajan sus empleados.</t>
  </si>
  <si>
    <t>CONSTRUCCIÓN DE LA BASE LONGITUDINAL</t>
  </si>
  <si>
    <t>El grado de desagregación alcanzado y la frecuencia con que se actualiza la información permiten el tratamiento de series longitudinales que registran la evolución del empleo al nivel de cada empresa. Esto posibilita calcular por un lado el empleo creado por las empresas que expanden sus dotaciones de personal y el creado por empresas nuevas; y por otro lado, el empleo destruido por las empresas que contraen sus dotaciones y el destruido por las empresas que cierran[3].</t>
  </si>
  <si>
    <t>La construcción de esta base longitudinal involucra varios procesos cuyo objetivo final es el de consolidar, a partir del registro administrativo, un sistema de información estadístico. Una de las principales dificultades estadísticas que presenta el registro, y que se deben resolver es la discontinuidad de la información.</t>
  </si>
  <si>
    <t>Es frecuente encontrar en un registro administrativo vacíos de información producidos por distintas causas (declaraciones tardías, errores de carga, etc.) y que no reflejan cambios reales en la información. Podría citarse como ejemplo el caso de empresas que aparecen en el registro con meses de falta de declaración seguidos y antecedidos por meses de declaración positiva de empleo. En estos casos, los valores nulos se completan utilizando la información de los períodos anterior y posterior. Sin embargo, cuando el período sin declaraciones de una firma es prolongado, se respetan los datos consignados porque se entiende que reflejan discontinuidades reales en el empleo[4]</t>
  </si>
  <si>
    <t>TOTAL DE FIRMAS Y FIRMAS LOCALES</t>
  </si>
  <si>
    <t>Se considera que son “firmas locales” a aquellas firmas que declaran una mayor proporción de su empleo en la provincia de referencia. Es decir, una misma firma diversificada en el territorio nacional será “firma local” en la provincia donde declara más empleo y “firma no local” en el resto de las provincias donde declare la otra parte del empleo.</t>
  </si>
  <si>
    <t>Esta distinción es particularmente importante para analizar demografía de empresas. La entrada y salida de las firmas no locales es muy volátil, mientras que la movilidad de las firmas locales suele ser más estable reflejando de mejor manera los procesos de expansión del tejido productivo en las regiones.</t>
  </si>
  <si>
    <t>COBERTURA</t>
  </si>
  <si>
    <r>
      <t>Cobertura geográfica:</t>
    </r>
    <r>
      <rPr>
        <sz val="11"/>
        <color indexed="63"/>
        <rFont val="Arial"/>
        <family val="2"/>
      </rPr>
      <t xml:space="preserve"> todo el país.</t>
    </r>
  </si>
  <si>
    <r>
      <t xml:space="preserve">Cobertura de sector económico: </t>
    </r>
    <r>
      <rPr>
        <sz val="11"/>
        <color indexed="63"/>
        <rFont val="Arial"/>
        <family val="2"/>
      </rPr>
      <t>la cobertura de esta base incluye todas las ramas de la actividad económica privada, excepto los trabajadores en casas particulares.</t>
    </r>
  </si>
  <si>
    <t>Quedan excluidos del registro:</t>
  </si>
  <si>
    <t>Trabajadores del sector público.</t>
  </si>
  <si>
    <t>Trabajadores en casas particulares.</t>
  </si>
  <si>
    <t xml:space="preserve"> Asalariados no registrados.</t>
  </si>
  <si>
    <t>Trabajadores por cuenta propia, patrones y trabajo familiar.</t>
  </si>
  <si>
    <t>DEFINICIONES</t>
  </si>
  <si>
    <t>A continuación se presentan las definiciones que se utilizaron para el análisis de la demografía (movilidad) de las empresas:</t>
  </si>
  <si>
    <r>
      <t>Empresas que abren</t>
    </r>
    <r>
      <rPr>
        <sz val="11"/>
        <color indexed="63"/>
        <rFont val="Arial"/>
        <family val="2"/>
      </rPr>
      <t xml:space="preserve">: Son empresas que inician actividades durante el período de referencia. Se identifica el inicio de actividades de una firma, a partir de la fecha de las primeras declaraciones de personal ocupado de las nuevas firmas. Para el análisis de la antigüedad de las firmas se toma en cuenta también la fecha de ingreso al padrón de empleadores de AFIP. </t>
    </r>
  </si>
  <si>
    <r>
      <t>Empresas que cierran:</t>
    </r>
    <r>
      <rPr>
        <sz val="11"/>
        <color indexed="63"/>
        <rFont val="Arial"/>
        <family val="2"/>
      </rPr>
      <t xml:space="preserve"> Se definen a partir de un criterio empírico que considera como cerrada (dada de baja) a toda empresa que no declara personal ocupado a lo largo de un año (4 trimestres) [5]. Para poder medir el impacto de los cierres en los flujos de empleo, se considera que el momento en que se produce el cierre de la empresa es el primer período de empleo nulo[6]</t>
    </r>
  </si>
  <si>
    <r>
      <t>Cambio neto de empresas:</t>
    </r>
    <r>
      <rPr>
        <sz val="11"/>
        <color indexed="63"/>
        <rFont val="Arial"/>
        <family val="2"/>
      </rPr>
      <t xml:space="preserve"> Es la diferencia entre las aperturas y los cierres de empresas.</t>
    </r>
  </si>
  <si>
    <r>
      <t xml:space="preserve">Tasas de entrada y tasa de salida de empresas: </t>
    </r>
    <r>
      <rPr>
        <sz val="11"/>
        <color indexed="63"/>
        <rFont val="Arial"/>
        <family val="2"/>
      </rPr>
      <t>Es la cantidad de empresas creadas/destruidas en el período dividido por el total de empresas existentes a lo largo del período. Es decir, en el denominador se incluyen a las empresas activas (aperturas, sobrevivientes de periodos anteriores) así como a los cierres del periodo.</t>
    </r>
  </si>
  <si>
    <r>
      <t xml:space="preserve">Tasa de cambio neto: </t>
    </r>
    <r>
      <rPr>
        <sz val="11"/>
        <color indexed="63"/>
        <rFont val="Arial"/>
        <family val="2"/>
      </rPr>
      <t>Es la diferencia entre la tasa de entrada y de salida de empresas.</t>
    </r>
  </si>
  <si>
    <t>RAMA DE ACTIVIDAD ECONOMICA</t>
  </si>
  <si>
    <t>Es la rama de actividad principal, codificada con la revisión 3 del código CIIU. La información original de rama surge del padrón de contribuyentes de AFIP y se mejora incorporando información de otras fuentes: principalmente la Encuesta de Indicadores Laborales (EIL), guías de empresas, consultas a Cámaras y Organismos Reguladores, y otras bases de registros de empresas.</t>
  </si>
  <si>
    <t>ESTRATIFICACION DE LAS EMPRESAS POR TAMAÑO</t>
  </si>
  <si>
    <t>La estratificación por tamaño para una empresa en determinado trimestre se realiza a partir del empleo promedio declarado por la firma durante los últimos cuatro trimestres. Por ejemplo: para calcular el tamaño de una empresa en el 4to trimestre del año 2015, se toma en cuenta el promedio del empleo declarardo por la misma en cada trimestre del año 2015.</t>
  </si>
  <si>
    <t>Los rangos de empleo utilizados en cada estrato de tamaño varían según rama de actividad, atendiendo a diferencias sectoriales en la productividad media del trabajo y a las pautas establecidas por el país para la aplicación de políticas orientadas a la pequeña y mediana empresa. Estos tramos se determinaron a partir del nivel de ventas de las empresas definido por la SEPyME en la Resolución 24/2001 que establece el nivel máximo de ventas para cada categoría de empresa (micro, pequeña, mediana y gran empresa) según el sector en el que desarrollan su actividad.</t>
  </si>
  <si>
    <t>El tamaño es una característica de la empresa en su conjunto y no de cada local de cada empresa. Es decir que cada empresa, y por ende la cantidad de ocupados que emplea, es clasificada en los estratos de tamaño, según el empleo total de la firma [7].</t>
  </si>
  <si>
    <t>CORTES POR TAMAÑO ($)</t>
  </si>
  <si>
    <t>Agropecuario</t>
  </si>
  <si>
    <t>Industria y
Minería</t>
  </si>
  <si>
    <t>Comercio</t>
  </si>
  <si>
    <t>Servicios</t>
  </si>
  <si>
    <t>Micro</t>
  </si>
  <si>
    <t>Pequeña</t>
  </si>
  <si>
    <t>Mediana</t>
  </si>
  <si>
    <t xml:space="preserve">Fuente: Resolución SEPyME N° 24/01 </t>
  </si>
  <si>
    <t>A partir de las estimaciones realizadas se definieron tramos ocupacionales, que ponen en evidencia las fuertes diferencias entre los distintos sectores (industria, comercio y servicios) y entre las distintas ramas de actividad al interior de cada sector. Se presentan a continuación los resultados que surgieron de las estimaciones realizadas para definir los tramos de empleo que permiten clasificar a las firmas según su tamaño económico.</t>
  </si>
  <si>
    <r>
      <t xml:space="preserve">Se enuncian los </t>
    </r>
    <r>
      <rPr>
        <b/>
        <sz val="11"/>
        <color indexed="63"/>
        <rFont val="Arial"/>
        <family val="2"/>
      </rPr>
      <t>topes máximos</t>
    </r>
    <r>
      <rPr>
        <sz val="11"/>
        <color indexed="63"/>
        <rFont val="Arial"/>
        <family val="2"/>
      </rPr>
      <t xml:space="preserve"> para cada categoría, con una desagregación de dos dígitos de la CIIU Revisión 3.</t>
    </r>
  </si>
  <si>
    <t>TOPES MÁXIMOS PARA CADA CATEGORÍA: INDUSTRIA MANUFACTURERA</t>
  </si>
  <si>
    <t>Rama de actividad</t>
  </si>
  <si>
    <t>Elaboración de productos alimenticios y
 bebidas</t>
  </si>
  <si>
    <t>Elaboración de productos de tabaco</t>
  </si>
  <si>
    <t>Fabricación de productos textiles</t>
  </si>
  <si>
    <t>Fabricación de prendas de vestir;
terminación y teñido de pieles</t>
  </si>
  <si>
    <t>Curtido y terminación de cueros;
fabricación de maletas, bolsos de mano. Artículos de talabartería y guarnicioneria, y calzado</t>
  </si>
  <si>
    <t>Producción de madera y fabricación de productos de madera y corcho excepto muebles; fabricación de artículos de paja y de materiales trenzables</t>
  </si>
  <si>
    <t>Fabricación de papel y de productos de papel</t>
  </si>
  <si>
    <t>Actividades de edición e impresión y de reproducción de grabaciones</t>
  </si>
  <si>
    <t>Fabricación de productos del petróleo</t>
  </si>
  <si>
    <t>Fabricación de sustancias y productos químicos</t>
  </si>
  <si>
    <t>Fabricación de productos de caucho y plástico</t>
  </si>
  <si>
    <t>Fabricación de otros productos minerales no metálicos</t>
  </si>
  <si>
    <t>Fabricación de metales comunes</t>
  </si>
  <si>
    <t>Fabricación de productos elaborados de metal, excepto maquinaria y equipo</t>
  </si>
  <si>
    <t xml:space="preserve">Fabricación de maquinaria y equipo n.c.p. </t>
  </si>
  <si>
    <t>Fabricación de maquinaria de oficina, contabilidad e informática</t>
  </si>
  <si>
    <t>Fabricación de maquinaria y aparatos eléctricos n.c.p.</t>
  </si>
  <si>
    <t>Fabricación de equipo y aparatos de radio, televisión y comunicaciones</t>
  </si>
  <si>
    <t>Fabricación de instrumentos médicos, ópticos y de precisión y fabricación de relojes</t>
  </si>
  <si>
    <t>Fabricación de vehículos automotores, remolques y semirremolques</t>
  </si>
  <si>
    <t>Fabricación de otros tipos de equipos de transporte</t>
  </si>
  <si>
    <t>Fabricación de muebles; industrias manufactureras n.c.p.</t>
  </si>
  <si>
    <t>Total Industria – Promedio simple</t>
  </si>
  <si>
    <t>Fuente: Observatorio de Empleo y Dinámica Empresarial - DGIyEL - SSPEyEL - en base a SIPA</t>
  </si>
  <si>
    <t>TOPES MÁXIMOS PARA CADA CATEGORÍA: COMERCIO</t>
  </si>
  <si>
    <t>Venta mantenimiento y reparación de vehículos,motocicletas y de sus partes, piezas y accesorios. Venta al por menor de combustible</t>
  </si>
  <si>
    <t>Comercio al por menor y reparación de efectos personales y enseres domésticos</t>
  </si>
  <si>
    <t>Total Comercio – Promedio simple</t>
  </si>
  <si>
    <t>[1] El Observatorio de Empleo y Dinámica Empresarial, en Argentina, fue creado por la Resolución Nº 135 de mayo de 2003, de la Secretaría de Empleo – MTEySS.</t>
  </si>
  <si>
    <t>[2] En algunos casos corresponde a un grupo de plantas o de unidades de negocio, bajo un mismo control. Puede ser, según los casos, una persona física o una persona jurídica, constituida con el objeto de ejercer en uno o varios lugares actividades de producción.</t>
  </si>
  <si>
    <t>[3]En el enfoque tradicional de estática comparada, se calcula solamente el crecimiento promedio como la diferencia del empleo total registrado en dos momentos; no se identifican comportamientos diferentes de la media (empresas que expanden y contraen sus dotaciones); no siempre se identifican los cambios en la composición de las empresas (entrada y salida de firmas). Estos problemas se resuelven en el análisis de series longitudinales</t>
  </si>
  <si>
    <t>[4] La situación más clara corresponde a las Personas físicas que conservan un mismo CUIT a lo largo de su vida activa y que efectivamente pueden discontinuar su actividad de empleador por períodos prolongados. También sucede en los casos de actividades estacionales.</t>
  </si>
  <si>
    <t>[5] El criterio se corresponde con el aplicado por el Bureau of Labor Statistics de los Estados Unidos.</t>
  </si>
  <si>
    <t>[6]Este criterio coincide con los estudios de dinámica del empleo y difiere del que habitualmente se utiliza en demografía de empresas, particularmente en los estudios de OECD, que consideran el momento del cierre con el último período de empleo positivo.</t>
  </si>
  <si>
    <t>[7] Las estadísticas tradicionales de Argentina no siempre pueden agrupar el empleo de todos los “locales” de las empresas, por ello solamente suelen clasificar por estratos a los locales. Esta forma de clasificación de las estadísticas tradicionales lleva a subestimar la importancia del empleo en las grandes empresas (generalmente multiplanta), lo que queda contemplado clasificando a las empresas a partir de su empleo total y no a cada local por separado.</t>
  </si>
  <si>
    <t>1 - Las empresas se encuentran clasificadas por provincia según las zonas donde declaran que trabajan las personas.</t>
  </si>
  <si>
    <t>2 - Las firmas con participación accionaria privada y estatal se incluye dentro del sector privado</t>
  </si>
  <si>
    <t>s.d.</t>
  </si>
  <si>
    <t>Fuente: STEySS - Dirección Nacional de Estudios y Estadísticas Laborales - Observatorio de Empleo y Dinámica Empresarial, en base a SIPA.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</si>
</sst>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6">
    <numFmt numFmtId="43" formatCode="_-* #,##0.00_-;\-* #,##0.00_-;_-* &quot;-&quot;??_-;_-@_-"/>
    <numFmt numFmtId="164" formatCode="_ * #,##0.00_ ;_ * \-#,##0.00_ ;_ * &quot;-&quot;??_ ;_ @_ "/>
    <numFmt numFmtId="165" formatCode="_ * #,##0_ ;_ * \-#,##0_ ;_ * &quot;-&quot;??_ ;_ @_ "/>
    <numFmt numFmtId="166" formatCode="_-* #,##0_-;\-* #,##0_-;_-* &quot;-&quot;??_-;_-@_-"/>
    <numFmt numFmtId="167" formatCode="0.0%"/>
    <numFmt numFmtId="168" formatCode="###0.00"/>
  </numFmts>
  <fonts count="34" x14ac:knownFonts="1">
    <font>
      <sz val="11"/>
      <color theme="1"/>
      <name val="Calibri"/>
      <family val="2"/>
      <scheme val="minor"/>
    </font>
    <font>
      <sz val="8"/>
      <name val="Courier"/>
      <family val="3"/>
    </font>
    <font>
      <u/>
      <sz val="10"/>
      <color indexed="12"/>
      <name val="Arial"/>
      <family val="2"/>
    </font>
    <font>
      <sz val="10"/>
      <name val="Arial"/>
      <family val="2"/>
    </font>
    <font>
      <b/>
      <sz val="10"/>
      <color indexed="12"/>
      <name val="Arial"/>
      <family val="2"/>
    </font>
    <font>
      <sz val="10"/>
      <color indexed="12"/>
      <name val="Arial"/>
      <family val="2"/>
    </font>
    <font>
      <u/>
      <sz val="8"/>
      <color indexed="12"/>
      <name val="Courier"/>
      <family val="3"/>
    </font>
    <font>
      <b/>
      <sz val="9"/>
      <name val="Arial"/>
      <family val="2"/>
    </font>
    <font>
      <sz val="8"/>
      <name val="Verdana"/>
      <family val="2"/>
    </font>
    <font>
      <b/>
      <sz val="8"/>
      <name val="Arial"/>
      <family val="2"/>
    </font>
    <font>
      <sz val="8"/>
      <name val="Arial"/>
      <family val="2"/>
    </font>
    <font>
      <sz val="10"/>
      <name val="Verdana"/>
      <family val="2"/>
    </font>
    <font>
      <b/>
      <sz val="8"/>
      <name val="Verdana"/>
      <family val="2"/>
    </font>
    <font>
      <sz val="9"/>
      <name val="Verdana"/>
      <family val="2"/>
    </font>
    <font>
      <b/>
      <sz val="18"/>
      <color indexed="56"/>
      <name val="Arial"/>
      <family val="2"/>
    </font>
    <font>
      <u/>
      <sz val="13"/>
      <color indexed="63"/>
      <name val="Arial"/>
      <family val="2"/>
    </font>
    <font>
      <sz val="13"/>
      <color indexed="63"/>
      <name val="Arial"/>
      <family val="2"/>
    </font>
    <font>
      <sz val="13"/>
      <name val="Arial"/>
      <family val="2"/>
    </font>
    <font>
      <sz val="10"/>
      <name val="Arial"/>
      <family val="2"/>
    </font>
    <font>
      <sz val="9"/>
      <color indexed="8"/>
      <name val="Arial"/>
      <family val="2"/>
    </font>
    <font>
      <sz val="10"/>
      <name val="Arial"/>
      <family val="2"/>
    </font>
    <font>
      <b/>
      <sz val="6"/>
      <color indexed="8"/>
      <name val="Arial Bold"/>
    </font>
    <font>
      <sz val="6"/>
      <color indexed="8"/>
      <name val="Arial"/>
      <family val="2"/>
    </font>
    <font>
      <sz val="11"/>
      <color theme="1"/>
      <name val="Calibri"/>
      <family val="2"/>
      <scheme val="minor"/>
    </font>
    <font>
      <sz val="10"/>
      <name val="Arial"/>
      <family val="2"/>
    </font>
    <font>
      <sz val="6"/>
      <color indexed="8"/>
      <name val="Arial"/>
      <family val="2"/>
    </font>
    <font>
      <b/>
      <sz val="12"/>
      <color indexed="56"/>
      <name val="Arial"/>
      <family val="2"/>
    </font>
    <font>
      <sz val="11"/>
      <color indexed="63"/>
      <name val="Arial"/>
      <family val="2"/>
    </font>
    <font>
      <sz val="10"/>
      <color indexed="63"/>
      <name val="Arial"/>
      <family val="2"/>
    </font>
    <font>
      <b/>
      <sz val="11"/>
      <color indexed="63"/>
      <name val="Arial"/>
      <family val="2"/>
    </font>
    <font>
      <b/>
      <sz val="10"/>
      <color indexed="56"/>
      <name val="Arial"/>
      <family val="2"/>
    </font>
    <font>
      <sz val="8"/>
      <color indexed="63"/>
      <name val="Arial"/>
      <family val="2"/>
    </font>
    <font>
      <b/>
      <sz val="10"/>
      <color indexed="56"/>
      <name val="Arial Negrita"/>
    </font>
    <font>
      <b/>
      <sz val="10"/>
      <name val="Arial"/>
      <family val="2"/>
    </font>
  </fonts>
  <fills count="5">
    <fill>
      <patternFill patternType="none"/>
    </fill>
    <fill>
      <patternFill patternType="gray125"/>
    </fill>
    <fill>
      <patternFill patternType="solid">
        <fgColor indexed="9"/>
        <bgColor indexed="64"/>
      </patternFill>
    </fill>
    <fill>
      <patternFill patternType="solid">
        <fgColor indexed="50"/>
        <bgColor indexed="64"/>
      </patternFill>
    </fill>
    <fill>
      <patternFill patternType="solid">
        <fgColor theme="0"/>
        <bgColor indexed="64"/>
      </patternFill>
    </fill>
  </fills>
  <borders count="136">
    <border>
      <left/>
      <right/>
      <top/>
      <bottom/>
      <diagonal/>
    </border>
    <border>
      <left/>
      <right/>
      <top style="medium">
        <color indexed="18"/>
      </top>
      <bottom style="medium">
        <color indexed="18"/>
      </bottom>
      <diagonal/>
    </border>
    <border>
      <left/>
      <right/>
      <top style="medium">
        <color indexed="18"/>
      </top>
      <bottom style="dotted">
        <color indexed="18"/>
      </bottom>
      <diagonal/>
    </border>
    <border>
      <left/>
      <right/>
      <top/>
      <bottom style="medium">
        <color indexed="18"/>
      </bottom>
      <diagonal/>
    </border>
    <border>
      <left/>
      <right/>
      <top style="dotted">
        <color indexed="62"/>
      </top>
      <bottom style="dotted">
        <color indexed="62"/>
      </bottom>
      <diagonal/>
    </border>
    <border>
      <left/>
      <right/>
      <top style="dotted">
        <color indexed="18"/>
      </top>
      <bottom style="dotted">
        <color indexed="18"/>
      </bottom>
      <diagonal/>
    </border>
    <border>
      <left/>
      <right/>
      <top style="dotted">
        <color indexed="18"/>
      </top>
      <bottom style="medium">
        <color indexed="18"/>
      </bottom>
      <diagonal/>
    </border>
    <border>
      <left/>
      <right/>
      <top style="dotted">
        <color indexed="18"/>
      </top>
      <bottom style="dotted">
        <color indexed="56"/>
      </bottom>
      <diagonal/>
    </border>
    <border>
      <left/>
      <right/>
      <top style="dotted">
        <color indexed="56"/>
      </top>
      <bottom style="dotted">
        <color indexed="18"/>
      </bottom>
      <diagonal/>
    </border>
    <border>
      <left/>
      <right/>
      <top style="dotted">
        <color indexed="18"/>
      </top>
      <bottom/>
      <diagonal/>
    </border>
    <border>
      <left style="thick">
        <color indexed="8"/>
      </left>
      <right style="thin">
        <color indexed="8"/>
      </right>
      <top style="thick">
        <color indexed="8"/>
      </top>
      <bottom style="thin">
        <color indexed="8"/>
      </bottom>
      <diagonal/>
    </border>
    <border>
      <left style="thin">
        <color indexed="8"/>
      </left>
      <right style="thin">
        <color indexed="8"/>
      </right>
      <top style="thick">
        <color indexed="8"/>
      </top>
      <bottom style="thin">
        <color indexed="8"/>
      </bottom>
      <diagonal/>
    </border>
    <border>
      <left style="thin">
        <color indexed="8"/>
      </left>
      <right style="thick">
        <color indexed="8"/>
      </right>
      <top style="thick">
        <color indexed="8"/>
      </top>
      <bottom style="thin">
        <color indexed="8"/>
      </bottom>
      <diagonal/>
    </border>
    <border>
      <left style="thick">
        <color indexed="8"/>
      </left>
      <right style="thin">
        <color indexed="8"/>
      </right>
      <top style="thin">
        <color indexed="8"/>
      </top>
      <bottom style="thick">
        <color indexed="8"/>
      </bottom>
      <diagonal/>
    </border>
    <border>
      <left style="thin">
        <color indexed="8"/>
      </left>
      <right style="thin">
        <color indexed="8"/>
      </right>
      <top style="thin">
        <color indexed="8"/>
      </top>
      <bottom style="thick">
        <color indexed="8"/>
      </bottom>
      <diagonal/>
    </border>
    <border>
      <left style="thin">
        <color indexed="8"/>
      </left>
      <right style="thick">
        <color indexed="8"/>
      </right>
      <top style="thin">
        <color indexed="8"/>
      </top>
      <bottom style="thick">
        <color indexed="8"/>
      </bottom>
      <diagonal/>
    </border>
    <border>
      <left/>
      <right style="thick">
        <color indexed="8"/>
      </right>
      <top style="thick">
        <color indexed="8"/>
      </top>
      <bottom/>
      <diagonal/>
    </border>
    <border>
      <left style="thick">
        <color indexed="8"/>
      </left>
      <right style="thin">
        <color indexed="8"/>
      </right>
      <top style="thick">
        <color indexed="8"/>
      </top>
      <bottom/>
      <diagonal/>
    </border>
    <border>
      <left style="thin">
        <color indexed="8"/>
      </left>
      <right style="thin">
        <color indexed="8"/>
      </right>
      <top style="thick">
        <color indexed="8"/>
      </top>
      <bottom/>
      <diagonal/>
    </border>
    <border>
      <left style="thin">
        <color indexed="8"/>
      </left>
      <right style="thick">
        <color indexed="8"/>
      </right>
      <top style="thick">
        <color indexed="8"/>
      </top>
      <bottom/>
      <diagonal/>
    </border>
    <border>
      <left/>
      <right style="thick">
        <color indexed="8"/>
      </right>
      <top/>
      <bottom/>
      <diagonal/>
    </border>
    <border>
      <left style="thick">
        <color indexed="8"/>
      </left>
      <right style="thin">
        <color indexed="8"/>
      </right>
      <top/>
      <bottom/>
      <diagonal/>
    </border>
    <border>
      <left style="thin">
        <color indexed="8"/>
      </left>
      <right style="thin">
        <color indexed="8"/>
      </right>
      <top/>
      <bottom/>
      <diagonal/>
    </border>
    <border>
      <left style="thin">
        <color indexed="8"/>
      </left>
      <right style="thick">
        <color indexed="8"/>
      </right>
      <top/>
      <bottom/>
      <diagonal/>
    </border>
    <border>
      <left/>
      <right style="thick">
        <color indexed="8"/>
      </right>
      <top/>
      <bottom style="thick">
        <color indexed="8"/>
      </bottom>
      <diagonal/>
    </border>
    <border>
      <left style="thick">
        <color indexed="8"/>
      </left>
      <right style="thin">
        <color indexed="8"/>
      </right>
      <top/>
      <bottom style="thick">
        <color indexed="8"/>
      </bottom>
      <diagonal/>
    </border>
    <border>
      <left style="thin">
        <color indexed="8"/>
      </left>
      <right style="thin">
        <color indexed="8"/>
      </right>
      <top/>
      <bottom style="thick">
        <color indexed="8"/>
      </bottom>
      <diagonal/>
    </border>
    <border>
      <left style="thin">
        <color indexed="8"/>
      </left>
      <right style="thick">
        <color indexed="8"/>
      </right>
      <top/>
      <bottom style="thick">
        <color indexed="8"/>
      </bottom>
      <diagonal/>
    </border>
    <border>
      <left style="thick">
        <color indexed="8"/>
      </left>
      <right style="thin">
        <color indexed="8"/>
      </right>
      <top style="thick">
        <color indexed="8"/>
      </top>
      <bottom style="thick">
        <color indexed="8"/>
      </bottom>
      <diagonal/>
    </border>
    <border>
      <left style="thin">
        <color indexed="8"/>
      </left>
      <right style="thin">
        <color indexed="8"/>
      </right>
      <top style="thick">
        <color indexed="8"/>
      </top>
      <bottom style="thick">
        <color indexed="8"/>
      </bottom>
      <diagonal/>
    </border>
    <border>
      <left style="thin">
        <color indexed="8"/>
      </left>
      <right style="thick">
        <color indexed="8"/>
      </right>
      <top style="thick">
        <color indexed="8"/>
      </top>
      <bottom style="thick">
        <color indexed="8"/>
      </bottom>
      <diagonal/>
    </border>
    <border>
      <left style="thick">
        <color indexed="8"/>
      </left>
      <right/>
      <top style="thick">
        <color indexed="8"/>
      </top>
      <bottom/>
      <diagonal/>
    </border>
    <border>
      <left style="thick">
        <color indexed="8"/>
      </left>
      <right/>
      <top/>
      <bottom style="thick">
        <color indexed="8"/>
      </bottom>
      <diagonal/>
    </border>
    <border>
      <left style="thick">
        <color indexed="8"/>
      </left>
      <right/>
      <top/>
      <bottom/>
      <diagonal/>
    </border>
    <border>
      <left style="medium">
        <color rgb="FF1B1B77"/>
      </left>
      <right/>
      <top style="medium">
        <color indexed="18"/>
      </top>
      <bottom style="medium">
        <color indexed="18"/>
      </bottom>
      <diagonal/>
    </border>
    <border>
      <left style="medium">
        <color rgb="FF1B1B77"/>
      </left>
      <right/>
      <top style="medium">
        <color indexed="18"/>
      </top>
      <bottom style="dotted">
        <color indexed="18"/>
      </bottom>
      <diagonal/>
    </border>
    <border>
      <left style="medium">
        <color rgb="FF1B1B77"/>
      </left>
      <right/>
      <top/>
      <bottom style="medium">
        <color indexed="18"/>
      </bottom>
      <diagonal/>
    </border>
    <border>
      <left style="medium">
        <color rgb="FF1B1B77"/>
      </left>
      <right/>
      <top/>
      <bottom/>
      <diagonal/>
    </border>
    <border>
      <left style="medium">
        <color rgb="FF1B1B77"/>
      </left>
      <right/>
      <top style="dotted">
        <color indexed="62"/>
      </top>
      <bottom style="dotted">
        <color indexed="62"/>
      </bottom>
      <diagonal/>
    </border>
    <border>
      <left style="medium">
        <color rgb="FF1B1B77"/>
      </left>
      <right/>
      <top style="dotted">
        <color indexed="18"/>
      </top>
      <bottom style="dotted">
        <color indexed="18"/>
      </bottom>
      <diagonal/>
    </border>
    <border>
      <left style="medium">
        <color rgb="FF1B1B77"/>
      </left>
      <right/>
      <top style="dotted">
        <color indexed="18"/>
      </top>
      <bottom style="medium">
        <color indexed="18"/>
      </bottom>
      <diagonal/>
    </border>
    <border>
      <left style="medium">
        <color rgb="FF1B1B77"/>
      </left>
      <right/>
      <top style="dotted">
        <color indexed="18"/>
      </top>
      <bottom style="dotted">
        <color indexed="56"/>
      </bottom>
      <diagonal/>
    </border>
    <border>
      <left style="medium">
        <color rgb="FF1B1B77"/>
      </left>
      <right/>
      <top style="dotted">
        <color indexed="56"/>
      </top>
      <bottom style="dotted">
        <color indexed="18"/>
      </bottom>
      <diagonal/>
    </border>
    <border>
      <left style="medium">
        <color rgb="FF1B1B77"/>
      </left>
      <right/>
      <top style="medium">
        <color indexed="18"/>
      </top>
      <bottom style="medium">
        <color rgb="FF1B1B77"/>
      </bottom>
      <diagonal/>
    </border>
    <border>
      <left/>
      <right/>
      <top style="medium">
        <color indexed="18"/>
      </top>
      <bottom style="medium">
        <color rgb="FF1B1B77"/>
      </bottom>
      <diagonal/>
    </border>
    <border>
      <left style="medium">
        <color rgb="FF1B1B77"/>
      </left>
      <right/>
      <top style="medium">
        <color indexed="18"/>
      </top>
      <bottom style="medium">
        <color rgb="FF000099"/>
      </bottom>
      <diagonal/>
    </border>
    <border>
      <left/>
      <right/>
      <top style="medium">
        <color indexed="18"/>
      </top>
      <bottom style="medium">
        <color rgb="FF000099"/>
      </bottom>
      <diagonal/>
    </border>
    <border>
      <left style="medium">
        <color theme="3"/>
      </left>
      <right/>
      <top/>
      <bottom style="medium">
        <color theme="3"/>
      </bottom>
      <diagonal/>
    </border>
    <border>
      <left/>
      <right/>
      <top/>
      <bottom style="medium">
        <color rgb="FF0000CC"/>
      </bottom>
      <diagonal/>
    </border>
    <border>
      <left/>
      <right/>
      <top style="medium">
        <color rgb="FF000099"/>
      </top>
      <bottom/>
      <diagonal/>
    </border>
    <border>
      <left/>
      <right/>
      <top/>
      <bottom style="medium">
        <color rgb="FF000099"/>
      </bottom>
      <diagonal/>
    </border>
    <border>
      <left style="medium">
        <color rgb="FF1B1B77"/>
      </left>
      <right/>
      <top style="medium">
        <color rgb="FF000099"/>
      </top>
      <bottom/>
      <diagonal/>
    </border>
    <border>
      <left style="medium">
        <color rgb="FF1B1B77"/>
      </left>
      <right/>
      <top/>
      <bottom style="medium">
        <color theme="3"/>
      </bottom>
      <diagonal/>
    </border>
    <border>
      <left/>
      <right/>
      <top/>
      <bottom style="medium">
        <color theme="3"/>
      </bottom>
      <diagonal/>
    </border>
    <border>
      <left/>
      <right/>
      <top style="dashed">
        <color theme="4" tint="-0.249977111117893"/>
      </top>
      <bottom style="dashed">
        <color theme="4" tint="-0.249977111117893"/>
      </bottom>
      <diagonal/>
    </border>
    <border>
      <left/>
      <right/>
      <top style="dashed">
        <color theme="4" tint="-0.249977111117893"/>
      </top>
      <bottom/>
      <diagonal/>
    </border>
    <border>
      <left/>
      <right/>
      <top/>
      <bottom style="dashed">
        <color theme="4" tint="-0.249977111117893"/>
      </bottom>
      <diagonal/>
    </border>
    <border>
      <left style="thick">
        <color indexed="8"/>
      </left>
      <right/>
      <top style="thick">
        <color indexed="8"/>
      </top>
      <bottom style="thick">
        <color indexed="8"/>
      </bottom>
      <diagonal/>
    </border>
    <border>
      <left/>
      <right style="thick">
        <color indexed="8"/>
      </right>
      <top style="thick">
        <color indexed="8"/>
      </top>
      <bottom style="thick">
        <color indexed="8"/>
      </bottom>
      <diagonal/>
    </border>
    <border>
      <left style="medium">
        <color theme="3"/>
      </left>
      <right/>
      <top style="medium">
        <color theme="3"/>
      </top>
      <bottom style="medium">
        <color indexed="18"/>
      </bottom>
      <diagonal/>
    </border>
    <border>
      <left/>
      <right/>
      <top style="medium">
        <color theme="3"/>
      </top>
      <bottom style="medium">
        <color indexed="18"/>
      </bottom>
      <diagonal/>
    </border>
    <border>
      <left/>
      <right style="medium">
        <color theme="3"/>
      </right>
      <top style="medium">
        <color theme="3"/>
      </top>
      <bottom style="medium">
        <color indexed="18"/>
      </bottom>
      <diagonal/>
    </border>
    <border>
      <left style="medium">
        <color theme="3"/>
      </left>
      <right/>
      <top style="medium">
        <color indexed="18"/>
      </top>
      <bottom style="medium">
        <color rgb="FF000099"/>
      </bottom>
      <diagonal/>
    </border>
    <border>
      <left/>
      <right style="medium">
        <color theme="3"/>
      </right>
      <top style="medium">
        <color indexed="18"/>
      </top>
      <bottom style="medium">
        <color rgb="FF000099"/>
      </bottom>
      <diagonal/>
    </border>
    <border>
      <left style="medium">
        <color theme="3"/>
      </left>
      <right/>
      <top/>
      <bottom/>
      <diagonal/>
    </border>
    <border>
      <left/>
      <right style="medium">
        <color theme="3"/>
      </right>
      <top style="medium">
        <color rgb="FF000099"/>
      </top>
      <bottom/>
      <diagonal/>
    </border>
    <border>
      <left style="medium">
        <color theme="3"/>
      </left>
      <right/>
      <top/>
      <bottom style="medium">
        <color rgb="FF0000CC"/>
      </bottom>
      <diagonal/>
    </border>
    <border>
      <left style="medium">
        <color theme="3"/>
      </left>
      <right/>
      <top style="medium">
        <color indexed="18"/>
      </top>
      <bottom style="medium">
        <color indexed="18"/>
      </bottom>
      <diagonal/>
    </border>
    <border>
      <left/>
      <right style="medium">
        <color theme="3"/>
      </right>
      <top style="medium">
        <color indexed="18"/>
      </top>
      <bottom style="medium">
        <color indexed="18"/>
      </bottom>
      <diagonal/>
    </border>
    <border>
      <left style="medium">
        <color theme="3"/>
      </left>
      <right/>
      <top style="medium">
        <color indexed="18"/>
      </top>
      <bottom style="dotted">
        <color indexed="18"/>
      </bottom>
      <diagonal/>
    </border>
    <border>
      <left/>
      <right style="medium">
        <color theme="3"/>
      </right>
      <top style="medium">
        <color indexed="18"/>
      </top>
      <bottom style="dotted">
        <color indexed="18"/>
      </bottom>
      <diagonal/>
    </border>
    <border>
      <left style="medium">
        <color theme="3"/>
      </left>
      <right/>
      <top/>
      <bottom style="medium">
        <color indexed="18"/>
      </bottom>
      <diagonal/>
    </border>
    <border>
      <left/>
      <right style="medium">
        <color theme="3"/>
      </right>
      <top/>
      <bottom style="medium">
        <color indexed="18"/>
      </bottom>
      <diagonal/>
    </border>
    <border>
      <left/>
      <right style="medium">
        <color theme="3"/>
      </right>
      <top/>
      <bottom/>
      <diagonal/>
    </border>
    <border>
      <left style="medium">
        <color theme="3"/>
      </left>
      <right/>
      <top style="dotted">
        <color indexed="62"/>
      </top>
      <bottom style="dotted">
        <color indexed="62"/>
      </bottom>
      <diagonal/>
    </border>
    <border>
      <left/>
      <right style="medium">
        <color theme="3"/>
      </right>
      <top style="dotted">
        <color indexed="62"/>
      </top>
      <bottom style="dotted">
        <color indexed="62"/>
      </bottom>
      <diagonal/>
    </border>
    <border>
      <left style="medium">
        <color theme="3"/>
      </left>
      <right/>
      <top style="dotted">
        <color indexed="18"/>
      </top>
      <bottom style="dotted">
        <color indexed="18"/>
      </bottom>
      <diagonal/>
    </border>
    <border>
      <left/>
      <right style="medium">
        <color theme="3"/>
      </right>
      <top style="dotted">
        <color indexed="18"/>
      </top>
      <bottom style="dotted">
        <color indexed="18"/>
      </bottom>
      <diagonal/>
    </border>
    <border>
      <left style="medium">
        <color theme="3"/>
      </left>
      <right/>
      <top style="dotted">
        <color indexed="18"/>
      </top>
      <bottom style="medium">
        <color indexed="18"/>
      </bottom>
      <diagonal/>
    </border>
    <border>
      <left/>
      <right style="medium">
        <color theme="3"/>
      </right>
      <top style="dotted">
        <color indexed="18"/>
      </top>
      <bottom style="medium">
        <color indexed="18"/>
      </bottom>
      <diagonal/>
    </border>
    <border>
      <left style="medium">
        <color theme="3"/>
      </left>
      <right/>
      <top style="dotted">
        <color indexed="18"/>
      </top>
      <bottom style="dotted">
        <color indexed="56"/>
      </bottom>
      <diagonal/>
    </border>
    <border>
      <left/>
      <right style="medium">
        <color theme="3"/>
      </right>
      <top style="dotted">
        <color indexed="18"/>
      </top>
      <bottom style="dotted">
        <color indexed="56"/>
      </bottom>
      <diagonal/>
    </border>
    <border>
      <left style="medium">
        <color theme="3"/>
      </left>
      <right/>
      <top style="dotted">
        <color indexed="56"/>
      </top>
      <bottom style="dotted">
        <color indexed="18"/>
      </bottom>
      <diagonal/>
    </border>
    <border>
      <left/>
      <right style="medium">
        <color theme="3"/>
      </right>
      <top style="dotted">
        <color indexed="56"/>
      </top>
      <bottom style="dotted">
        <color indexed="18"/>
      </bottom>
      <diagonal/>
    </border>
    <border>
      <left/>
      <right style="medium">
        <color theme="3"/>
      </right>
      <top style="dotted">
        <color indexed="18"/>
      </top>
      <bottom/>
      <diagonal/>
    </border>
    <border>
      <left style="medium">
        <color theme="3"/>
      </left>
      <right/>
      <top style="medium">
        <color indexed="18"/>
      </top>
      <bottom style="medium">
        <color theme="3"/>
      </bottom>
      <diagonal/>
    </border>
    <border>
      <left/>
      <right/>
      <top style="medium">
        <color indexed="18"/>
      </top>
      <bottom style="medium">
        <color theme="3"/>
      </bottom>
      <diagonal/>
    </border>
    <border>
      <left/>
      <right style="medium">
        <color theme="3"/>
      </right>
      <top style="medium">
        <color indexed="18"/>
      </top>
      <bottom style="medium">
        <color theme="3"/>
      </bottom>
      <diagonal/>
    </border>
    <border>
      <left style="medium">
        <color theme="3"/>
      </left>
      <right/>
      <top style="medium">
        <color rgb="FF000099"/>
      </top>
      <bottom/>
      <diagonal/>
    </border>
    <border>
      <left style="medium">
        <color theme="3"/>
      </left>
      <right/>
      <top style="dotted">
        <color indexed="18"/>
      </top>
      <bottom/>
      <diagonal/>
    </border>
    <border>
      <left style="thin">
        <color indexed="63"/>
      </left>
      <right style="thin">
        <color indexed="63"/>
      </right>
      <top style="thin">
        <color indexed="63"/>
      </top>
      <bottom style="thin">
        <color indexed="63"/>
      </bottom>
      <diagonal/>
    </border>
    <border>
      <left/>
      <right style="thin">
        <color indexed="63"/>
      </right>
      <top style="thin">
        <color indexed="63"/>
      </top>
      <bottom style="thin">
        <color indexed="63"/>
      </bottom>
      <diagonal/>
    </border>
    <border>
      <left style="thin">
        <color indexed="63"/>
      </left>
      <right style="thin">
        <color indexed="63"/>
      </right>
      <top/>
      <bottom style="thin">
        <color indexed="63"/>
      </bottom>
      <diagonal/>
    </border>
    <border>
      <left/>
      <right style="thin">
        <color indexed="63"/>
      </right>
      <top/>
      <bottom style="thin">
        <color indexed="63"/>
      </bottom>
      <diagonal/>
    </border>
    <border>
      <left style="thin">
        <color indexed="63"/>
      </left>
      <right style="thin">
        <color indexed="63"/>
      </right>
      <top/>
      <bottom style="thin">
        <color indexed="64"/>
      </bottom>
      <diagonal/>
    </border>
    <border>
      <left style="thin">
        <color indexed="63"/>
      </left>
      <right style="thin">
        <color indexed="63"/>
      </right>
      <top style="thin">
        <color indexed="63"/>
      </top>
      <bottom/>
      <diagonal/>
    </border>
    <border>
      <left/>
      <right style="thin">
        <color indexed="63"/>
      </right>
      <top style="thin">
        <color indexed="63"/>
      </top>
      <bottom/>
      <diagonal/>
    </border>
    <border>
      <left/>
      <right style="thin">
        <color indexed="63"/>
      </right>
      <top/>
      <bottom/>
      <diagonal/>
    </border>
    <border>
      <left style="thin">
        <color indexed="63"/>
      </left>
      <right style="thin">
        <color indexed="63"/>
      </right>
      <top style="thin">
        <color indexed="64"/>
      </top>
      <bottom style="thin">
        <color indexed="63"/>
      </bottom>
      <diagonal/>
    </border>
    <border>
      <left style="thin">
        <color indexed="63"/>
      </left>
      <right style="thin">
        <color indexed="64"/>
      </right>
      <top style="thin">
        <color indexed="63"/>
      </top>
      <bottom style="thin">
        <color indexed="63"/>
      </bottom>
      <diagonal/>
    </border>
    <border>
      <left style="thin">
        <color indexed="64"/>
      </left>
      <right style="thin">
        <color indexed="63"/>
      </right>
      <top style="thin">
        <color indexed="63"/>
      </top>
      <bottom style="thin">
        <color indexed="63"/>
      </bottom>
      <diagonal/>
    </border>
    <border>
      <left/>
      <right style="thin">
        <color indexed="64"/>
      </right>
      <top style="thin">
        <color indexed="63"/>
      </top>
      <bottom style="thin">
        <color indexed="63"/>
      </bottom>
      <diagonal/>
    </border>
    <border>
      <left style="thin">
        <color indexed="64"/>
      </left>
      <right style="thin">
        <color indexed="64"/>
      </right>
      <top style="thin">
        <color indexed="63"/>
      </top>
      <bottom style="thin">
        <color indexed="63"/>
      </bottom>
      <diagonal/>
    </border>
    <border>
      <left style="thin">
        <color indexed="63"/>
      </left>
      <right style="thin">
        <color indexed="64"/>
      </right>
      <top style="thin">
        <color indexed="63"/>
      </top>
      <bottom style="thin">
        <color indexed="64"/>
      </bottom>
      <diagonal/>
    </border>
    <border>
      <left style="thin">
        <color indexed="64"/>
      </left>
      <right style="thin">
        <color indexed="63"/>
      </right>
      <top style="thin">
        <color indexed="63"/>
      </top>
      <bottom style="thin">
        <color indexed="64"/>
      </bottom>
      <diagonal/>
    </border>
    <border>
      <left/>
      <right style="thin">
        <color indexed="64"/>
      </right>
      <top style="thin">
        <color indexed="63"/>
      </top>
      <bottom style="thin">
        <color indexed="64"/>
      </bottom>
      <diagonal/>
    </border>
    <border>
      <left style="thin">
        <color indexed="64"/>
      </left>
      <right style="thin">
        <color indexed="64"/>
      </right>
      <top style="thin">
        <color indexed="63"/>
      </top>
      <bottom style="thin">
        <color indexed="64"/>
      </bottom>
      <diagonal/>
    </border>
    <border>
      <left style="thin">
        <color indexed="63"/>
      </left>
      <right style="thin">
        <color indexed="64"/>
      </right>
      <top style="thin">
        <color indexed="64"/>
      </top>
      <bottom style="thin">
        <color indexed="64"/>
      </bottom>
      <diagonal/>
    </border>
    <border>
      <left style="thin">
        <color indexed="64"/>
      </left>
      <right style="thin">
        <color indexed="63"/>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3"/>
      </left>
      <right style="thin">
        <color indexed="64"/>
      </right>
      <top style="thin">
        <color indexed="64"/>
      </top>
      <bottom style="thin">
        <color indexed="63"/>
      </bottom>
      <diagonal/>
    </border>
    <border>
      <left style="thin">
        <color indexed="64"/>
      </left>
      <right style="thin">
        <color indexed="63"/>
      </right>
      <top style="thin">
        <color indexed="64"/>
      </top>
      <bottom style="thin">
        <color indexed="63"/>
      </bottom>
      <diagonal/>
    </border>
    <border>
      <left/>
      <right style="thin">
        <color indexed="64"/>
      </right>
      <top style="thin">
        <color indexed="64"/>
      </top>
      <bottom style="thin">
        <color indexed="63"/>
      </bottom>
      <diagonal/>
    </border>
    <border>
      <left style="thin">
        <color indexed="64"/>
      </left>
      <right style="thin">
        <color indexed="64"/>
      </right>
      <top style="thin">
        <color indexed="64"/>
      </top>
      <bottom style="thin">
        <color indexed="63"/>
      </bottom>
      <diagonal/>
    </border>
    <border>
      <left style="thin">
        <color indexed="63"/>
      </left>
      <right style="thin">
        <color indexed="64"/>
      </right>
      <top/>
      <bottom style="thin">
        <color indexed="63"/>
      </bottom>
      <diagonal/>
    </border>
    <border>
      <left style="thin">
        <color indexed="64"/>
      </left>
      <right style="thin">
        <color indexed="63"/>
      </right>
      <top/>
      <bottom style="thin">
        <color indexed="63"/>
      </bottom>
      <diagonal/>
    </border>
    <border>
      <left/>
      <right style="thin">
        <color indexed="64"/>
      </right>
      <top/>
      <bottom style="thin">
        <color indexed="63"/>
      </bottom>
      <diagonal/>
    </border>
    <border>
      <left style="thin">
        <color indexed="64"/>
      </left>
      <right style="thin">
        <color indexed="64"/>
      </right>
      <top/>
      <bottom style="thin">
        <color indexed="63"/>
      </bottom>
      <diagonal/>
    </border>
    <border>
      <left style="thin">
        <color indexed="64"/>
      </left>
      <right style="thin">
        <color indexed="63"/>
      </right>
      <top/>
      <bottom style="thin">
        <color indexed="64"/>
      </bottom>
      <diagonal/>
    </border>
    <border>
      <left style="thin">
        <color indexed="63"/>
      </left>
      <right style="thin">
        <color indexed="64"/>
      </right>
      <top/>
      <bottom/>
      <diagonal/>
    </border>
    <border>
      <left style="thin">
        <color indexed="64"/>
      </left>
      <right style="thin">
        <color indexed="63"/>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3"/>
      </right>
      <top style="thin">
        <color indexed="64"/>
      </top>
      <bottom/>
      <diagonal/>
    </border>
    <border>
      <left style="thin">
        <color indexed="63"/>
      </left>
      <right/>
      <top/>
      <bottom style="thin">
        <color indexed="64"/>
      </bottom>
      <diagonal/>
    </border>
    <border>
      <left style="thin">
        <color indexed="63"/>
      </left>
      <right/>
      <top/>
      <bottom style="thin">
        <color indexed="63"/>
      </bottom>
      <diagonal/>
    </border>
    <border>
      <left style="thin">
        <color indexed="64"/>
      </left>
      <right style="thin">
        <color indexed="64"/>
      </right>
      <top/>
      <bottom/>
      <diagonal/>
    </border>
    <border>
      <left style="thin">
        <color indexed="63"/>
      </left>
      <right/>
      <top/>
      <bottom/>
      <diagonal/>
    </border>
    <border>
      <left style="thin">
        <color indexed="63"/>
      </left>
      <right style="thin">
        <color indexed="63"/>
      </right>
      <top style="thin">
        <color indexed="63"/>
      </top>
      <bottom style="thin">
        <color indexed="64"/>
      </bottom>
      <diagonal/>
    </border>
    <border>
      <left/>
      <right style="thin">
        <color indexed="63"/>
      </right>
      <top style="thin">
        <color indexed="63"/>
      </top>
      <bottom style="thin">
        <color indexed="64"/>
      </bottom>
      <diagonal/>
    </border>
    <border>
      <left/>
      <right style="thin">
        <color indexed="63"/>
      </right>
      <top style="thin">
        <color indexed="64"/>
      </top>
      <bottom style="thin">
        <color indexed="63"/>
      </bottom>
      <diagonal/>
    </border>
    <border>
      <left/>
      <right style="thin">
        <color indexed="63"/>
      </right>
      <top/>
      <bottom style="thin">
        <color indexed="64"/>
      </bottom>
      <diagonal/>
    </border>
    <border>
      <left/>
      <right/>
      <top style="thin">
        <color indexed="63"/>
      </top>
      <bottom/>
      <diagonal/>
    </border>
  </borders>
  <cellStyleXfs count="183">
    <xf numFmtId="0" fontId="0" fillId="0" borderId="0"/>
    <xf numFmtId="0" fontId="6" fillId="0" borderId="0" applyNumberFormat="0" applyFill="0" applyBorder="0" applyAlignment="0" applyProtection="0">
      <alignment vertical="top"/>
      <protection locked="0"/>
    </xf>
    <xf numFmtId="0" fontId="2" fillId="0" borderId="0" applyNumberFormat="0" applyFill="0" applyBorder="0" applyAlignment="0" applyProtection="0">
      <alignment vertical="top"/>
      <protection locked="0"/>
    </xf>
    <xf numFmtId="164" fontId="3" fillId="0" borderId="0" applyFont="0" applyFill="0" applyBorder="0" applyAlignment="0" applyProtection="0"/>
    <xf numFmtId="0" fontId="1" fillId="0" borderId="0"/>
    <xf numFmtId="0" fontId="3" fillId="0" borderId="0"/>
    <xf numFmtId="0" fontId="18" fillId="0" borderId="0"/>
    <xf numFmtId="0" fontId="20" fillId="0" borderId="0"/>
    <xf numFmtId="9" fontId="23" fillId="0" borderId="0" applyFont="0" applyFill="0" applyBorder="0" applyAlignment="0" applyProtection="0"/>
    <xf numFmtId="0" fontId="3" fillId="0" borderId="0"/>
    <xf numFmtId="0" fontId="2" fillId="0" borderId="0" applyNumberFormat="0" applyFill="0" applyBorder="0" applyAlignment="0" applyProtection="0">
      <alignment vertical="top"/>
      <protection locked="0"/>
    </xf>
    <xf numFmtId="43" fontId="3" fillId="0" borderId="0" applyFont="0" applyFill="0" applyBorder="0" applyAlignment="0" applyProtection="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164" fontId="23" fillId="0" borderId="0" applyFont="0" applyFill="0" applyBorder="0" applyAlignment="0" applyProtection="0"/>
    <xf numFmtId="9" fontId="3" fillId="0" borderId="0" applyFont="0" applyFill="0" applyBorder="0" applyAlignment="0" applyProtection="0"/>
    <xf numFmtId="43" fontId="3" fillId="0" borderId="0" applyFont="0" applyFill="0" applyBorder="0" applyAlignment="0" applyProtection="0"/>
    <xf numFmtId="164" fontId="23" fillId="0" borderId="0" applyFont="0" applyFill="0" applyBorder="0" applyAlignment="0" applyProtection="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164" fontId="23" fillId="0" borderId="0" applyFont="0" applyFill="0" applyBorder="0" applyAlignment="0" applyProtection="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4" fillId="0" borderId="0"/>
    <xf numFmtId="164" fontId="23" fillId="0" borderId="0" applyFont="0" applyFill="0" applyBorder="0" applyAlignment="0" applyProtection="0"/>
    <xf numFmtId="0" fontId="3" fillId="0" borderId="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0" fontId="3" fillId="0" borderId="0"/>
    <xf numFmtId="0" fontId="3" fillId="0" borderId="0"/>
  </cellStyleXfs>
  <cellXfs count="328">
    <xf numFmtId="0" fontId="0" fillId="0" borderId="0" xfId="0"/>
    <xf numFmtId="0" fontId="4" fillId="2" borderId="0" xfId="5" applyFont="1" applyFill="1" applyBorder="1" applyAlignment="1">
      <alignment vertical="center"/>
    </xf>
    <xf numFmtId="0" fontId="5" fillId="2" borderId="0" xfId="5" applyFont="1" applyFill="1" applyBorder="1" applyAlignment="1">
      <alignment vertical="center"/>
    </xf>
    <xf numFmtId="0" fontId="2" fillId="2" borderId="0" xfId="1" applyFont="1" applyFill="1" applyAlignment="1" applyProtection="1">
      <alignment horizontal="center" wrapText="1"/>
    </xf>
    <xf numFmtId="0" fontId="7" fillId="2" borderId="0" xfId="5" applyFont="1" applyFill="1" applyBorder="1" applyAlignment="1">
      <alignment vertical="center"/>
    </xf>
    <xf numFmtId="0" fontId="5" fillId="0" borderId="0" xfId="5" applyFont="1" applyFill="1" applyBorder="1" applyAlignment="1">
      <alignment vertical="center"/>
    </xf>
    <xf numFmtId="0" fontId="5" fillId="2" borderId="0" xfId="5" applyFont="1" applyFill="1" applyBorder="1" applyAlignment="1">
      <alignment horizontal="right" vertical="center"/>
    </xf>
    <xf numFmtId="0" fontId="8" fillId="2" borderId="0" xfId="5" applyFont="1" applyFill="1" applyBorder="1" applyAlignment="1">
      <alignment vertical="center"/>
    </xf>
    <xf numFmtId="0" fontId="8" fillId="0" borderId="0" xfId="5" applyFont="1" applyFill="1" applyBorder="1" applyAlignment="1">
      <alignment vertical="center"/>
    </xf>
    <xf numFmtId="0" fontId="9" fillId="2" borderId="1" xfId="5" applyFont="1" applyFill="1" applyBorder="1" applyAlignment="1">
      <alignment vertical="center"/>
    </xf>
    <xf numFmtId="0" fontId="11" fillId="2" borderId="0" xfId="5" applyFont="1" applyFill="1" applyBorder="1" applyAlignment="1">
      <alignment vertical="center"/>
    </xf>
    <xf numFmtId="0" fontId="11" fillId="0" borderId="0" xfId="5" applyFont="1" applyFill="1" applyBorder="1" applyAlignment="1">
      <alignment vertical="center"/>
    </xf>
    <xf numFmtId="3" fontId="10" fillId="2" borderId="2" xfId="5" applyNumberFormat="1" applyFont="1" applyFill="1" applyBorder="1" applyAlignment="1">
      <alignment horizontal="left" vertical="center" wrapText="1"/>
    </xf>
    <xf numFmtId="3" fontId="10" fillId="2" borderId="3" xfId="5" applyNumberFormat="1" applyFont="1" applyFill="1" applyBorder="1" applyAlignment="1">
      <alignment horizontal="left" vertical="center" wrapText="1"/>
    </xf>
    <xf numFmtId="3" fontId="10" fillId="2" borderId="1" xfId="5" applyNumberFormat="1" applyFont="1" applyFill="1" applyBorder="1" applyAlignment="1">
      <alignment horizontal="left" vertical="center" wrapText="1"/>
    </xf>
    <xf numFmtId="3" fontId="10" fillId="2" borderId="0" xfId="5" applyNumberFormat="1" applyFont="1" applyFill="1" applyBorder="1" applyAlignment="1">
      <alignment horizontal="left" vertical="center" wrapText="1"/>
    </xf>
    <xf numFmtId="3" fontId="10" fillId="2" borderId="4" xfId="5" applyNumberFormat="1" applyFont="1" applyFill="1" applyBorder="1" applyAlignment="1">
      <alignment horizontal="left" vertical="center" wrapText="1"/>
    </xf>
    <xf numFmtId="3" fontId="10" fillId="2" borderId="5" xfId="5" applyNumberFormat="1" applyFont="1" applyFill="1" applyBorder="1" applyAlignment="1">
      <alignment horizontal="left" vertical="center" wrapText="1"/>
    </xf>
    <xf numFmtId="3" fontId="10" fillId="2" borderId="6" xfId="5" applyNumberFormat="1" applyFont="1" applyFill="1" applyBorder="1" applyAlignment="1">
      <alignment horizontal="left" vertical="center" wrapText="1"/>
    </xf>
    <xf numFmtId="0" fontId="9" fillId="2" borderId="0" xfId="5" applyFont="1" applyFill="1" applyBorder="1" applyAlignment="1">
      <alignment vertical="center"/>
    </xf>
    <xf numFmtId="3" fontId="10" fillId="2" borderId="7" xfId="5" applyNumberFormat="1" applyFont="1" applyFill="1" applyBorder="1" applyAlignment="1">
      <alignment horizontal="left" vertical="center" wrapText="1"/>
    </xf>
    <xf numFmtId="3" fontId="10" fillId="2" borderId="8" xfId="5" applyNumberFormat="1" applyFont="1" applyFill="1" applyBorder="1" applyAlignment="1">
      <alignment horizontal="left" vertical="center" wrapText="1"/>
    </xf>
    <xf numFmtId="166" fontId="12" fillId="2" borderId="0" xfId="3" applyNumberFormat="1" applyFont="1" applyFill="1" applyBorder="1" applyAlignment="1">
      <alignment vertical="center"/>
    </xf>
    <xf numFmtId="166" fontId="12" fillId="0" borderId="0" xfId="3" applyNumberFormat="1" applyFont="1" applyFill="1" applyBorder="1" applyAlignment="1">
      <alignment vertical="center"/>
    </xf>
    <xf numFmtId="0" fontId="8" fillId="2" borderId="0" xfId="5" applyNumberFormat="1" applyFont="1" applyFill="1" applyBorder="1" applyAlignment="1">
      <alignment vertical="center" wrapText="1"/>
    </xf>
    <xf numFmtId="0" fontId="8" fillId="2" borderId="0" xfId="5" applyFont="1" applyFill="1" applyBorder="1" applyAlignment="1">
      <alignment horizontal="right" vertical="center"/>
    </xf>
    <xf numFmtId="0" fontId="10" fillId="2" borderId="0" xfId="5" applyFont="1" applyFill="1" applyBorder="1" applyAlignment="1">
      <alignment vertical="center"/>
    </xf>
    <xf numFmtId="165" fontId="8" fillId="2" borderId="0" xfId="3" applyNumberFormat="1" applyFont="1" applyFill="1" applyBorder="1" applyAlignment="1">
      <alignment horizontal="left" vertical="center"/>
    </xf>
    <xf numFmtId="0" fontId="13" fillId="4" borderId="0" xfId="5" applyFont="1" applyFill="1" applyBorder="1" applyAlignment="1">
      <alignment vertical="center" wrapText="1"/>
    </xf>
    <xf numFmtId="0" fontId="8" fillId="4" borderId="0" xfId="5" applyFont="1" applyFill="1" applyBorder="1" applyAlignment="1">
      <alignment vertical="center"/>
    </xf>
    <xf numFmtId="0" fontId="8" fillId="3" borderId="0" xfId="5" applyFont="1" applyFill="1" applyBorder="1" applyAlignment="1">
      <alignment vertical="center"/>
    </xf>
    <xf numFmtId="0" fontId="8" fillId="0" borderId="0" xfId="5" applyFont="1" applyFill="1" applyBorder="1" applyAlignment="1">
      <alignment horizontal="right" vertical="center"/>
    </xf>
    <xf numFmtId="0" fontId="1" fillId="2" borderId="0" xfId="4" applyFill="1"/>
    <xf numFmtId="0" fontId="3" fillId="2" borderId="0" xfId="4" applyFont="1" applyFill="1"/>
    <xf numFmtId="165" fontId="2" fillId="0" borderId="0" xfId="1" applyNumberFormat="1" applyFont="1" applyFill="1" applyBorder="1" applyAlignment="1" applyProtection="1">
      <alignment horizontal="left" vertical="center"/>
    </xf>
    <xf numFmtId="0" fontId="15" fillId="2" borderId="0" xfId="1" applyFont="1" applyFill="1" applyAlignment="1" applyProtection="1">
      <alignment wrapText="1"/>
    </xf>
    <xf numFmtId="0" fontId="15" fillId="2" borderId="0" xfId="2" applyFont="1" applyFill="1" applyAlignment="1" applyProtection="1"/>
    <xf numFmtId="0" fontId="16" fillId="2" borderId="0" xfId="4" applyFont="1" applyFill="1"/>
    <xf numFmtId="0" fontId="15" fillId="2" borderId="0" xfId="2" applyFont="1" applyFill="1" applyAlignment="1" applyProtection="1">
      <alignment wrapText="1"/>
    </xf>
    <xf numFmtId="0" fontId="15" fillId="2" borderId="0" xfId="2" applyFont="1" applyFill="1" applyAlignment="1" applyProtection="1">
      <alignment horizontal="left" wrapText="1"/>
    </xf>
    <xf numFmtId="3" fontId="9" fillId="2" borderId="34" xfId="5" applyNumberFormat="1" applyFont="1" applyFill="1" applyBorder="1" applyAlignment="1">
      <alignment horizontal="right" vertical="center" wrapText="1"/>
    </xf>
    <xf numFmtId="3" fontId="10" fillId="2" borderId="35" xfId="5" applyNumberFormat="1" applyFont="1" applyFill="1" applyBorder="1" applyAlignment="1">
      <alignment horizontal="right" vertical="center" wrapText="1"/>
    </xf>
    <xf numFmtId="3" fontId="10" fillId="2" borderId="36" xfId="5" applyNumberFormat="1" applyFont="1" applyFill="1" applyBorder="1" applyAlignment="1">
      <alignment horizontal="right" vertical="center" wrapText="1"/>
    </xf>
    <xf numFmtId="3" fontId="10" fillId="2" borderId="34" xfId="5" applyNumberFormat="1" applyFont="1" applyFill="1" applyBorder="1" applyAlignment="1">
      <alignment horizontal="right" vertical="center" wrapText="1"/>
    </xf>
    <xf numFmtId="3" fontId="10" fillId="2" borderId="37" xfId="5" applyNumberFormat="1" applyFont="1" applyFill="1" applyBorder="1" applyAlignment="1">
      <alignment horizontal="right" vertical="center" wrapText="1"/>
    </xf>
    <xf numFmtId="3" fontId="10" fillId="2" borderId="38" xfId="5" applyNumberFormat="1" applyFont="1" applyFill="1" applyBorder="1" applyAlignment="1">
      <alignment horizontal="right" vertical="center" wrapText="1"/>
    </xf>
    <xf numFmtId="3" fontId="10" fillId="2" borderId="39" xfId="5" applyNumberFormat="1" applyFont="1" applyFill="1" applyBorder="1" applyAlignment="1">
      <alignment horizontal="right" vertical="center" wrapText="1"/>
    </xf>
    <xf numFmtId="3" fontId="10" fillId="2" borderId="40" xfId="5" applyNumberFormat="1" applyFont="1" applyFill="1" applyBorder="1" applyAlignment="1">
      <alignment horizontal="right" vertical="center" wrapText="1"/>
    </xf>
    <xf numFmtId="3" fontId="9" fillId="2" borderId="37" xfId="5" applyNumberFormat="1" applyFont="1" applyFill="1" applyBorder="1" applyAlignment="1">
      <alignment horizontal="right" vertical="center" wrapText="1"/>
    </xf>
    <xf numFmtId="3" fontId="10" fillId="2" borderId="41" xfId="5" applyNumberFormat="1" applyFont="1" applyFill="1" applyBorder="1" applyAlignment="1">
      <alignment horizontal="right" vertical="center" wrapText="1"/>
    </xf>
    <xf numFmtId="3" fontId="10" fillId="2" borderId="42" xfId="5" applyNumberFormat="1" applyFont="1" applyFill="1" applyBorder="1" applyAlignment="1">
      <alignment horizontal="right" vertical="center" wrapText="1"/>
    </xf>
    <xf numFmtId="3" fontId="9" fillId="2" borderId="43" xfId="5" applyNumberFormat="1" applyFont="1" applyFill="1" applyBorder="1" applyAlignment="1">
      <alignment horizontal="right" vertical="center" wrapText="1"/>
    </xf>
    <xf numFmtId="0" fontId="9" fillId="2" borderId="44" xfId="5" applyFont="1" applyFill="1" applyBorder="1" applyAlignment="1">
      <alignment vertical="center"/>
    </xf>
    <xf numFmtId="0" fontId="3" fillId="0" borderId="0" xfId="4" applyFont="1" applyFill="1"/>
    <xf numFmtId="0" fontId="1" fillId="0" borderId="0" xfId="4" applyFill="1" applyBorder="1"/>
    <xf numFmtId="0" fontId="3" fillId="0" borderId="0" xfId="4" applyFont="1" applyFill="1" applyBorder="1"/>
    <xf numFmtId="3" fontId="9" fillId="2" borderId="45" xfId="4" applyNumberFormat="1" applyFont="1" applyFill="1" applyBorder="1" applyAlignment="1"/>
    <xf numFmtId="3" fontId="9" fillId="2" borderId="46" xfId="4" applyNumberFormat="1" applyFont="1" applyFill="1" applyBorder="1" applyAlignment="1"/>
    <xf numFmtId="3" fontId="10" fillId="2" borderId="46" xfId="4" applyNumberFormat="1" applyFont="1" applyFill="1" applyBorder="1"/>
    <xf numFmtId="0" fontId="8" fillId="2" borderId="46" xfId="5" applyFont="1" applyFill="1" applyBorder="1" applyAlignment="1">
      <alignment vertical="center" wrapText="1"/>
    </xf>
    <xf numFmtId="3" fontId="11" fillId="2" borderId="0" xfId="5" applyNumberFormat="1" applyFont="1" applyFill="1" applyBorder="1" applyAlignment="1">
      <alignment vertical="center"/>
    </xf>
    <xf numFmtId="3" fontId="8" fillId="2" borderId="0" xfId="5" applyNumberFormat="1" applyFont="1" applyFill="1" applyBorder="1" applyAlignment="1">
      <alignment vertical="center"/>
    </xf>
    <xf numFmtId="0" fontId="0" fillId="4" borderId="0" xfId="0" applyFill="1"/>
    <xf numFmtId="3" fontId="10" fillId="2" borderId="9" xfId="5" applyNumberFormat="1" applyFont="1" applyFill="1" applyBorder="1" applyAlignment="1">
      <alignment horizontal="left" vertical="center" wrapText="1"/>
    </xf>
    <xf numFmtId="3" fontId="9" fillId="2" borderId="1" xfId="5" applyNumberFormat="1" applyFont="1" applyFill="1" applyBorder="1" applyAlignment="1">
      <alignment horizontal="center" vertical="center" wrapText="1"/>
    </xf>
    <xf numFmtId="3" fontId="10" fillId="2" borderId="2" xfId="5" applyNumberFormat="1" applyFont="1" applyFill="1" applyBorder="1" applyAlignment="1">
      <alignment horizontal="center" vertical="center" wrapText="1"/>
    </xf>
    <xf numFmtId="3" fontId="10" fillId="2" borderId="3" xfId="5" applyNumberFormat="1" applyFont="1" applyFill="1" applyBorder="1" applyAlignment="1">
      <alignment horizontal="center" vertical="center" wrapText="1"/>
    </xf>
    <xf numFmtId="3" fontId="10" fillId="2" borderId="1" xfId="5" applyNumberFormat="1" applyFont="1" applyFill="1" applyBorder="1" applyAlignment="1">
      <alignment horizontal="center" vertical="center" wrapText="1"/>
    </xf>
    <xf numFmtId="3" fontId="10" fillId="2" borderId="0" xfId="5" applyNumberFormat="1" applyFont="1" applyFill="1" applyBorder="1" applyAlignment="1">
      <alignment horizontal="center" vertical="center" wrapText="1"/>
    </xf>
    <xf numFmtId="3" fontId="10" fillId="2" borderId="4" xfId="5" applyNumberFormat="1" applyFont="1" applyFill="1" applyBorder="1" applyAlignment="1">
      <alignment horizontal="center" vertical="center" wrapText="1"/>
    </xf>
    <xf numFmtId="3" fontId="10" fillId="2" borderId="5" xfId="5" applyNumberFormat="1" applyFont="1" applyFill="1" applyBorder="1" applyAlignment="1">
      <alignment horizontal="center" vertical="center" wrapText="1"/>
    </xf>
    <xf numFmtId="3" fontId="10" fillId="2" borderId="6" xfId="5" applyNumberFormat="1" applyFont="1" applyFill="1" applyBorder="1" applyAlignment="1">
      <alignment horizontal="center" vertical="center" wrapText="1"/>
    </xf>
    <xf numFmtId="3" fontId="9" fillId="2" borderId="0" xfId="5" applyNumberFormat="1" applyFont="1" applyFill="1" applyBorder="1" applyAlignment="1">
      <alignment horizontal="center" vertical="center" wrapText="1"/>
    </xf>
    <xf numFmtId="3" fontId="10" fillId="2" borderId="7" xfId="5" applyNumberFormat="1" applyFont="1" applyFill="1" applyBorder="1" applyAlignment="1">
      <alignment horizontal="center" vertical="center" wrapText="1"/>
    </xf>
    <xf numFmtId="3" fontId="10" fillId="2" borderId="8" xfId="5" applyNumberFormat="1" applyFont="1" applyFill="1" applyBorder="1" applyAlignment="1">
      <alignment horizontal="center" vertical="center" wrapText="1"/>
    </xf>
    <xf numFmtId="3" fontId="9" fillId="2" borderId="3" xfId="5" applyNumberFormat="1" applyFont="1" applyFill="1" applyBorder="1" applyAlignment="1">
      <alignment horizontal="center" vertical="center" wrapText="1"/>
    </xf>
    <xf numFmtId="3" fontId="10" fillId="2" borderId="9" xfId="5" applyNumberFormat="1" applyFont="1" applyFill="1" applyBorder="1" applyAlignment="1">
      <alignment horizontal="center" vertical="center" wrapText="1"/>
    </xf>
    <xf numFmtId="3" fontId="0" fillId="0" borderId="0" xfId="0" applyNumberFormat="1"/>
    <xf numFmtId="0" fontId="19" fillId="0" borderId="10" xfId="6" applyFont="1" applyBorder="1" applyAlignment="1">
      <alignment horizontal="center" wrapText="1"/>
    </xf>
    <xf numFmtId="0" fontId="19" fillId="0" borderId="11" xfId="6" applyFont="1" applyBorder="1" applyAlignment="1">
      <alignment horizontal="center" wrapText="1"/>
    </xf>
    <xf numFmtId="0" fontId="19" fillId="0" borderId="12" xfId="6" applyFont="1" applyBorder="1" applyAlignment="1">
      <alignment horizontal="center" wrapText="1"/>
    </xf>
    <xf numFmtId="0" fontId="18" fillId="0" borderId="0" xfId="6"/>
    <xf numFmtId="0" fontId="19" fillId="0" borderId="13" xfId="6" applyFont="1" applyBorder="1" applyAlignment="1">
      <alignment horizontal="center" wrapText="1"/>
    </xf>
    <xf numFmtId="0" fontId="19" fillId="0" borderId="14" xfId="6" applyFont="1" applyBorder="1" applyAlignment="1">
      <alignment horizontal="center" wrapText="1"/>
    </xf>
    <xf numFmtId="0" fontId="19" fillId="0" borderId="15" xfId="6" applyFont="1" applyBorder="1" applyAlignment="1">
      <alignment horizontal="center" wrapText="1"/>
    </xf>
    <xf numFmtId="0" fontId="19" fillId="0" borderId="16" xfId="6" applyFont="1" applyBorder="1" applyAlignment="1">
      <alignment horizontal="left" vertical="top" wrapText="1"/>
    </xf>
    <xf numFmtId="168" fontId="19" fillId="0" borderId="17" xfId="6" applyNumberFormat="1" applyFont="1" applyBorder="1" applyAlignment="1">
      <alignment horizontal="right" vertical="center"/>
    </xf>
    <xf numFmtId="168" fontId="19" fillId="0" borderId="18" xfId="6" applyNumberFormat="1" applyFont="1" applyBorder="1" applyAlignment="1">
      <alignment horizontal="right" vertical="center"/>
    </xf>
    <xf numFmtId="168" fontId="19" fillId="0" borderId="19" xfId="6" applyNumberFormat="1" applyFont="1" applyBorder="1" applyAlignment="1">
      <alignment horizontal="right" vertical="center"/>
    </xf>
    <xf numFmtId="0" fontId="19" fillId="0" borderId="20" xfId="6" applyFont="1" applyBorder="1" applyAlignment="1">
      <alignment horizontal="left" vertical="top" wrapText="1"/>
    </xf>
    <xf numFmtId="168" fontId="19" fillId="0" borderId="21" xfId="6" applyNumberFormat="1" applyFont="1" applyBorder="1" applyAlignment="1">
      <alignment horizontal="right" vertical="center"/>
    </xf>
    <xf numFmtId="168" fontId="19" fillId="0" borderId="22" xfId="6" applyNumberFormat="1" applyFont="1" applyBorder="1" applyAlignment="1">
      <alignment horizontal="right" vertical="center"/>
    </xf>
    <xf numFmtId="168" fontId="19" fillId="0" borderId="23" xfId="6" applyNumberFormat="1" applyFont="1" applyBorder="1" applyAlignment="1">
      <alignment horizontal="right" vertical="center"/>
    </xf>
    <xf numFmtId="0" fontId="19" fillId="0" borderId="24" xfId="6" applyFont="1" applyBorder="1" applyAlignment="1">
      <alignment horizontal="left" vertical="top" wrapText="1"/>
    </xf>
    <xf numFmtId="168" fontId="19" fillId="0" borderId="25" xfId="6" applyNumberFormat="1" applyFont="1" applyBorder="1" applyAlignment="1">
      <alignment horizontal="right" vertical="center"/>
    </xf>
    <xf numFmtId="168" fontId="19" fillId="0" borderId="26" xfId="6" applyNumberFormat="1" applyFont="1" applyBorder="1" applyAlignment="1">
      <alignment horizontal="right" vertical="center"/>
    </xf>
    <xf numFmtId="168" fontId="19" fillId="0" borderId="27" xfId="6" applyNumberFormat="1" applyFont="1" applyBorder="1" applyAlignment="1">
      <alignment horizontal="right" vertical="center"/>
    </xf>
    <xf numFmtId="167" fontId="23" fillId="0" borderId="0" xfId="8" applyNumberFormat="1" applyFont="1"/>
    <xf numFmtId="0" fontId="22" fillId="0" borderId="10" xfId="7" applyFont="1" applyBorder="1" applyAlignment="1">
      <alignment horizontal="center" wrapText="1"/>
    </xf>
    <xf numFmtId="0" fontId="22" fillId="0" borderId="11" xfId="7" applyFont="1" applyBorder="1" applyAlignment="1">
      <alignment horizontal="center" wrapText="1"/>
    </xf>
    <xf numFmtId="0" fontId="22" fillId="0" borderId="12" xfId="7" applyFont="1" applyBorder="1" applyAlignment="1">
      <alignment horizontal="center" wrapText="1"/>
    </xf>
    <xf numFmtId="0" fontId="22" fillId="0" borderId="13" xfId="7" applyFont="1" applyBorder="1" applyAlignment="1">
      <alignment horizontal="center" wrapText="1"/>
    </xf>
    <xf numFmtId="0" fontId="22" fillId="0" borderId="14" xfId="7" applyFont="1" applyBorder="1" applyAlignment="1">
      <alignment horizontal="center" wrapText="1"/>
    </xf>
    <xf numFmtId="0" fontId="22" fillId="0" borderId="15" xfId="7" applyFont="1" applyBorder="1" applyAlignment="1">
      <alignment horizontal="center" wrapText="1"/>
    </xf>
    <xf numFmtId="168" fontId="22" fillId="0" borderId="28" xfId="7" applyNumberFormat="1" applyFont="1" applyBorder="1" applyAlignment="1">
      <alignment horizontal="right" vertical="center"/>
    </xf>
    <xf numFmtId="168" fontId="22" fillId="0" borderId="29" xfId="7" applyNumberFormat="1" applyFont="1" applyBorder="1" applyAlignment="1">
      <alignment horizontal="right" vertical="center"/>
    </xf>
    <xf numFmtId="168" fontId="22" fillId="0" borderId="30" xfId="7" applyNumberFormat="1" applyFont="1" applyBorder="1" applyAlignment="1">
      <alignment horizontal="right" vertical="center"/>
    </xf>
    <xf numFmtId="167" fontId="23" fillId="0" borderId="0" xfId="8" applyNumberFormat="1" applyFont="1"/>
    <xf numFmtId="0" fontId="9" fillId="2" borderId="0" xfId="5" applyFont="1" applyFill="1" applyBorder="1" applyAlignment="1">
      <alignment horizontal="center" vertical="center" wrapText="1"/>
    </xf>
    <xf numFmtId="0" fontId="0" fillId="0" borderId="0" xfId="0" applyFill="1"/>
    <xf numFmtId="167" fontId="0" fillId="0" borderId="0" xfId="8" applyNumberFormat="1" applyFont="1"/>
    <xf numFmtId="165" fontId="7" fillId="2" borderId="0" xfId="3" applyNumberFormat="1" applyFont="1" applyFill="1" applyBorder="1" applyAlignment="1">
      <alignment vertical="center" wrapText="1"/>
    </xf>
    <xf numFmtId="3" fontId="0" fillId="4" borderId="54" xfId="0" applyNumberFormat="1" applyFill="1" applyBorder="1" applyAlignment="1">
      <alignment horizontal="center"/>
    </xf>
    <xf numFmtId="0" fontId="8" fillId="2" borderId="0" xfId="5" applyFont="1" applyFill="1" applyBorder="1" applyAlignment="1">
      <alignment vertical="center" wrapText="1"/>
    </xf>
    <xf numFmtId="3" fontId="0" fillId="4" borderId="55" xfId="0" applyNumberFormat="1" applyFill="1" applyBorder="1" applyAlignment="1">
      <alignment horizontal="center"/>
    </xf>
    <xf numFmtId="3" fontId="0" fillId="4" borderId="56" xfId="0" applyNumberFormat="1" applyFill="1" applyBorder="1" applyAlignment="1">
      <alignment horizontal="center"/>
    </xf>
    <xf numFmtId="0" fontId="0" fillId="0" borderId="0" xfId="0" applyBorder="1"/>
    <xf numFmtId="3" fontId="0" fillId="4" borderId="0" xfId="0" applyNumberFormat="1" applyFill="1" applyBorder="1" applyAlignment="1">
      <alignment horizontal="center"/>
    </xf>
    <xf numFmtId="0" fontId="25" fillId="0" borderId="0" xfId="174" applyFont="1" applyBorder="1" applyAlignment="1">
      <alignment horizontal="center" wrapText="1"/>
    </xf>
    <xf numFmtId="0" fontId="0" fillId="0" borderId="0" xfId="0"/>
    <xf numFmtId="165" fontId="0" fillId="4" borderId="0" xfId="175" applyNumberFormat="1" applyFont="1" applyFill="1" applyBorder="1" applyAlignment="1">
      <alignment horizontal="center"/>
    </xf>
    <xf numFmtId="0" fontId="22" fillId="0" borderId="10" xfId="176" applyFont="1" applyBorder="1" applyAlignment="1">
      <alignment horizontal="center" wrapText="1"/>
    </xf>
    <xf numFmtId="0" fontId="22" fillId="0" borderId="11" xfId="176" applyFont="1" applyBorder="1" applyAlignment="1">
      <alignment horizontal="center" wrapText="1"/>
    </xf>
    <xf numFmtId="0" fontId="22" fillId="0" borderId="12" xfId="176" applyFont="1" applyBorder="1" applyAlignment="1">
      <alignment horizontal="center" wrapText="1"/>
    </xf>
    <xf numFmtId="0" fontId="3" fillId="0" borderId="0" xfId="176"/>
    <xf numFmtId="0" fontId="22" fillId="0" borderId="13" xfId="176" applyFont="1" applyBorder="1" applyAlignment="1">
      <alignment horizontal="center" wrapText="1"/>
    </xf>
    <xf numFmtId="0" fontId="22" fillId="0" borderId="14" xfId="176" applyFont="1" applyBorder="1" applyAlignment="1">
      <alignment horizontal="center" wrapText="1"/>
    </xf>
    <xf numFmtId="0" fontId="22" fillId="0" borderId="15" xfId="176" applyFont="1" applyBorder="1" applyAlignment="1">
      <alignment horizontal="center" wrapText="1"/>
    </xf>
    <xf numFmtId="168" fontId="22" fillId="0" borderId="28" xfId="176" applyNumberFormat="1" applyFont="1" applyBorder="1" applyAlignment="1">
      <alignment horizontal="right" vertical="center"/>
    </xf>
    <xf numFmtId="168" fontId="22" fillId="0" borderId="29" xfId="176" applyNumberFormat="1" applyFont="1" applyBorder="1" applyAlignment="1">
      <alignment horizontal="right" vertical="center"/>
    </xf>
    <xf numFmtId="168" fontId="22" fillId="0" borderId="30" xfId="176" applyNumberFormat="1" applyFont="1" applyBorder="1" applyAlignment="1">
      <alignment horizontal="right" vertical="center"/>
    </xf>
    <xf numFmtId="0" fontId="22" fillId="0" borderId="57" xfId="176" applyFont="1" applyBorder="1" applyAlignment="1">
      <alignment horizontal="left" vertical="top" wrapText="1"/>
    </xf>
    <xf numFmtId="0" fontId="22" fillId="0" borderId="58" xfId="176" applyFont="1" applyBorder="1" applyAlignment="1">
      <alignment horizontal="left" vertical="top"/>
    </xf>
    <xf numFmtId="3" fontId="0" fillId="0" borderId="0" xfId="0" applyNumberFormat="1" applyBorder="1"/>
    <xf numFmtId="0" fontId="22" fillId="0" borderId="0" xfId="176" applyFont="1" applyBorder="1" applyAlignment="1">
      <alignment horizontal="center" wrapText="1"/>
    </xf>
    <xf numFmtId="0" fontId="3" fillId="0" borderId="0" xfId="176" applyBorder="1"/>
    <xf numFmtId="168" fontId="22" fillId="0" borderId="0" xfId="176" applyNumberFormat="1" applyFont="1" applyBorder="1" applyAlignment="1">
      <alignment horizontal="right" vertical="center"/>
    </xf>
    <xf numFmtId="167" fontId="0" fillId="0" borderId="0" xfId="8" applyNumberFormat="1" applyFont="1" applyBorder="1"/>
    <xf numFmtId="0" fontId="22" fillId="0" borderId="0" xfId="176" applyFont="1" applyBorder="1" applyAlignment="1">
      <alignment horizontal="left" vertical="top"/>
    </xf>
    <xf numFmtId="2" fontId="0" fillId="0" borderId="0" xfId="0" applyNumberFormat="1" applyBorder="1"/>
    <xf numFmtId="165" fontId="7" fillId="2" borderId="60" xfId="3" applyNumberFormat="1" applyFont="1" applyFill="1" applyBorder="1" applyAlignment="1">
      <alignment vertical="center" wrapText="1"/>
    </xf>
    <xf numFmtId="165" fontId="7" fillId="2" borderId="61" xfId="3" applyNumberFormat="1" applyFont="1" applyFill="1" applyBorder="1" applyAlignment="1">
      <alignment vertical="center" wrapText="1"/>
    </xf>
    <xf numFmtId="3" fontId="9" fillId="2" borderId="62" xfId="4" applyNumberFormat="1" applyFont="1" applyFill="1" applyBorder="1" applyAlignment="1"/>
    <xf numFmtId="0" fontId="8" fillId="2" borderId="63" xfId="5" applyFont="1" applyFill="1" applyBorder="1" applyAlignment="1">
      <alignment vertical="center" wrapText="1"/>
    </xf>
    <xf numFmtId="3" fontId="9" fillId="2" borderId="67" xfId="5" applyNumberFormat="1" applyFont="1" applyFill="1" applyBorder="1" applyAlignment="1">
      <alignment horizontal="right" vertical="center" wrapText="1"/>
    </xf>
    <xf numFmtId="3" fontId="9" fillId="2" borderId="68" xfId="5" applyNumberFormat="1" applyFont="1" applyFill="1" applyBorder="1" applyAlignment="1">
      <alignment horizontal="center" vertical="center" wrapText="1"/>
    </xf>
    <xf numFmtId="3" fontId="10" fillId="2" borderId="69" xfId="5" applyNumberFormat="1" applyFont="1" applyFill="1" applyBorder="1" applyAlignment="1">
      <alignment horizontal="right" vertical="center" wrapText="1"/>
    </xf>
    <xf numFmtId="3" fontId="10" fillId="2" borderId="70" xfId="5" applyNumberFormat="1" applyFont="1" applyFill="1" applyBorder="1" applyAlignment="1">
      <alignment horizontal="center" vertical="center" wrapText="1"/>
    </xf>
    <xf numFmtId="3" fontId="10" fillId="2" borderId="71" xfId="5" applyNumberFormat="1" applyFont="1" applyFill="1" applyBorder="1" applyAlignment="1">
      <alignment horizontal="right" vertical="center" wrapText="1"/>
    </xf>
    <xf numFmtId="3" fontId="10" fillId="2" borderId="72" xfId="5" applyNumberFormat="1" applyFont="1" applyFill="1" applyBorder="1" applyAlignment="1">
      <alignment horizontal="center" vertical="center" wrapText="1"/>
    </xf>
    <xf numFmtId="3" fontId="10" fillId="2" borderId="67" xfId="5" applyNumberFormat="1" applyFont="1" applyFill="1" applyBorder="1" applyAlignment="1">
      <alignment horizontal="right" vertical="center" wrapText="1"/>
    </xf>
    <xf numFmtId="3" fontId="10" fillId="2" borderId="68" xfId="5" applyNumberFormat="1" applyFont="1" applyFill="1" applyBorder="1" applyAlignment="1">
      <alignment horizontal="center" vertical="center" wrapText="1"/>
    </xf>
    <xf numFmtId="3" fontId="10" fillId="2" borderId="64" xfId="5" applyNumberFormat="1" applyFont="1" applyFill="1" applyBorder="1" applyAlignment="1">
      <alignment horizontal="right" vertical="center" wrapText="1"/>
    </xf>
    <xf numFmtId="3" fontId="10" fillId="2" borderId="73" xfId="5" applyNumberFormat="1" applyFont="1" applyFill="1" applyBorder="1" applyAlignment="1">
      <alignment horizontal="center" vertical="center" wrapText="1"/>
    </xf>
    <xf numFmtId="3" fontId="10" fillId="2" borderId="74" xfId="5" applyNumberFormat="1" applyFont="1" applyFill="1" applyBorder="1" applyAlignment="1">
      <alignment horizontal="right" vertical="center" wrapText="1"/>
    </xf>
    <xf numFmtId="3" fontId="10" fillId="2" borderId="75" xfId="5" applyNumberFormat="1" applyFont="1" applyFill="1" applyBorder="1" applyAlignment="1">
      <alignment horizontal="center" vertical="center" wrapText="1"/>
    </xf>
    <xf numFmtId="3" fontId="10" fillId="2" borderId="76" xfId="5" applyNumberFormat="1" applyFont="1" applyFill="1" applyBorder="1" applyAlignment="1">
      <alignment horizontal="right" vertical="center" wrapText="1"/>
    </xf>
    <xf numFmtId="3" fontId="10" fillId="2" borderId="77" xfId="5" applyNumberFormat="1" applyFont="1" applyFill="1" applyBorder="1" applyAlignment="1">
      <alignment horizontal="center" vertical="center" wrapText="1"/>
    </xf>
    <xf numFmtId="3" fontId="10" fillId="2" borderId="78" xfId="5" applyNumberFormat="1" applyFont="1" applyFill="1" applyBorder="1" applyAlignment="1">
      <alignment horizontal="right" vertical="center" wrapText="1"/>
    </xf>
    <xf numFmtId="3" fontId="10" fillId="2" borderId="79" xfId="5" applyNumberFormat="1" applyFont="1" applyFill="1" applyBorder="1" applyAlignment="1">
      <alignment horizontal="center" vertical="center" wrapText="1"/>
    </xf>
    <xf numFmtId="3" fontId="9" fillId="2" borderId="64" xfId="5" applyNumberFormat="1" applyFont="1" applyFill="1" applyBorder="1" applyAlignment="1">
      <alignment horizontal="right" vertical="center" wrapText="1"/>
    </xf>
    <xf numFmtId="3" fontId="10" fillId="2" borderId="80" xfId="5" applyNumberFormat="1" applyFont="1" applyFill="1" applyBorder="1" applyAlignment="1">
      <alignment horizontal="right" vertical="center" wrapText="1"/>
    </xf>
    <xf numFmtId="3" fontId="10" fillId="2" borderId="81" xfId="5" applyNumberFormat="1" applyFont="1" applyFill="1" applyBorder="1" applyAlignment="1">
      <alignment horizontal="center" vertical="center" wrapText="1"/>
    </xf>
    <xf numFmtId="3" fontId="10" fillId="2" borderId="82" xfId="5" applyNumberFormat="1" applyFont="1" applyFill="1" applyBorder="1" applyAlignment="1">
      <alignment horizontal="right" vertical="center" wrapText="1"/>
    </xf>
    <xf numFmtId="3" fontId="10" fillId="2" borderId="83" xfId="5" applyNumberFormat="1" applyFont="1" applyFill="1" applyBorder="1" applyAlignment="1">
      <alignment horizontal="center" vertical="center" wrapText="1"/>
    </xf>
    <xf numFmtId="3" fontId="10" fillId="2" borderId="84" xfId="5" applyNumberFormat="1" applyFont="1" applyFill="1" applyBorder="1" applyAlignment="1">
      <alignment horizontal="center" vertical="center" wrapText="1"/>
    </xf>
    <xf numFmtId="3" fontId="9" fillId="2" borderId="85" xfId="5" applyNumberFormat="1" applyFont="1" applyFill="1" applyBorder="1" applyAlignment="1">
      <alignment horizontal="right" vertical="center" wrapText="1"/>
    </xf>
    <xf numFmtId="0" fontId="9" fillId="2" borderId="86" xfId="5" applyFont="1" applyFill="1" applyBorder="1" applyAlignment="1">
      <alignment vertical="center"/>
    </xf>
    <xf numFmtId="3" fontId="9" fillId="2" borderId="86" xfId="5" applyNumberFormat="1" applyFont="1" applyFill="1" applyBorder="1" applyAlignment="1">
      <alignment horizontal="center" vertical="center" wrapText="1"/>
    </xf>
    <xf numFmtId="3" fontId="9" fillId="2" borderId="87" xfId="5" applyNumberFormat="1" applyFont="1" applyFill="1" applyBorder="1" applyAlignment="1">
      <alignment horizontal="center" vertical="center" wrapText="1"/>
    </xf>
    <xf numFmtId="3" fontId="10" fillId="2" borderId="89" xfId="5" applyNumberFormat="1" applyFont="1" applyFill="1" applyBorder="1" applyAlignment="1">
      <alignment horizontal="right" vertical="center" wrapText="1"/>
    </xf>
    <xf numFmtId="0" fontId="5" fillId="4" borderId="0" xfId="5" applyFont="1" applyFill="1" applyBorder="1" applyAlignment="1">
      <alignment vertical="center"/>
    </xf>
    <xf numFmtId="0" fontId="7" fillId="4" borderId="0" xfId="5" applyFont="1" applyFill="1" applyBorder="1" applyAlignment="1">
      <alignment vertical="center"/>
    </xf>
    <xf numFmtId="0" fontId="5" fillId="4" borderId="0" xfId="5" applyFont="1" applyFill="1" applyBorder="1" applyAlignment="1">
      <alignment horizontal="right" vertical="center"/>
    </xf>
    <xf numFmtId="0" fontId="0" fillId="0" borderId="0" xfId="0"/>
    <xf numFmtId="0" fontId="9" fillId="2" borderId="0" xfId="5" applyFont="1" applyFill="1" applyBorder="1" applyAlignment="1">
      <alignment horizontal="center" vertical="center" wrapText="1"/>
    </xf>
    <xf numFmtId="0" fontId="9" fillId="2" borderId="48" xfId="5" applyFont="1" applyFill="1" applyBorder="1" applyAlignment="1">
      <alignment horizontal="center" vertical="center" wrapText="1"/>
    </xf>
    <xf numFmtId="17" fontId="0" fillId="0" borderId="0" xfId="0" applyNumberFormat="1"/>
    <xf numFmtId="0" fontId="9" fillId="2" borderId="0" xfId="5" applyFont="1" applyFill="1" applyBorder="1" applyAlignment="1">
      <alignment horizontal="center" vertical="center" wrapText="1"/>
    </xf>
    <xf numFmtId="0" fontId="9" fillId="2" borderId="48" xfId="5" applyFont="1" applyFill="1" applyBorder="1" applyAlignment="1">
      <alignment horizontal="center" vertical="center" wrapText="1"/>
    </xf>
    <xf numFmtId="0" fontId="3" fillId="2" borderId="0" xfId="182" applyFill="1"/>
    <xf numFmtId="0" fontId="28" fillId="2" borderId="0" xfId="182" applyFont="1" applyFill="1"/>
    <xf numFmtId="0" fontId="27" fillId="2" borderId="0" xfId="182" applyFont="1" applyFill="1" applyAlignment="1">
      <alignment horizontal="justify" vertical="center" wrapText="1"/>
    </xf>
    <xf numFmtId="0" fontId="26" fillId="2" borderId="0" xfId="182" applyFont="1" applyFill="1"/>
    <xf numFmtId="0" fontId="29" fillId="2" borderId="0" xfId="182" applyFont="1" applyFill="1"/>
    <xf numFmtId="0" fontId="27" fillId="2" borderId="0" xfId="182" applyFont="1" applyFill="1"/>
    <xf numFmtId="0" fontId="9" fillId="2" borderId="0" xfId="182" applyFont="1" applyFill="1" applyAlignment="1">
      <alignment horizontal="right" vertical="center"/>
    </xf>
    <xf numFmtId="0" fontId="27" fillId="2" borderId="0" xfId="182" applyFont="1" applyFill="1" applyAlignment="1">
      <alignment horizontal="left"/>
    </xf>
    <xf numFmtId="0" fontId="29" fillId="2" borderId="0" xfId="182" applyFont="1" applyFill="1" applyAlignment="1">
      <alignment horizontal="left" wrapText="1"/>
    </xf>
    <xf numFmtId="0" fontId="30" fillId="2" borderId="90" xfId="182" applyFont="1" applyFill="1" applyBorder="1" applyAlignment="1">
      <alignment horizontal="center" vertical="center"/>
    </xf>
    <xf numFmtId="0" fontId="30" fillId="2" borderId="91" xfId="182" applyFont="1" applyFill="1" applyBorder="1" applyAlignment="1">
      <alignment horizontal="center" vertical="center"/>
    </xf>
    <xf numFmtId="0" fontId="30" fillId="2" borderId="91" xfId="182" applyFont="1" applyFill="1" applyBorder="1" applyAlignment="1">
      <alignment horizontal="center" vertical="center" wrapText="1"/>
    </xf>
    <xf numFmtId="0" fontId="28" fillId="2" borderId="92" xfId="182" applyFont="1" applyFill="1" applyBorder="1"/>
    <xf numFmtId="3" fontId="28" fillId="2" borderId="93" xfId="182" applyNumberFormat="1" applyFont="1" applyFill="1" applyBorder="1"/>
    <xf numFmtId="0" fontId="28" fillId="2" borderId="94" xfId="182" applyFont="1" applyFill="1" applyBorder="1"/>
    <xf numFmtId="3" fontId="28" fillId="2" borderId="95" xfId="182" applyNumberFormat="1" applyFont="1" applyFill="1" applyBorder="1"/>
    <xf numFmtId="3" fontId="28" fillId="2" borderId="96" xfId="182" applyNumberFormat="1" applyFont="1" applyFill="1" applyBorder="1"/>
    <xf numFmtId="3" fontId="28" fillId="2" borderId="97" xfId="182" applyNumberFormat="1" applyFont="1" applyFill="1" applyBorder="1"/>
    <xf numFmtId="0" fontId="28" fillId="2" borderId="98" xfId="182" applyFont="1" applyFill="1" applyBorder="1"/>
    <xf numFmtId="3" fontId="28" fillId="2" borderId="90" xfId="182" applyNumberFormat="1" applyFont="1" applyFill="1" applyBorder="1"/>
    <xf numFmtId="3" fontId="28" fillId="2" borderId="91" xfId="182" applyNumberFormat="1" applyFont="1" applyFill="1" applyBorder="1"/>
    <xf numFmtId="0" fontId="31" fillId="2" borderId="0" xfId="182" applyFont="1" applyFill="1"/>
    <xf numFmtId="0" fontId="32" fillId="2" borderId="0" xfId="182" applyFont="1" applyFill="1"/>
    <xf numFmtId="0" fontId="30" fillId="2" borderId="99" xfId="182" applyFont="1" applyFill="1" applyBorder="1"/>
    <xf numFmtId="0" fontId="30" fillId="2" borderId="100" xfId="182" applyFont="1" applyFill="1" applyBorder="1"/>
    <xf numFmtId="0" fontId="30" fillId="2" borderId="101" xfId="182" applyFont="1" applyFill="1" applyBorder="1" applyAlignment="1">
      <alignment horizontal="center"/>
    </xf>
    <xf numFmtId="0" fontId="30" fillId="2" borderId="102" xfId="182" applyFont="1" applyFill="1" applyBorder="1" applyAlignment="1">
      <alignment horizontal="center"/>
    </xf>
    <xf numFmtId="0" fontId="30" fillId="2" borderId="100" xfId="182" applyFont="1" applyFill="1" applyBorder="1" applyAlignment="1">
      <alignment horizontal="center"/>
    </xf>
    <xf numFmtId="0" fontId="28" fillId="2" borderId="103" xfId="182" applyFont="1" applyFill="1" applyBorder="1" applyAlignment="1">
      <alignment horizontal="center" vertical="center"/>
    </xf>
    <xf numFmtId="0" fontId="28" fillId="2" borderId="104" xfId="182" applyFont="1" applyFill="1" applyBorder="1" applyAlignment="1">
      <alignment horizontal="left" vertical="center" wrapText="1"/>
    </xf>
    <xf numFmtId="0" fontId="28" fillId="2" borderId="105" xfId="182" applyFont="1" applyFill="1" applyBorder="1" applyAlignment="1">
      <alignment horizontal="center"/>
    </xf>
    <xf numFmtId="0" fontId="28" fillId="2" borderId="106" xfId="182" applyFont="1" applyFill="1" applyBorder="1" applyAlignment="1">
      <alignment horizontal="center"/>
    </xf>
    <xf numFmtId="0" fontId="28" fillId="2" borderId="104" xfId="182" applyFont="1" applyFill="1" applyBorder="1" applyAlignment="1">
      <alignment horizontal="center"/>
    </xf>
    <xf numFmtId="0" fontId="28" fillId="2" borderId="107" xfId="182" applyFont="1" applyFill="1" applyBorder="1" applyAlignment="1">
      <alignment horizontal="center" vertical="center"/>
    </xf>
    <xf numFmtId="0" fontId="28" fillId="2" borderId="108" xfId="182" applyFont="1" applyFill="1" applyBorder="1" applyAlignment="1">
      <alignment horizontal="left" vertical="center"/>
    </xf>
    <xf numFmtId="0" fontId="28" fillId="2" borderId="109" xfId="182" applyFont="1" applyFill="1" applyBorder="1" applyAlignment="1">
      <alignment horizontal="center"/>
    </xf>
    <xf numFmtId="0" fontId="28" fillId="2" borderId="110" xfId="182" applyFont="1" applyFill="1" applyBorder="1" applyAlignment="1">
      <alignment horizontal="center"/>
    </xf>
    <xf numFmtId="0" fontId="28" fillId="2" borderId="108" xfId="182" applyFont="1" applyFill="1" applyBorder="1" applyAlignment="1">
      <alignment horizontal="center"/>
    </xf>
    <xf numFmtId="0" fontId="28" fillId="2" borderId="111" xfId="182" applyFont="1" applyFill="1" applyBorder="1" applyAlignment="1">
      <alignment horizontal="center" vertical="center"/>
    </xf>
    <xf numFmtId="0" fontId="28" fillId="2" borderId="112" xfId="182" applyFont="1" applyFill="1" applyBorder="1" applyAlignment="1">
      <alignment horizontal="left" vertical="center"/>
    </xf>
    <xf numFmtId="0" fontId="28" fillId="2" borderId="113" xfId="182" applyFont="1" applyFill="1" applyBorder="1" applyAlignment="1">
      <alignment horizontal="center"/>
    </xf>
    <xf numFmtId="0" fontId="28" fillId="2" borderId="114" xfId="182" applyFont="1" applyFill="1" applyBorder="1" applyAlignment="1">
      <alignment horizontal="center"/>
    </xf>
    <xf numFmtId="0" fontId="28" fillId="2" borderId="112" xfId="182" applyFont="1" applyFill="1" applyBorder="1" applyAlignment="1">
      <alignment horizontal="center"/>
    </xf>
    <xf numFmtId="0" fontId="28" fillId="2" borderId="115" xfId="182" applyFont="1" applyFill="1" applyBorder="1" applyAlignment="1">
      <alignment horizontal="center" vertical="center"/>
    </xf>
    <xf numFmtId="0" fontId="28" fillId="2" borderId="116" xfId="182" applyFont="1" applyFill="1" applyBorder="1" applyAlignment="1">
      <alignment horizontal="left" vertical="center" wrapText="1"/>
    </xf>
    <xf numFmtId="0" fontId="28" fillId="2" borderId="117" xfId="182" applyFont="1" applyFill="1" applyBorder="1" applyAlignment="1">
      <alignment horizontal="center"/>
    </xf>
    <xf numFmtId="0" fontId="28" fillId="2" borderId="118" xfId="182" applyFont="1" applyFill="1" applyBorder="1" applyAlignment="1">
      <alignment horizontal="center"/>
    </xf>
    <xf numFmtId="0" fontId="28" fillId="2" borderId="119" xfId="182" applyFont="1" applyFill="1" applyBorder="1" applyAlignment="1">
      <alignment horizontal="center"/>
    </xf>
    <xf numFmtId="0" fontId="28" fillId="2" borderId="120" xfId="182" applyFont="1" applyFill="1" applyBorder="1" applyAlignment="1">
      <alignment horizontal="center" vertical="center"/>
    </xf>
    <xf numFmtId="0" fontId="28" fillId="2" borderId="121" xfId="182" applyFont="1" applyFill="1" applyBorder="1" applyAlignment="1">
      <alignment horizontal="left" vertical="center" wrapText="1"/>
    </xf>
    <xf numFmtId="0" fontId="28" fillId="2" borderId="122" xfId="182" applyFont="1" applyFill="1" applyBorder="1" applyAlignment="1">
      <alignment horizontal="center"/>
    </xf>
    <xf numFmtId="0" fontId="28" fillId="2" borderId="123" xfId="182" applyFont="1" applyFill="1" applyBorder="1" applyAlignment="1">
      <alignment horizontal="center"/>
    </xf>
    <xf numFmtId="0" fontId="28" fillId="2" borderId="99" xfId="182" applyFont="1" applyFill="1" applyBorder="1" applyAlignment="1">
      <alignment horizontal="center" vertical="center"/>
    </xf>
    <xf numFmtId="0" fontId="28" fillId="2" borderId="100" xfId="182" applyFont="1" applyFill="1" applyBorder="1" applyAlignment="1">
      <alignment horizontal="left" vertical="center" wrapText="1"/>
    </xf>
    <xf numFmtId="0" fontId="28" fillId="2" borderId="124" xfId="182" applyFont="1" applyFill="1" applyBorder="1" applyAlignment="1">
      <alignment horizontal="center"/>
    </xf>
    <xf numFmtId="0" fontId="28" fillId="2" borderId="125" xfId="182" applyFont="1" applyFill="1" applyBorder="1" applyAlignment="1">
      <alignment horizontal="center"/>
    </xf>
    <xf numFmtId="0" fontId="28" fillId="2" borderId="126" xfId="182" applyFont="1" applyFill="1" applyBorder="1" applyAlignment="1">
      <alignment horizontal="center"/>
    </xf>
    <xf numFmtId="0" fontId="28" fillId="2" borderId="101" xfId="182" applyFont="1" applyFill="1" applyBorder="1" applyAlignment="1">
      <alignment horizontal="center"/>
    </xf>
    <xf numFmtId="0" fontId="28" fillId="2" borderId="102" xfId="182" applyFont="1" applyFill="1" applyBorder="1" applyAlignment="1">
      <alignment horizontal="center"/>
    </xf>
    <xf numFmtId="0" fontId="28" fillId="2" borderId="100" xfId="182" applyFont="1" applyFill="1" applyBorder="1" applyAlignment="1">
      <alignment horizontal="center"/>
    </xf>
    <xf numFmtId="0" fontId="28" fillId="2" borderId="121" xfId="182" applyFont="1" applyFill="1" applyBorder="1" applyAlignment="1">
      <alignment horizontal="center"/>
    </xf>
    <xf numFmtId="0" fontId="28" fillId="2" borderId="127" xfId="182" applyFont="1" applyFill="1" applyBorder="1" applyAlignment="1">
      <alignment horizontal="center" vertical="center"/>
    </xf>
    <xf numFmtId="0" fontId="28" fillId="2" borderId="92" xfId="182" applyFont="1" applyFill="1" applyBorder="1" applyAlignment="1">
      <alignment horizontal="left" vertical="center" wrapText="1"/>
    </xf>
    <xf numFmtId="0" fontId="28" fillId="2" borderId="116" xfId="182" applyFont="1" applyFill="1" applyBorder="1" applyAlignment="1">
      <alignment horizontal="center"/>
    </xf>
    <xf numFmtId="0" fontId="28" fillId="2" borderId="128" xfId="182" applyFont="1" applyFill="1" applyBorder="1" applyAlignment="1">
      <alignment horizontal="center" vertical="center"/>
    </xf>
    <xf numFmtId="0" fontId="28" fillId="2" borderId="102" xfId="182" applyFont="1" applyFill="1" applyBorder="1" applyAlignment="1">
      <alignment horizontal="left" vertical="center" wrapText="1"/>
    </xf>
    <xf numFmtId="0" fontId="28" fillId="2" borderId="118" xfId="182" applyFont="1" applyFill="1" applyBorder="1" applyAlignment="1">
      <alignment horizontal="left" vertical="center" wrapText="1"/>
    </xf>
    <xf numFmtId="0" fontId="28" fillId="2" borderId="129" xfId="182" applyFont="1" applyFill="1" applyBorder="1" applyAlignment="1">
      <alignment horizontal="left" vertical="center" wrapText="1"/>
    </xf>
    <xf numFmtId="0" fontId="28" fillId="2" borderId="129" xfId="182" applyFont="1" applyFill="1" applyBorder="1" applyAlignment="1">
      <alignment horizontal="center"/>
    </xf>
    <xf numFmtId="0" fontId="3" fillId="2" borderId="130" xfId="182" applyFill="1" applyBorder="1"/>
    <xf numFmtId="0" fontId="3" fillId="2" borderId="0" xfId="182" applyFill="1" applyBorder="1"/>
    <xf numFmtId="0" fontId="30" fillId="2" borderId="115" xfId="182" applyFont="1" applyFill="1" applyBorder="1"/>
    <xf numFmtId="0" fontId="33" fillId="2" borderId="118" xfId="182" applyFont="1" applyFill="1" applyBorder="1"/>
    <xf numFmtId="0" fontId="30" fillId="2" borderId="118" xfId="182" applyFont="1" applyFill="1" applyBorder="1" applyAlignment="1">
      <alignment horizontal="center"/>
    </xf>
    <xf numFmtId="0" fontId="30" fillId="2" borderId="116" xfId="182" applyFont="1" applyFill="1" applyBorder="1" applyAlignment="1">
      <alignment horizontal="center"/>
    </xf>
    <xf numFmtId="0" fontId="31" fillId="2" borderId="130" xfId="182" applyFont="1" applyFill="1" applyBorder="1"/>
    <xf numFmtId="0" fontId="32" fillId="2" borderId="130" xfId="182" applyFont="1" applyFill="1" applyBorder="1"/>
    <xf numFmtId="0" fontId="30" fillId="2" borderId="131" xfId="182" applyFont="1" applyFill="1" applyBorder="1" applyAlignment="1">
      <alignment horizontal="center"/>
    </xf>
    <xf numFmtId="0" fontId="30" fillId="2" borderId="132" xfId="182" applyFont="1" applyFill="1" applyBorder="1" applyAlignment="1">
      <alignment horizontal="center"/>
    </xf>
    <xf numFmtId="0" fontId="28" fillId="2" borderId="90" xfId="182" applyFont="1" applyFill="1" applyBorder="1" applyAlignment="1">
      <alignment horizontal="center" vertical="center"/>
    </xf>
    <xf numFmtId="0" fontId="28" fillId="2" borderId="90" xfId="182" applyFont="1" applyFill="1" applyBorder="1" applyAlignment="1">
      <alignment wrapText="1"/>
    </xf>
    <xf numFmtId="0" fontId="28" fillId="2" borderId="98" xfId="182" applyFont="1" applyFill="1" applyBorder="1" applyAlignment="1">
      <alignment horizontal="center"/>
    </xf>
    <xf numFmtId="0" fontId="28" fillId="2" borderId="133" xfId="182" applyFont="1" applyFill="1" applyBorder="1" applyAlignment="1">
      <alignment horizontal="center"/>
    </xf>
    <xf numFmtId="0" fontId="28" fillId="2" borderId="91" xfId="182" applyFont="1" applyFill="1" applyBorder="1"/>
    <xf numFmtId="0" fontId="28" fillId="2" borderId="90" xfId="182" applyFont="1" applyFill="1" applyBorder="1" applyAlignment="1">
      <alignment horizontal="center"/>
    </xf>
    <xf numFmtId="0" fontId="28" fillId="2" borderId="91" xfId="182" applyFont="1" applyFill="1" applyBorder="1" applyAlignment="1">
      <alignment horizontal="center"/>
    </xf>
    <xf numFmtId="0" fontId="28" fillId="2" borderId="94" xfId="182" applyFont="1" applyFill="1" applyBorder="1" applyAlignment="1">
      <alignment horizontal="center" vertical="center"/>
    </xf>
    <xf numFmtId="0" fontId="28" fillId="2" borderId="134" xfId="182" applyFont="1" applyFill="1" applyBorder="1" applyAlignment="1">
      <alignment wrapText="1"/>
    </xf>
    <xf numFmtId="0" fontId="28" fillId="2" borderId="94" xfId="182" applyFont="1" applyFill="1" applyBorder="1" applyAlignment="1">
      <alignment horizontal="center"/>
    </xf>
    <xf numFmtId="0" fontId="30" fillId="2" borderId="111" xfId="182" applyFont="1" applyFill="1" applyBorder="1"/>
    <xf numFmtId="0" fontId="33" fillId="2" borderId="112" xfId="182" applyFont="1" applyFill="1" applyBorder="1"/>
    <xf numFmtId="0" fontId="30" fillId="2" borderId="98" xfId="182" applyFont="1" applyFill="1" applyBorder="1" applyAlignment="1">
      <alignment horizontal="center"/>
    </xf>
    <xf numFmtId="0" fontId="30" fillId="2" borderId="90" xfId="182" applyFont="1" applyFill="1" applyBorder="1" applyAlignment="1">
      <alignment horizontal="center"/>
    </xf>
    <xf numFmtId="0" fontId="3" fillId="2" borderId="135" xfId="182" applyFill="1" applyBorder="1"/>
    <xf numFmtId="0" fontId="27" fillId="2" borderId="130" xfId="182" applyFont="1" applyFill="1" applyBorder="1" applyAlignment="1">
      <alignment horizontal="justify" vertical="center"/>
    </xf>
    <xf numFmtId="0" fontId="27" fillId="2" borderId="0" xfId="182" applyFont="1" applyFill="1" applyBorder="1" applyAlignment="1">
      <alignment horizontal="justify" vertical="center"/>
    </xf>
    <xf numFmtId="0" fontId="10" fillId="4" borderId="0" xfId="5" applyFont="1" applyFill="1" applyBorder="1" applyAlignment="1">
      <alignment horizontal="left" vertical="center" wrapText="1"/>
    </xf>
    <xf numFmtId="0" fontId="10" fillId="4" borderId="0" xfId="5" applyFont="1" applyFill="1" applyBorder="1" applyAlignment="1">
      <alignment vertical="center" wrapText="1"/>
    </xf>
    <xf numFmtId="0" fontId="0" fillId="0" borderId="0" xfId="0" applyAlignment="1">
      <alignment vertical="center"/>
    </xf>
    <xf numFmtId="0" fontId="14" fillId="2" borderId="0" xfId="4" applyFont="1" applyFill="1" applyAlignment="1">
      <alignment horizontal="center"/>
    </xf>
    <xf numFmtId="0" fontId="17" fillId="2" borderId="0" xfId="4" applyNumberFormat="1" applyFont="1" applyFill="1" applyAlignment="1">
      <alignment horizontal="left" vertical="center" wrapText="1"/>
    </xf>
    <xf numFmtId="0" fontId="26" fillId="2" borderId="0" xfId="181" applyFont="1" applyFill="1" applyAlignment="1">
      <alignment horizontal="left" wrapText="1"/>
    </xf>
    <xf numFmtId="0" fontId="26" fillId="2" borderId="0" xfId="181" applyFont="1" applyFill="1" applyAlignment="1">
      <alignment horizontal="left"/>
    </xf>
    <xf numFmtId="0" fontId="14" fillId="2" borderId="0" xfId="181" applyFont="1" applyFill="1" applyAlignment="1">
      <alignment horizontal="center"/>
    </xf>
    <xf numFmtId="0" fontId="26" fillId="2" borderId="0" xfId="181" applyFont="1" applyFill="1" applyAlignment="1">
      <alignment horizontal="left" vertical="center" wrapText="1"/>
    </xf>
    <xf numFmtId="0" fontId="26" fillId="2" borderId="0" xfId="181" applyFont="1" applyFill="1" applyAlignment="1">
      <alignment horizontal="left" vertical="center"/>
    </xf>
    <xf numFmtId="0" fontId="27" fillId="2" borderId="0" xfId="182" applyFont="1" applyFill="1" applyAlignment="1">
      <alignment horizontal="justify" vertical="center" wrapText="1"/>
    </xf>
    <xf numFmtId="0" fontId="29" fillId="2" borderId="0" xfId="182" applyFont="1" applyFill="1" applyAlignment="1">
      <alignment horizontal="left" vertical="center" wrapText="1"/>
    </xf>
    <xf numFmtId="0" fontId="27" fillId="2" borderId="0" xfId="182" applyFont="1" applyFill="1" applyAlignment="1">
      <alignment vertical="center"/>
    </xf>
    <xf numFmtId="0" fontId="29" fillId="2" borderId="0" xfId="182" applyFont="1" applyFill="1" applyAlignment="1">
      <alignment horizontal="left" wrapText="1"/>
    </xf>
    <xf numFmtId="0" fontId="29" fillId="2" borderId="0" xfId="182" applyFont="1" applyFill="1" applyAlignment="1">
      <alignment horizontal="left"/>
    </xf>
    <xf numFmtId="0" fontId="27" fillId="2" borderId="0" xfId="182" applyFont="1" applyFill="1" applyAlignment="1">
      <alignment horizontal="left" wrapText="1"/>
    </xf>
    <xf numFmtId="0" fontId="27" fillId="2" borderId="0" xfId="182" applyFont="1" applyFill="1"/>
    <xf numFmtId="0" fontId="30" fillId="2" borderId="0" xfId="181" applyFont="1" applyFill="1" applyAlignment="1">
      <alignment horizontal="left" wrapText="1"/>
    </xf>
    <xf numFmtId="0" fontId="30" fillId="2" borderId="0" xfId="181" applyFont="1" applyFill="1" applyAlignment="1">
      <alignment horizontal="left"/>
    </xf>
    <xf numFmtId="0" fontId="27" fillId="2" borderId="130" xfId="182" applyFont="1" applyFill="1" applyBorder="1" applyAlignment="1">
      <alignment horizontal="justify" vertical="center" wrapText="1"/>
    </xf>
    <xf numFmtId="0" fontId="27" fillId="2" borderId="0" xfId="182" applyFont="1" applyFill="1" applyBorder="1" applyAlignment="1">
      <alignment horizontal="justify" vertical="center"/>
    </xf>
    <xf numFmtId="0" fontId="27" fillId="2" borderId="130" xfId="182" applyFont="1" applyFill="1" applyBorder="1" applyAlignment="1">
      <alignment horizontal="left" vertical="center" wrapText="1"/>
    </xf>
    <xf numFmtId="0" fontId="27" fillId="2" borderId="0" xfId="182" applyFont="1" applyFill="1" applyBorder="1" applyAlignment="1">
      <alignment horizontal="left" vertical="center" wrapText="1"/>
    </xf>
    <xf numFmtId="0" fontId="9" fillId="2" borderId="65" xfId="5" applyFont="1" applyFill="1" applyBorder="1" applyAlignment="1">
      <alignment horizontal="center" vertical="center" wrapText="1"/>
    </xf>
    <xf numFmtId="0" fontId="9" fillId="2" borderId="72" xfId="5" applyFont="1" applyFill="1" applyBorder="1" applyAlignment="1">
      <alignment horizontal="center" vertical="center" wrapText="1"/>
    </xf>
    <xf numFmtId="0" fontId="9" fillId="2" borderId="0" xfId="5" applyFont="1" applyFill="1" applyBorder="1" applyAlignment="1">
      <alignment horizontal="center" vertical="center" wrapText="1"/>
    </xf>
    <xf numFmtId="0" fontId="9" fillId="2" borderId="48" xfId="5" applyFont="1" applyFill="1" applyBorder="1" applyAlignment="1">
      <alignment horizontal="center" vertical="center" wrapText="1"/>
    </xf>
    <xf numFmtId="165" fontId="7" fillId="2" borderId="59" xfId="3" applyNumberFormat="1" applyFont="1" applyFill="1" applyBorder="1" applyAlignment="1">
      <alignment horizontal="left" vertical="center" wrapText="1"/>
    </xf>
    <xf numFmtId="165" fontId="7" fillId="2" borderId="60" xfId="3" applyNumberFormat="1" applyFont="1" applyFill="1" applyBorder="1" applyAlignment="1">
      <alignment horizontal="left" vertical="center" wrapText="1"/>
    </xf>
    <xf numFmtId="165" fontId="9" fillId="2" borderId="64" xfId="3" applyNumberFormat="1" applyFont="1" applyFill="1" applyBorder="1" applyAlignment="1">
      <alignment horizontal="center" vertical="center"/>
    </xf>
    <xf numFmtId="165" fontId="9" fillId="2" borderId="66" xfId="3" applyNumberFormat="1" applyFont="1" applyFill="1" applyBorder="1" applyAlignment="1">
      <alignment horizontal="center" vertical="center"/>
    </xf>
    <xf numFmtId="0" fontId="10" fillId="4" borderId="0" xfId="5" applyFont="1" applyFill="1" applyBorder="1" applyAlignment="1">
      <alignment horizontal="left" vertical="center" wrapText="1"/>
    </xf>
    <xf numFmtId="0" fontId="9" fillId="2" borderId="49" xfId="5" applyFont="1" applyFill="1" applyBorder="1" applyAlignment="1">
      <alignment horizontal="center" vertical="center" wrapText="1"/>
    </xf>
    <xf numFmtId="0" fontId="9" fillId="2" borderId="53" xfId="5" applyFont="1" applyFill="1" applyBorder="1" applyAlignment="1">
      <alignment horizontal="center" vertical="center" wrapText="1"/>
    </xf>
    <xf numFmtId="165" fontId="9" fillId="2" borderId="88" xfId="3" applyNumberFormat="1" applyFont="1" applyFill="1" applyBorder="1" applyAlignment="1">
      <alignment horizontal="center" vertical="center"/>
    </xf>
    <xf numFmtId="165" fontId="9" fillId="2" borderId="47" xfId="3" applyNumberFormat="1" applyFont="1" applyFill="1" applyBorder="1" applyAlignment="1">
      <alignment horizontal="center" vertical="center"/>
    </xf>
    <xf numFmtId="0" fontId="9" fillId="2" borderId="50" xfId="5" applyFont="1" applyFill="1" applyBorder="1" applyAlignment="1">
      <alignment horizontal="center" vertical="center" wrapText="1"/>
    </xf>
    <xf numFmtId="0" fontId="21" fillId="0" borderId="0" xfId="7" applyFont="1" applyBorder="1" applyAlignment="1">
      <alignment horizontal="center" vertical="center" wrapText="1"/>
    </xf>
    <xf numFmtId="0" fontId="22" fillId="0" borderId="31" xfId="176" applyFont="1" applyBorder="1" applyAlignment="1">
      <alignment horizontal="left" wrapText="1"/>
    </xf>
    <xf numFmtId="0" fontId="22" fillId="0" borderId="16" xfId="176" applyFont="1" applyBorder="1" applyAlignment="1">
      <alignment horizontal="left" wrapText="1"/>
    </xf>
    <xf numFmtId="0" fontId="22" fillId="0" borderId="32" xfId="176" applyFont="1" applyBorder="1" applyAlignment="1">
      <alignment horizontal="left" wrapText="1"/>
    </xf>
    <xf numFmtId="0" fontId="22" fillId="0" borderId="24" xfId="176" applyFont="1" applyBorder="1" applyAlignment="1">
      <alignment horizontal="left" wrapText="1"/>
    </xf>
    <xf numFmtId="0" fontId="22" fillId="0" borderId="0" xfId="176" applyFont="1" applyBorder="1" applyAlignment="1">
      <alignment horizontal="left" vertical="top" wrapText="1"/>
    </xf>
    <xf numFmtId="165" fontId="9" fillId="2" borderId="51" xfId="3" applyNumberFormat="1" applyFont="1" applyFill="1" applyBorder="1" applyAlignment="1">
      <alignment horizontal="center" vertical="center"/>
    </xf>
    <xf numFmtId="165" fontId="9" fillId="2" borderId="52" xfId="3" applyNumberFormat="1" applyFont="1" applyFill="1" applyBorder="1" applyAlignment="1">
      <alignment horizontal="center" vertical="center"/>
    </xf>
    <xf numFmtId="0" fontId="19" fillId="0" borderId="31" xfId="6" applyFont="1" applyBorder="1" applyAlignment="1">
      <alignment horizontal="left" wrapText="1"/>
    </xf>
    <xf numFmtId="0" fontId="19" fillId="0" borderId="16" xfId="6" applyFont="1" applyBorder="1" applyAlignment="1">
      <alignment horizontal="left" wrapText="1"/>
    </xf>
    <xf numFmtId="0" fontId="19" fillId="0" borderId="32" xfId="6" applyFont="1" applyBorder="1" applyAlignment="1">
      <alignment horizontal="left" wrapText="1"/>
    </xf>
    <xf numFmtId="0" fontId="19" fillId="0" borderId="24" xfId="6" applyFont="1" applyBorder="1" applyAlignment="1">
      <alignment horizontal="left" wrapText="1"/>
    </xf>
    <xf numFmtId="0" fontId="19" fillId="0" borderId="31" xfId="6" applyFont="1" applyBorder="1" applyAlignment="1">
      <alignment horizontal="left" vertical="top" wrapText="1"/>
    </xf>
    <xf numFmtId="0" fontId="19" fillId="0" borderId="33" xfId="6" applyFont="1" applyBorder="1" applyAlignment="1">
      <alignment horizontal="left" vertical="top" wrapText="1"/>
    </xf>
    <xf numFmtId="0" fontId="19" fillId="0" borderId="32" xfId="6" applyFont="1" applyBorder="1" applyAlignment="1">
      <alignment horizontal="left" vertical="top" wrapText="1"/>
    </xf>
  </cellXfs>
  <cellStyles count="183">
    <cellStyle name="Hipervínculo" xfId="1" builtinId="8"/>
    <cellStyle name="Hipervínculo 2" xfId="10"/>
    <cellStyle name="Hipervínculo_empleo por provincia a 2 dígitos" xfId="2"/>
    <cellStyle name="Millares" xfId="175" builtinId="3"/>
    <cellStyle name="Millares 2" xfId="11"/>
    <cellStyle name="Millares 3" xfId="48"/>
    <cellStyle name="Millares 4" xfId="49"/>
    <cellStyle name="Millares 4 2" xfId="132"/>
    <cellStyle name="Millares 4 2 2" xfId="179"/>
    <cellStyle name="Millares 4 3" xfId="178"/>
    <cellStyle name="Millares 5" xfId="46"/>
    <cellStyle name="Millares 5 2" xfId="177"/>
    <cellStyle name="Millares 6" xfId="180"/>
    <cellStyle name="Millares_empleo por provincia a 2 dígitos" xfId="3"/>
    <cellStyle name="Normal" xfId="0" builtinId="0"/>
    <cellStyle name="Normal 2" xfId="4"/>
    <cellStyle name="Normal 2 2" xfId="9"/>
    <cellStyle name="Normal 2_serie_anual" xfId="181"/>
    <cellStyle name="Normal_empleo por provincia a 2 dígitos" xfId="5"/>
    <cellStyle name="Normal_Hoja1" xfId="6"/>
    <cellStyle name="Normal_Hoja1_1" xfId="7"/>
    <cellStyle name="Normal_Hoja1_2" xfId="174"/>
    <cellStyle name="Normal_Hoja1_3" xfId="176"/>
    <cellStyle name="Normal_serie_anual 2" xfId="182"/>
    <cellStyle name="Porcentaje" xfId="8" builtinId="5"/>
    <cellStyle name="Porcentaje 2" xfId="47"/>
    <cellStyle name="style1441217094643" xfId="34"/>
    <cellStyle name="style1441217094689" xfId="27"/>
    <cellStyle name="style1441217094721" xfId="28"/>
    <cellStyle name="style1441217094736" xfId="29"/>
    <cellStyle name="style1441217094783" xfId="30"/>
    <cellStyle name="style1441217094814" xfId="31"/>
    <cellStyle name="style1441217094861" xfId="32"/>
    <cellStyle name="style1441217094923" xfId="33"/>
    <cellStyle name="style1441217094970" xfId="14"/>
    <cellStyle name="style1441217095033" xfId="15"/>
    <cellStyle name="style1441217095064" xfId="16"/>
    <cellStyle name="style1441217095095" xfId="19"/>
    <cellStyle name="style1441217095111" xfId="20"/>
    <cellStyle name="style1441217095142" xfId="21"/>
    <cellStyle name="style1441217096078" xfId="24"/>
    <cellStyle name="style1441217096093" xfId="25"/>
    <cellStyle name="style1441217096171" xfId="26"/>
    <cellStyle name="style1441217097201" xfId="12"/>
    <cellStyle name="style1441217097217" xfId="17"/>
    <cellStyle name="style1441217097232" xfId="13"/>
    <cellStyle name="style1441217097263" xfId="18"/>
    <cellStyle name="style1441217097279" xfId="22"/>
    <cellStyle name="style1441217097310" xfId="23"/>
    <cellStyle name="style1441217097653" xfId="35"/>
    <cellStyle name="style1441217097669" xfId="39"/>
    <cellStyle name="style1441217097685" xfId="36"/>
    <cellStyle name="style1441217097700" xfId="37"/>
    <cellStyle name="style1441217097731" xfId="38"/>
    <cellStyle name="style1441217097747" xfId="40"/>
    <cellStyle name="style1441217097778" xfId="41"/>
    <cellStyle name="style1441217097794" xfId="42"/>
    <cellStyle name="style1441217097841" xfId="43"/>
    <cellStyle name="style1441217097856" xfId="44"/>
    <cellStyle name="style1441217097872" xfId="45"/>
    <cellStyle name="style1448302172104" xfId="50"/>
    <cellStyle name="style1448302172134" xfId="51"/>
    <cellStyle name="style1448302172164" xfId="52"/>
    <cellStyle name="style1448302172188" xfId="53"/>
    <cellStyle name="style1448302172212" xfId="54"/>
    <cellStyle name="style1448302172240" xfId="55"/>
    <cellStyle name="style1448302172263" xfId="56"/>
    <cellStyle name="style1448302172286" xfId="61"/>
    <cellStyle name="style1448302172316" xfId="66"/>
    <cellStyle name="style1448302172338" xfId="73"/>
    <cellStyle name="style1448302172360" xfId="57"/>
    <cellStyle name="style1448302172378" xfId="75"/>
    <cellStyle name="style1448302172401" xfId="62"/>
    <cellStyle name="style1448302172436" xfId="77"/>
    <cellStyle name="style1448302172460" xfId="67"/>
    <cellStyle name="style1448302172478" xfId="58"/>
    <cellStyle name="style1448302172499" xfId="59"/>
    <cellStyle name="style1448302172523" xfId="60"/>
    <cellStyle name="style1448302172546" xfId="63"/>
    <cellStyle name="style1448302172586" xfId="64"/>
    <cellStyle name="style1448302172610" xfId="65"/>
    <cellStyle name="style1448302173512" xfId="68"/>
    <cellStyle name="style1448302173535" xfId="69"/>
    <cellStyle name="style1448302173560" xfId="70"/>
    <cellStyle name="style1448302174105" xfId="71"/>
    <cellStyle name="style1448302174135" xfId="72"/>
    <cellStyle name="style1448302174159" xfId="74"/>
    <cellStyle name="style1448302174179" xfId="76"/>
    <cellStyle name="style1448302174533" xfId="78"/>
    <cellStyle name="style1448302174556" xfId="82"/>
    <cellStyle name="style1448302174580" xfId="79"/>
    <cellStyle name="style1448302174603" xfId="80"/>
    <cellStyle name="style1448302174625" xfId="81"/>
    <cellStyle name="style1448302174651" xfId="83"/>
    <cellStyle name="style1448302174674" xfId="84"/>
    <cellStyle name="style1448302174697" xfId="85"/>
    <cellStyle name="style1448302174719" xfId="86"/>
    <cellStyle name="style1448302174737" xfId="87"/>
    <cellStyle name="style1448302174763" xfId="88"/>
    <cellStyle name="style1448302174800" xfId="89"/>
    <cellStyle name="style1448302174818" xfId="90"/>
    <cellStyle name="style1448302174839" xfId="91"/>
    <cellStyle name="style1448302174915" xfId="92"/>
    <cellStyle name="style1455733906983" xfId="113"/>
    <cellStyle name="style1455733907029" xfId="93"/>
    <cellStyle name="style1455733907061" xfId="94"/>
    <cellStyle name="style1455733907092" xfId="95"/>
    <cellStyle name="style1455733907154" xfId="96"/>
    <cellStyle name="style1455733907185" xfId="97"/>
    <cellStyle name="style1455733907217" xfId="98"/>
    <cellStyle name="style1455733907248" xfId="103"/>
    <cellStyle name="style1455733907295" xfId="108"/>
    <cellStyle name="style1455733907326" xfId="116"/>
    <cellStyle name="style1455733907341" xfId="99"/>
    <cellStyle name="style1455733907373" xfId="118"/>
    <cellStyle name="style1455733907404" xfId="104"/>
    <cellStyle name="style1455733907669" xfId="120"/>
    <cellStyle name="style1455733907685" xfId="109"/>
    <cellStyle name="style1455733907716" xfId="100"/>
    <cellStyle name="style1455733907731" xfId="101"/>
    <cellStyle name="style1455733907763" xfId="102"/>
    <cellStyle name="style1455733907794" xfId="105"/>
    <cellStyle name="style1455733907825" xfId="106"/>
    <cellStyle name="style1455733907856" xfId="107"/>
    <cellStyle name="style1455733908933" xfId="110"/>
    <cellStyle name="style1455733908948" xfId="111"/>
    <cellStyle name="style1455733908980" xfId="112"/>
    <cellStyle name="style1455733909541" xfId="114"/>
    <cellStyle name="style1455733909604" xfId="115"/>
    <cellStyle name="style1455733909635" xfId="117"/>
    <cellStyle name="style1455733909666" xfId="119"/>
    <cellStyle name="style1455733910056" xfId="121"/>
    <cellStyle name="style1455733910072" xfId="125"/>
    <cellStyle name="style1455733910103" xfId="122"/>
    <cellStyle name="style1455733910118" xfId="123"/>
    <cellStyle name="style1455733910150" xfId="124"/>
    <cellStyle name="style1455733910165" xfId="126"/>
    <cellStyle name="style1455733910196" xfId="127"/>
    <cellStyle name="style1455733910212" xfId="128"/>
    <cellStyle name="style1455733910243" xfId="129"/>
    <cellStyle name="style1455733910259" xfId="130"/>
    <cellStyle name="style1455733910290" xfId="131"/>
    <cellStyle name="style1463586316554" xfId="153"/>
    <cellStyle name="style1463586316601" xfId="154"/>
    <cellStyle name="style1463586316679" xfId="155"/>
    <cellStyle name="style1463586316726" xfId="136"/>
    <cellStyle name="style1463586316741" xfId="137"/>
    <cellStyle name="style1463586316788" xfId="138"/>
    <cellStyle name="style1463586316804" xfId="142"/>
    <cellStyle name="style1463586316835" xfId="143"/>
    <cellStyle name="style1463586316866" xfId="144"/>
    <cellStyle name="style1463586317927" xfId="148"/>
    <cellStyle name="style1463586317974" xfId="149"/>
    <cellStyle name="style1463586318005" xfId="150"/>
    <cellStyle name="style1463586318676" xfId="133"/>
    <cellStyle name="style1463586318691" xfId="139"/>
    <cellStyle name="style1463586318722" xfId="145"/>
    <cellStyle name="style1463586318754" xfId="134"/>
    <cellStyle name="style1463586318800" xfId="140"/>
    <cellStyle name="style1463586318816" xfId="151"/>
    <cellStyle name="style1463586318847" xfId="135"/>
    <cellStyle name="style1463586318863" xfId="152"/>
    <cellStyle name="style1463586318910" xfId="141"/>
    <cellStyle name="style1463586318941" xfId="146"/>
    <cellStyle name="style1463586318988" xfId="147"/>
    <cellStyle name="style1463586319424" xfId="156"/>
    <cellStyle name="style1463586319440" xfId="157"/>
    <cellStyle name="style1463586319471" xfId="158"/>
    <cellStyle name="style1463586319502" xfId="159"/>
    <cellStyle name="style1463586319549" xfId="160"/>
    <cellStyle name="style1463586319580" xfId="161"/>
    <cellStyle name="style1472139591335" xfId="165"/>
    <cellStyle name="style1472139591364" xfId="166"/>
    <cellStyle name="style1472139591398" xfId="167"/>
    <cellStyle name="style1472139591427" xfId="168"/>
    <cellStyle name="style1472139591455" xfId="169"/>
    <cellStyle name="style1472139591487" xfId="170"/>
    <cellStyle name="style1472139592484" xfId="171"/>
    <cellStyle name="style1472139592558" xfId="172"/>
    <cellStyle name="style1472139592622" xfId="173"/>
    <cellStyle name="style1472139593384" xfId="162"/>
    <cellStyle name="style1472139593409" xfId="163"/>
    <cellStyle name="style1472139593462" xfId="164"/>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theme" Target="theme/theme1.xml"/><Relationship Id="rId8" Type="http://schemas.openxmlformats.org/officeDocument/2006/relationships/worksheet" Target="worksheets/sheet8.xml"/></Relationships>
</file>

<file path=xl/charts/_rels/chart9.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10.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1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marker>
            <c:symbol val="none"/>
          </c:marker>
          <c:val>
            <c:numRef>
              <c:f>'Partidos de GBA'!$C$76:$X$76</c:f>
              <c:numCache>
                <c:formatCode>#,##0</c:formatCode>
                <c:ptCount val="22"/>
                <c:pt idx="0">
                  <c:v>62032</c:v>
                </c:pt>
                <c:pt idx="1">
                  <c:v>62235</c:v>
                </c:pt>
                <c:pt idx="2">
                  <c:v>62442</c:v>
                </c:pt>
                <c:pt idx="3">
                  <c:v>64175</c:v>
                </c:pt>
                <c:pt idx="4">
                  <c:v>58964</c:v>
                </c:pt>
                <c:pt idx="5">
                  <c:v>55883</c:v>
                </c:pt>
                <c:pt idx="6">
                  <c:v>52251</c:v>
                </c:pt>
                <c:pt idx="7">
                  <c:v>56379</c:v>
                </c:pt>
                <c:pt idx="8">
                  <c:v>67905</c:v>
                </c:pt>
                <c:pt idx="9">
                  <c:v>74064</c:v>
                </c:pt>
                <c:pt idx="10">
                  <c:v>80811</c:v>
                </c:pt>
                <c:pt idx="11">
                  <c:v>85239</c:v>
                </c:pt>
                <c:pt idx="12">
                  <c:v>88291</c:v>
                </c:pt>
                <c:pt idx="13">
                  <c:v>89534</c:v>
                </c:pt>
                <c:pt idx="14">
                  <c:v>91106</c:v>
                </c:pt>
                <c:pt idx="15">
                  <c:v>92641</c:v>
                </c:pt>
                <c:pt idx="16">
                  <c:v>92769</c:v>
                </c:pt>
                <c:pt idx="17">
                  <c:v>93215</c:v>
                </c:pt>
                <c:pt idx="18">
                  <c:v>92780</c:v>
                </c:pt>
                <c:pt idx="19">
                  <c:v>93920</c:v>
                </c:pt>
                <c:pt idx="20">
                  <c:v>94128</c:v>
                </c:pt>
                <c:pt idx="21">
                  <c:v>94798</c:v>
                </c:pt>
              </c:numCache>
            </c:numRef>
          </c:val>
          <c:smooth val="0"/>
          <c:extLst>
            <c:ext xmlns:c16="http://schemas.microsoft.com/office/drawing/2014/chart" uri="{C3380CC4-5D6E-409C-BE32-E72D297353CC}">
              <c16:uniqueId val="{00000000-4E13-4148-86DF-8732C3F10C8B}"/>
            </c:ext>
          </c:extLst>
        </c:ser>
        <c:ser>
          <c:idx val="1"/>
          <c:order val="1"/>
          <c:marker>
            <c:symbol val="none"/>
          </c:marker>
          <c:val>
            <c:numRef>
              <c:f>'Partidos de GBA'!$C$77:$X$77</c:f>
              <c:numCache>
                <c:formatCode>General</c:formatCode>
                <c:ptCount val="22"/>
              </c:numCache>
            </c:numRef>
          </c:val>
          <c:smooth val="0"/>
          <c:extLst>
            <c:ext xmlns:c16="http://schemas.microsoft.com/office/drawing/2014/chart" uri="{C3380CC4-5D6E-409C-BE32-E72D297353CC}">
              <c16:uniqueId val="{00000001-4E13-4148-86DF-8732C3F10C8B}"/>
            </c:ext>
          </c:extLst>
        </c:ser>
        <c:dLbls>
          <c:showLegendKey val="0"/>
          <c:showVal val="0"/>
          <c:showCatName val="0"/>
          <c:showSerName val="0"/>
          <c:showPercent val="0"/>
          <c:showBubbleSize val="0"/>
        </c:dLbls>
        <c:smooth val="0"/>
        <c:axId val="1700292272"/>
        <c:axId val="1700295536"/>
      </c:lineChart>
      <c:catAx>
        <c:axId val="1700292272"/>
        <c:scaling>
          <c:orientation val="minMax"/>
        </c:scaling>
        <c:delete val="0"/>
        <c:axPos val="b"/>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1700295536"/>
        <c:crosses val="autoZero"/>
        <c:auto val="1"/>
        <c:lblAlgn val="ctr"/>
        <c:lblOffset val="100"/>
        <c:noMultiLvlLbl val="0"/>
      </c:catAx>
      <c:valAx>
        <c:axId val="1700295536"/>
        <c:scaling>
          <c:orientation val="minMax"/>
        </c:scaling>
        <c:delete val="0"/>
        <c:axPos val="l"/>
        <c:majorGridlines/>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1700292272"/>
        <c:crosses val="autoZero"/>
        <c:crossBetween val="between"/>
      </c:valAx>
    </c:plotArea>
    <c:legend>
      <c:legendPos val="r"/>
      <c:layout>
        <c:manualLayout>
          <c:xMode val="edge"/>
          <c:yMode val="edge"/>
          <c:wMode val="edge"/>
          <c:hMode val="edge"/>
          <c:x val="0.83886539281665085"/>
          <c:y val="0.42593904928550602"/>
          <c:w val="0.97889638960255465"/>
          <c:h val="0.56251749781277349"/>
        </c:manualLayout>
      </c:layout>
      <c:overlay val="0"/>
      <c:txPr>
        <a:bodyPr/>
        <a:lstStyle/>
        <a:p>
          <a:pPr>
            <a:defRPr sz="65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marker>
            <c:symbol val="none"/>
          </c:marker>
          <c:val>
            <c:numRef>
              <c:f>'Partidos de GBA'!$C$76:$X$76</c:f>
              <c:numCache>
                <c:formatCode>#,##0</c:formatCode>
                <c:ptCount val="22"/>
                <c:pt idx="0">
                  <c:v>62032</c:v>
                </c:pt>
                <c:pt idx="1">
                  <c:v>62235</c:v>
                </c:pt>
                <c:pt idx="2">
                  <c:v>62442</c:v>
                </c:pt>
                <c:pt idx="3">
                  <c:v>64175</c:v>
                </c:pt>
                <c:pt idx="4">
                  <c:v>58964</c:v>
                </c:pt>
                <c:pt idx="5">
                  <c:v>55883</c:v>
                </c:pt>
                <c:pt idx="6">
                  <c:v>52251</c:v>
                </c:pt>
                <c:pt idx="7">
                  <c:v>56379</c:v>
                </c:pt>
                <c:pt idx="8">
                  <c:v>67905</c:v>
                </c:pt>
                <c:pt idx="9">
                  <c:v>74064</c:v>
                </c:pt>
                <c:pt idx="10">
                  <c:v>80811</c:v>
                </c:pt>
                <c:pt idx="11">
                  <c:v>85239</c:v>
                </c:pt>
                <c:pt idx="12">
                  <c:v>88291</c:v>
                </c:pt>
                <c:pt idx="13">
                  <c:v>89534</c:v>
                </c:pt>
                <c:pt idx="14">
                  <c:v>91106</c:v>
                </c:pt>
                <c:pt idx="15">
                  <c:v>92641</c:v>
                </c:pt>
                <c:pt idx="16">
                  <c:v>92769</c:v>
                </c:pt>
                <c:pt idx="17">
                  <c:v>93215</c:v>
                </c:pt>
                <c:pt idx="18">
                  <c:v>92780</c:v>
                </c:pt>
                <c:pt idx="19">
                  <c:v>93920</c:v>
                </c:pt>
                <c:pt idx="20">
                  <c:v>94128</c:v>
                </c:pt>
                <c:pt idx="21">
                  <c:v>94798</c:v>
                </c:pt>
              </c:numCache>
            </c:numRef>
          </c:val>
          <c:smooth val="0"/>
          <c:extLst>
            <c:ext xmlns:c16="http://schemas.microsoft.com/office/drawing/2014/chart" uri="{C3380CC4-5D6E-409C-BE32-E72D297353CC}">
              <c16:uniqueId val="{00000000-4EBF-4413-82CF-E74C875F9607}"/>
            </c:ext>
          </c:extLst>
        </c:ser>
        <c:ser>
          <c:idx val="1"/>
          <c:order val="1"/>
          <c:marker>
            <c:symbol val="none"/>
          </c:marker>
          <c:val>
            <c:numRef>
              <c:f>'Partidos de GBA'!$C$77:$X$77</c:f>
              <c:numCache>
                <c:formatCode>General</c:formatCode>
                <c:ptCount val="22"/>
              </c:numCache>
            </c:numRef>
          </c:val>
          <c:smooth val="0"/>
          <c:extLst>
            <c:ext xmlns:c16="http://schemas.microsoft.com/office/drawing/2014/chart" uri="{C3380CC4-5D6E-409C-BE32-E72D297353CC}">
              <c16:uniqueId val="{00000001-4EBF-4413-82CF-E74C875F9607}"/>
            </c:ext>
          </c:extLst>
        </c:ser>
        <c:dLbls>
          <c:showLegendKey val="0"/>
          <c:showVal val="0"/>
          <c:showCatName val="0"/>
          <c:showSerName val="0"/>
          <c:showPercent val="0"/>
          <c:showBubbleSize val="0"/>
        </c:dLbls>
        <c:smooth val="0"/>
        <c:axId val="1700293904"/>
        <c:axId val="1700298256"/>
      </c:lineChart>
      <c:catAx>
        <c:axId val="1700293904"/>
        <c:scaling>
          <c:orientation val="minMax"/>
        </c:scaling>
        <c:delete val="0"/>
        <c:axPos val="b"/>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1700298256"/>
        <c:crosses val="autoZero"/>
        <c:auto val="1"/>
        <c:lblAlgn val="ctr"/>
        <c:lblOffset val="100"/>
        <c:noMultiLvlLbl val="0"/>
      </c:catAx>
      <c:valAx>
        <c:axId val="1700298256"/>
        <c:scaling>
          <c:orientation val="minMax"/>
        </c:scaling>
        <c:delete val="0"/>
        <c:axPos val="l"/>
        <c:majorGridlines/>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1700293904"/>
        <c:crosses val="autoZero"/>
        <c:crossBetween val="between"/>
      </c:valAx>
    </c:plotArea>
    <c:legend>
      <c:legendPos val="r"/>
      <c:layout>
        <c:manualLayout>
          <c:xMode val="edge"/>
          <c:yMode val="edge"/>
          <c:wMode val="edge"/>
          <c:hMode val="edge"/>
          <c:x val="0.83886539281665085"/>
          <c:y val="0.42593904928550602"/>
          <c:w val="0.97889638960255465"/>
          <c:h val="0.56251749781277349"/>
        </c:manualLayout>
      </c:layout>
      <c:overlay val="0"/>
      <c:txPr>
        <a:bodyPr/>
        <a:lstStyle/>
        <a:p>
          <a:pPr>
            <a:defRPr sz="65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marker>
            <c:symbol val="none"/>
          </c:marker>
          <c:val>
            <c:numRef>
              <c:f>Cordoba!$C$76:$X$76</c:f>
              <c:numCache>
                <c:formatCode>#,##0</c:formatCode>
                <c:ptCount val="22"/>
                <c:pt idx="0">
                  <c:v>38623</c:v>
                </c:pt>
                <c:pt idx="1">
                  <c:v>39230</c:v>
                </c:pt>
                <c:pt idx="2">
                  <c:v>39505</c:v>
                </c:pt>
                <c:pt idx="3">
                  <c:v>38978</c:v>
                </c:pt>
                <c:pt idx="4">
                  <c:v>39044</c:v>
                </c:pt>
                <c:pt idx="5">
                  <c:v>38481</c:v>
                </c:pt>
                <c:pt idx="6">
                  <c:v>37024</c:v>
                </c:pt>
                <c:pt idx="7">
                  <c:v>41077</c:v>
                </c:pt>
                <c:pt idx="8">
                  <c:v>46810</c:v>
                </c:pt>
                <c:pt idx="9">
                  <c:v>50762</c:v>
                </c:pt>
                <c:pt idx="10">
                  <c:v>54631</c:v>
                </c:pt>
                <c:pt idx="11">
                  <c:v>57882</c:v>
                </c:pt>
                <c:pt idx="12">
                  <c:v>60587</c:v>
                </c:pt>
                <c:pt idx="13">
                  <c:v>60992</c:v>
                </c:pt>
                <c:pt idx="14">
                  <c:v>61367</c:v>
                </c:pt>
                <c:pt idx="15">
                  <c:v>62237</c:v>
                </c:pt>
                <c:pt idx="16">
                  <c:v>62164</c:v>
                </c:pt>
                <c:pt idx="17">
                  <c:v>61531</c:v>
                </c:pt>
                <c:pt idx="18">
                  <c:v>60731</c:v>
                </c:pt>
                <c:pt idx="19">
                  <c:v>60184</c:v>
                </c:pt>
                <c:pt idx="20">
                  <c:v>60113</c:v>
                </c:pt>
                <c:pt idx="21">
                  <c:v>60018</c:v>
                </c:pt>
              </c:numCache>
            </c:numRef>
          </c:val>
          <c:smooth val="0"/>
          <c:extLst>
            <c:ext xmlns:c16="http://schemas.microsoft.com/office/drawing/2014/chart" uri="{C3380CC4-5D6E-409C-BE32-E72D297353CC}">
              <c16:uniqueId val="{00000000-A5AB-41F0-8034-A849E316D289}"/>
            </c:ext>
          </c:extLst>
        </c:ser>
        <c:ser>
          <c:idx val="1"/>
          <c:order val="1"/>
          <c:marker>
            <c:symbol val="none"/>
          </c:marker>
          <c:val>
            <c:numRef>
              <c:f>Cordoba!$C$77:$X$77</c:f>
              <c:numCache>
                <c:formatCode>General</c:formatCode>
                <c:ptCount val="22"/>
              </c:numCache>
            </c:numRef>
          </c:val>
          <c:smooth val="0"/>
          <c:extLst>
            <c:ext xmlns:c16="http://schemas.microsoft.com/office/drawing/2014/chart" uri="{C3380CC4-5D6E-409C-BE32-E72D297353CC}">
              <c16:uniqueId val="{00000001-A5AB-41F0-8034-A849E316D289}"/>
            </c:ext>
          </c:extLst>
        </c:ser>
        <c:dLbls>
          <c:showLegendKey val="0"/>
          <c:showVal val="0"/>
          <c:showCatName val="0"/>
          <c:showSerName val="0"/>
          <c:showPercent val="0"/>
          <c:showBubbleSize val="0"/>
        </c:dLbls>
        <c:smooth val="0"/>
        <c:axId val="1700296080"/>
        <c:axId val="1700296624"/>
      </c:lineChart>
      <c:catAx>
        <c:axId val="1700296080"/>
        <c:scaling>
          <c:orientation val="minMax"/>
        </c:scaling>
        <c:delete val="0"/>
        <c:axPos val="b"/>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1700296624"/>
        <c:crosses val="autoZero"/>
        <c:auto val="1"/>
        <c:lblAlgn val="ctr"/>
        <c:lblOffset val="100"/>
        <c:noMultiLvlLbl val="0"/>
      </c:catAx>
      <c:valAx>
        <c:axId val="1700296624"/>
        <c:scaling>
          <c:orientation val="minMax"/>
        </c:scaling>
        <c:delete val="0"/>
        <c:axPos val="l"/>
        <c:majorGridlines/>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1700296080"/>
        <c:crosses val="autoZero"/>
        <c:crossBetween val="between"/>
      </c:valAx>
    </c:plotArea>
    <c:legend>
      <c:legendPos val="r"/>
      <c:layout>
        <c:manualLayout>
          <c:xMode val="edge"/>
          <c:yMode val="edge"/>
          <c:wMode val="edge"/>
          <c:hMode val="edge"/>
          <c:x val="0.83950000000000002"/>
          <c:y val="0.42628106970499652"/>
          <c:w val="0.97897803564028185"/>
          <c:h val="0.56223012446024889"/>
        </c:manualLayout>
      </c:layout>
      <c:overlay val="0"/>
      <c:txPr>
        <a:bodyPr/>
        <a:lstStyle/>
        <a:p>
          <a:pPr>
            <a:defRPr sz="65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marker>
            <c:symbol val="none"/>
          </c:marker>
          <c:val>
            <c:numRef>
              <c:f>'Partidos de GBA'!$C$76:$X$76</c:f>
              <c:numCache>
                <c:formatCode>#,##0</c:formatCode>
                <c:ptCount val="22"/>
                <c:pt idx="0">
                  <c:v>62032</c:v>
                </c:pt>
                <c:pt idx="1">
                  <c:v>62235</c:v>
                </c:pt>
                <c:pt idx="2">
                  <c:v>62442</c:v>
                </c:pt>
                <c:pt idx="3">
                  <c:v>64175</c:v>
                </c:pt>
                <c:pt idx="4">
                  <c:v>58964</c:v>
                </c:pt>
                <c:pt idx="5">
                  <c:v>55883</c:v>
                </c:pt>
                <c:pt idx="6">
                  <c:v>52251</c:v>
                </c:pt>
                <c:pt idx="7">
                  <c:v>56379</c:v>
                </c:pt>
                <c:pt idx="8">
                  <c:v>67905</c:v>
                </c:pt>
                <c:pt idx="9">
                  <c:v>74064</c:v>
                </c:pt>
                <c:pt idx="10">
                  <c:v>80811</c:v>
                </c:pt>
                <c:pt idx="11">
                  <c:v>85239</c:v>
                </c:pt>
                <c:pt idx="12">
                  <c:v>88291</c:v>
                </c:pt>
                <c:pt idx="13">
                  <c:v>89534</c:v>
                </c:pt>
                <c:pt idx="14">
                  <c:v>91106</c:v>
                </c:pt>
                <c:pt idx="15">
                  <c:v>92641</c:v>
                </c:pt>
                <c:pt idx="16">
                  <c:v>92769</c:v>
                </c:pt>
                <c:pt idx="17">
                  <c:v>93215</c:v>
                </c:pt>
                <c:pt idx="18">
                  <c:v>92780</c:v>
                </c:pt>
                <c:pt idx="19">
                  <c:v>93920</c:v>
                </c:pt>
                <c:pt idx="20">
                  <c:v>94128</c:v>
                </c:pt>
                <c:pt idx="21">
                  <c:v>94798</c:v>
                </c:pt>
              </c:numCache>
            </c:numRef>
          </c:val>
          <c:smooth val="0"/>
          <c:extLst>
            <c:ext xmlns:c16="http://schemas.microsoft.com/office/drawing/2014/chart" uri="{C3380CC4-5D6E-409C-BE32-E72D297353CC}">
              <c16:uniqueId val="{00000000-5109-4F57-836C-7274A951B884}"/>
            </c:ext>
          </c:extLst>
        </c:ser>
        <c:ser>
          <c:idx val="1"/>
          <c:order val="1"/>
          <c:marker>
            <c:symbol val="none"/>
          </c:marker>
          <c:val>
            <c:numRef>
              <c:f>'Partidos de GBA'!$C$77:$X$77</c:f>
              <c:numCache>
                <c:formatCode>General</c:formatCode>
                <c:ptCount val="22"/>
              </c:numCache>
            </c:numRef>
          </c:val>
          <c:smooth val="0"/>
          <c:extLst>
            <c:ext xmlns:c16="http://schemas.microsoft.com/office/drawing/2014/chart" uri="{C3380CC4-5D6E-409C-BE32-E72D297353CC}">
              <c16:uniqueId val="{00000001-5109-4F57-836C-7274A951B884}"/>
            </c:ext>
          </c:extLst>
        </c:ser>
        <c:dLbls>
          <c:showLegendKey val="0"/>
          <c:showVal val="0"/>
          <c:showCatName val="0"/>
          <c:showSerName val="0"/>
          <c:showPercent val="0"/>
          <c:showBubbleSize val="0"/>
        </c:dLbls>
        <c:smooth val="0"/>
        <c:axId val="2099853104"/>
        <c:axId val="2099851472"/>
      </c:lineChart>
      <c:catAx>
        <c:axId val="2099853104"/>
        <c:scaling>
          <c:orientation val="minMax"/>
        </c:scaling>
        <c:delete val="0"/>
        <c:axPos val="b"/>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2099851472"/>
        <c:crosses val="autoZero"/>
        <c:auto val="1"/>
        <c:lblAlgn val="ctr"/>
        <c:lblOffset val="100"/>
        <c:noMultiLvlLbl val="0"/>
      </c:catAx>
      <c:valAx>
        <c:axId val="2099851472"/>
        <c:scaling>
          <c:orientation val="minMax"/>
        </c:scaling>
        <c:delete val="0"/>
        <c:axPos val="l"/>
        <c:majorGridlines/>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2099853104"/>
        <c:crosses val="autoZero"/>
        <c:crossBetween val="between"/>
      </c:valAx>
    </c:plotArea>
    <c:legend>
      <c:legendPos val="r"/>
      <c:layout>
        <c:manualLayout>
          <c:xMode val="edge"/>
          <c:yMode val="edge"/>
          <c:wMode val="edge"/>
          <c:hMode val="edge"/>
          <c:x val="0.83886539281665085"/>
          <c:y val="0.42593904928550602"/>
          <c:w val="0.97889638960255465"/>
          <c:h val="0.56251749781277349"/>
        </c:manualLayout>
      </c:layout>
      <c:overlay val="0"/>
      <c:txPr>
        <a:bodyPr/>
        <a:lstStyle/>
        <a:p>
          <a:pPr>
            <a:defRPr sz="65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marker>
            <c:symbol val="none"/>
          </c:marker>
          <c:val>
            <c:numRef>
              <c:f>'Partidos de GBA'!$C$76:$X$76</c:f>
              <c:numCache>
                <c:formatCode>#,##0</c:formatCode>
                <c:ptCount val="22"/>
                <c:pt idx="0">
                  <c:v>62032</c:v>
                </c:pt>
                <c:pt idx="1">
                  <c:v>62235</c:v>
                </c:pt>
                <c:pt idx="2">
                  <c:v>62442</c:v>
                </c:pt>
                <c:pt idx="3">
                  <c:v>64175</c:v>
                </c:pt>
                <c:pt idx="4">
                  <c:v>58964</c:v>
                </c:pt>
                <c:pt idx="5">
                  <c:v>55883</c:v>
                </c:pt>
                <c:pt idx="6">
                  <c:v>52251</c:v>
                </c:pt>
                <c:pt idx="7">
                  <c:v>56379</c:v>
                </c:pt>
                <c:pt idx="8">
                  <c:v>67905</c:v>
                </c:pt>
                <c:pt idx="9">
                  <c:v>74064</c:v>
                </c:pt>
                <c:pt idx="10">
                  <c:v>80811</c:v>
                </c:pt>
                <c:pt idx="11">
                  <c:v>85239</c:v>
                </c:pt>
                <c:pt idx="12">
                  <c:v>88291</c:v>
                </c:pt>
                <c:pt idx="13">
                  <c:v>89534</c:v>
                </c:pt>
                <c:pt idx="14">
                  <c:v>91106</c:v>
                </c:pt>
                <c:pt idx="15">
                  <c:v>92641</c:v>
                </c:pt>
                <c:pt idx="16">
                  <c:v>92769</c:v>
                </c:pt>
                <c:pt idx="17">
                  <c:v>93215</c:v>
                </c:pt>
                <c:pt idx="18">
                  <c:v>92780</c:v>
                </c:pt>
                <c:pt idx="19">
                  <c:v>93920</c:v>
                </c:pt>
                <c:pt idx="20">
                  <c:v>94128</c:v>
                </c:pt>
                <c:pt idx="21">
                  <c:v>94798</c:v>
                </c:pt>
              </c:numCache>
            </c:numRef>
          </c:val>
          <c:smooth val="0"/>
          <c:extLst>
            <c:ext xmlns:c16="http://schemas.microsoft.com/office/drawing/2014/chart" uri="{C3380CC4-5D6E-409C-BE32-E72D297353CC}">
              <c16:uniqueId val="{00000000-D29F-4BB6-A5F4-6F1E04C09023}"/>
            </c:ext>
          </c:extLst>
        </c:ser>
        <c:ser>
          <c:idx val="1"/>
          <c:order val="1"/>
          <c:marker>
            <c:symbol val="none"/>
          </c:marker>
          <c:val>
            <c:numRef>
              <c:f>'Partidos de GBA'!$C$77:$X$77</c:f>
              <c:numCache>
                <c:formatCode>General</c:formatCode>
                <c:ptCount val="22"/>
              </c:numCache>
            </c:numRef>
          </c:val>
          <c:smooth val="0"/>
          <c:extLst>
            <c:ext xmlns:c16="http://schemas.microsoft.com/office/drawing/2014/chart" uri="{C3380CC4-5D6E-409C-BE32-E72D297353CC}">
              <c16:uniqueId val="{00000001-D29F-4BB6-A5F4-6F1E04C09023}"/>
            </c:ext>
          </c:extLst>
        </c:ser>
        <c:dLbls>
          <c:showLegendKey val="0"/>
          <c:showVal val="0"/>
          <c:showCatName val="0"/>
          <c:showSerName val="0"/>
          <c:showPercent val="0"/>
          <c:showBubbleSize val="0"/>
        </c:dLbls>
        <c:smooth val="0"/>
        <c:axId val="2099853648"/>
        <c:axId val="2099850928"/>
      </c:lineChart>
      <c:catAx>
        <c:axId val="2099853648"/>
        <c:scaling>
          <c:orientation val="minMax"/>
        </c:scaling>
        <c:delete val="0"/>
        <c:axPos val="b"/>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2099850928"/>
        <c:crosses val="autoZero"/>
        <c:auto val="1"/>
        <c:lblAlgn val="ctr"/>
        <c:lblOffset val="100"/>
        <c:noMultiLvlLbl val="0"/>
      </c:catAx>
      <c:valAx>
        <c:axId val="2099850928"/>
        <c:scaling>
          <c:orientation val="minMax"/>
        </c:scaling>
        <c:delete val="0"/>
        <c:axPos val="l"/>
        <c:majorGridlines/>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2099853648"/>
        <c:crosses val="autoZero"/>
        <c:crossBetween val="between"/>
      </c:valAx>
    </c:plotArea>
    <c:legend>
      <c:legendPos val="r"/>
      <c:layout>
        <c:manualLayout>
          <c:xMode val="edge"/>
          <c:yMode val="edge"/>
          <c:wMode val="edge"/>
          <c:hMode val="edge"/>
          <c:x val="0.83886539281665085"/>
          <c:y val="0.42593904928550602"/>
          <c:w val="0.97889638960255465"/>
          <c:h val="0.56251749781277349"/>
        </c:manualLayout>
      </c:layout>
      <c:overlay val="0"/>
      <c:txPr>
        <a:bodyPr/>
        <a:lstStyle/>
        <a:p>
          <a:pPr>
            <a:defRPr sz="65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marker>
            <c:symbol val="none"/>
          </c:marker>
          <c:val>
            <c:numRef>
              <c:f>'Partidos de GBA'!$C$76:$X$76</c:f>
              <c:numCache>
                <c:formatCode>#,##0</c:formatCode>
                <c:ptCount val="22"/>
                <c:pt idx="0">
                  <c:v>62032</c:v>
                </c:pt>
                <c:pt idx="1">
                  <c:v>62235</c:v>
                </c:pt>
                <c:pt idx="2">
                  <c:v>62442</c:v>
                </c:pt>
                <c:pt idx="3">
                  <c:v>64175</c:v>
                </c:pt>
                <c:pt idx="4">
                  <c:v>58964</c:v>
                </c:pt>
                <c:pt idx="5">
                  <c:v>55883</c:v>
                </c:pt>
                <c:pt idx="6">
                  <c:v>52251</c:v>
                </c:pt>
                <c:pt idx="7">
                  <c:v>56379</c:v>
                </c:pt>
                <c:pt idx="8">
                  <c:v>67905</c:v>
                </c:pt>
                <c:pt idx="9">
                  <c:v>74064</c:v>
                </c:pt>
                <c:pt idx="10">
                  <c:v>80811</c:v>
                </c:pt>
                <c:pt idx="11">
                  <c:v>85239</c:v>
                </c:pt>
                <c:pt idx="12">
                  <c:v>88291</c:v>
                </c:pt>
                <c:pt idx="13">
                  <c:v>89534</c:v>
                </c:pt>
                <c:pt idx="14">
                  <c:v>91106</c:v>
                </c:pt>
                <c:pt idx="15">
                  <c:v>92641</c:v>
                </c:pt>
                <c:pt idx="16">
                  <c:v>92769</c:v>
                </c:pt>
                <c:pt idx="17">
                  <c:v>93215</c:v>
                </c:pt>
                <c:pt idx="18">
                  <c:v>92780</c:v>
                </c:pt>
                <c:pt idx="19">
                  <c:v>93920</c:v>
                </c:pt>
                <c:pt idx="20">
                  <c:v>94128</c:v>
                </c:pt>
                <c:pt idx="21">
                  <c:v>94798</c:v>
                </c:pt>
              </c:numCache>
            </c:numRef>
          </c:val>
          <c:smooth val="0"/>
          <c:extLst>
            <c:ext xmlns:c16="http://schemas.microsoft.com/office/drawing/2014/chart" uri="{C3380CC4-5D6E-409C-BE32-E72D297353CC}">
              <c16:uniqueId val="{00000000-F55B-4DFF-A386-DEA655C82249}"/>
            </c:ext>
          </c:extLst>
        </c:ser>
        <c:ser>
          <c:idx val="1"/>
          <c:order val="1"/>
          <c:marker>
            <c:symbol val="none"/>
          </c:marker>
          <c:val>
            <c:numRef>
              <c:f>'Partidos de GBA'!$C$77:$X$77</c:f>
              <c:numCache>
                <c:formatCode>General</c:formatCode>
                <c:ptCount val="22"/>
              </c:numCache>
            </c:numRef>
          </c:val>
          <c:smooth val="0"/>
          <c:extLst>
            <c:ext xmlns:c16="http://schemas.microsoft.com/office/drawing/2014/chart" uri="{C3380CC4-5D6E-409C-BE32-E72D297353CC}">
              <c16:uniqueId val="{00000001-F55B-4DFF-A386-DEA655C82249}"/>
            </c:ext>
          </c:extLst>
        </c:ser>
        <c:dLbls>
          <c:showLegendKey val="0"/>
          <c:showVal val="0"/>
          <c:showCatName val="0"/>
          <c:showSerName val="0"/>
          <c:showPercent val="0"/>
          <c:showBubbleSize val="0"/>
        </c:dLbls>
        <c:smooth val="0"/>
        <c:axId val="2099854192"/>
        <c:axId val="2099849840"/>
      </c:lineChart>
      <c:catAx>
        <c:axId val="2099854192"/>
        <c:scaling>
          <c:orientation val="minMax"/>
        </c:scaling>
        <c:delete val="0"/>
        <c:axPos val="b"/>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2099849840"/>
        <c:crosses val="autoZero"/>
        <c:auto val="1"/>
        <c:lblAlgn val="ctr"/>
        <c:lblOffset val="100"/>
        <c:noMultiLvlLbl val="0"/>
      </c:catAx>
      <c:valAx>
        <c:axId val="2099849840"/>
        <c:scaling>
          <c:orientation val="minMax"/>
        </c:scaling>
        <c:delete val="0"/>
        <c:axPos val="l"/>
        <c:majorGridlines/>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2099854192"/>
        <c:crosses val="autoZero"/>
        <c:crossBetween val="between"/>
      </c:valAx>
    </c:plotArea>
    <c:legend>
      <c:legendPos val="r"/>
      <c:layout>
        <c:manualLayout>
          <c:xMode val="edge"/>
          <c:yMode val="edge"/>
          <c:wMode val="edge"/>
          <c:hMode val="edge"/>
          <c:x val="0.83886539281665085"/>
          <c:y val="0.42593904928550602"/>
          <c:w val="0.97889638960255465"/>
          <c:h val="0.56251749781277349"/>
        </c:manualLayout>
      </c:layout>
      <c:overlay val="0"/>
      <c:txPr>
        <a:bodyPr/>
        <a:lstStyle/>
        <a:p>
          <a:pPr>
            <a:defRPr sz="65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marker>
            <c:symbol val="none"/>
          </c:marker>
          <c:val>
            <c:numRef>
              <c:f>Cordoba!$C$76:$X$76</c:f>
              <c:numCache>
                <c:formatCode>#,##0</c:formatCode>
                <c:ptCount val="22"/>
                <c:pt idx="0">
                  <c:v>38623</c:v>
                </c:pt>
                <c:pt idx="1">
                  <c:v>39230</c:v>
                </c:pt>
                <c:pt idx="2">
                  <c:v>39505</c:v>
                </c:pt>
                <c:pt idx="3">
                  <c:v>38978</c:v>
                </c:pt>
                <c:pt idx="4">
                  <c:v>39044</c:v>
                </c:pt>
                <c:pt idx="5">
                  <c:v>38481</c:v>
                </c:pt>
                <c:pt idx="6">
                  <c:v>37024</c:v>
                </c:pt>
                <c:pt idx="7">
                  <c:v>41077</c:v>
                </c:pt>
                <c:pt idx="8">
                  <c:v>46810</c:v>
                </c:pt>
                <c:pt idx="9">
                  <c:v>50762</c:v>
                </c:pt>
                <c:pt idx="10">
                  <c:v>54631</c:v>
                </c:pt>
                <c:pt idx="11">
                  <c:v>57882</c:v>
                </c:pt>
                <c:pt idx="12">
                  <c:v>60587</c:v>
                </c:pt>
                <c:pt idx="13">
                  <c:v>60992</c:v>
                </c:pt>
                <c:pt idx="14">
                  <c:v>61367</c:v>
                </c:pt>
                <c:pt idx="15">
                  <c:v>62237</c:v>
                </c:pt>
                <c:pt idx="16">
                  <c:v>62164</c:v>
                </c:pt>
                <c:pt idx="17">
                  <c:v>61531</c:v>
                </c:pt>
                <c:pt idx="18">
                  <c:v>60731</c:v>
                </c:pt>
                <c:pt idx="19">
                  <c:v>60184</c:v>
                </c:pt>
                <c:pt idx="20">
                  <c:v>60113</c:v>
                </c:pt>
                <c:pt idx="21">
                  <c:v>60018</c:v>
                </c:pt>
              </c:numCache>
            </c:numRef>
          </c:val>
          <c:smooth val="0"/>
          <c:extLst>
            <c:ext xmlns:c16="http://schemas.microsoft.com/office/drawing/2014/chart" uri="{C3380CC4-5D6E-409C-BE32-E72D297353CC}">
              <c16:uniqueId val="{00000000-2220-4A75-93F3-B8544B61F032}"/>
            </c:ext>
          </c:extLst>
        </c:ser>
        <c:ser>
          <c:idx val="1"/>
          <c:order val="1"/>
          <c:marker>
            <c:symbol val="none"/>
          </c:marker>
          <c:val>
            <c:numRef>
              <c:f>Cordoba!$C$77:$X$77</c:f>
              <c:numCache>
                <c:formatCode>General</c:formatCode>
                <c:ptCount val="22"/>
              </c:numCache>
            </c:numRef>
          </c:val>
          <c:smooth val="0"/>
          <c:extLst>
            <c:ext xmlns:c16="http://schemas.microsoft.com/office/drawing/2014/chart" uri="{C3380CC4-5D6E-409C-BE32-E72D297353CC}">
              <c16:uniqueId val="{00000001-2220-4A75-93F3-B8544B61F032}"/>
            </c:ext>
          </c:extLst>
        </c:ser>
        <c:dLbls>
          <c:showLegendKey val="0"/>
          <c:showVal val="0"/>
          <c:showCatName val="0"/>
          <c:showSerName val="0"/>
          <c:showPercent val="0"/>
          <c:showBubbleSize val="0"/>
        </c:dLbls>
        <c:smooth val="0"/>
        <c:axId val="2099849296"/>
        <c:axId val="2099854736"/>
      </c:lineChart>
      <c:catAx>
        <c:axId val="2099849296"/>
        <c:scaling>
          <c:orientation val="minMax"/>
        </c:scaling>
        <c:delete val="0"/>
        <c:axPos val="b"/>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2099854736"/>
        <c:crosses val="autoZero"/>
        <c:auto val="1"/>
        <c:lblAlgn val="ctr"/>
        <c:lblOffset val="100"/>
        <c:noMultiLvlLbl val="0"/>
      </c:catAx>
      <c:valAx>
        <c:axId val="2099854736"/>
        <c:scaling>
          <c:orientation val="minMax"/>
        </c:scaling>
        <c:delete val="0"/>
        <c:axPos val="l"/>
        <c:majorGridlines/>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2099849296"/>
        <c:crosses val="autoZero"/>
        <c:crossBetween val="between"/>
      </c:valAx>
    </c:plotArea>
    <c:legend>
      <c:legendPos val="r"/>
      <c:layout>
        <c:manualLayout>
          <c:xMode val="edge"/>
          <c:yMode val="edge"/>
          <c:wMode val="edge"/>
          <c:hMode val="edge"/>
          <c:x val="0.83950000000000002"/>
          <c:y val="0.42628106970499652"/>
          <c:w val="0.97897803564028185"/>
          <c:h val="0.56223012446024889"/>
        </c:manualLayout>
      </c:layout>
      <c:overlay val="0"/>
      <c:txPr>
        <a:bodyPr/>
        <a:lstStyle/>
        <a:p>
          <a:pPr>
            <a:defRPr sz="65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marker>
            <c:symbol val="none"/>
          </c:marker>
          <c:val>
            <c:numRef>
              <c:f>'Partidos de GBA'!$C$76:$X$76</c:f>
              <c:numCache>
                <c:formatCode>#,##0</c:formatCode>
                <c:ptCount val="22"/>
                <c:pt idx="0">
                  <c:v>62032</c:v>
                </c:pt>
                <c:pt idx="1">
                  <c:v>62235</c:v>
                </c:pt>
                <c:pt idx="2">
                  <c:v>62442</c:v>
                </c:pt>
                <c:pt idx="3">
                  <c:v>64175</c:v>
                </c:pt>
                <c:pt idx="4">
                  <c:v>58964</c:v>
                </c:pt>
                <c:pt idx="5">
                  <c:v>55883</c:v>
                </c:pt>
                <c:pt idx="6">
                  <c:v>52251</c:v>
                </c:pt>
                <c:pt idx="7">
                  <c:v>56379</c:v>
                </c:pt>
                <c:pt idx="8">
                  <c:v>67905</c:v>
                </c:pt>
                <c:pt idx="9">
                  <c:v>74064</c:v>
                </c:pt>
                <c:pt idx="10">
                  <c:v>80811</c:v>
                </c:pt>
                <c:pt idx="11">
                  <c:v>85239</c:v>
                </c:pt>
                <c:pt idx="12">
                  <c:v>88291</c:v>
                </c:pt>
                <c:pt idx="13">
                  <c:v>89534</c:v>
                </c:pt>
                <c:pt idx="14">
                  <c:v>91106</c:v>
                </c:pt>
                <c:pt idx="15">
                  <c:v>92641</c:v>
                </c:pt>
                <c:pt idx="16">
                  <c:v>92769</c:v>
                </c:pt>
                <c:pt idx="17">
                  <c:v>93215</c:v>
                </c:pt>
                <c:pt idx="18">
                  <c:v>92780</c:v>
                </c:pt>
                <c:pt idx="19">
                  <c:v>93920</c:v>
                </c:pt>
                <c:pt idx="20">
                  <c:v>94128</c:v>
                </c:pt>
                <c:pt idx="21">
                  <c:v>94798</c:v>
                </c:pt>
              </c:numCache>
            </c:numRef>
          </c:val>
          <c:smooth val="0"/>
          <c:extLst>
            <c:ext xmlns:c16="http://schemas.microsoft.com/office/drawing/2014/chart" uri="{C3380CC4-5D6E-409C-BE32-E72D297353CC}">
              <c16:uniqueId val="{00000000-D489-44CE-A14C-BCCC92A28921}"/>
            </c:ext>
          </c:extLst>
        </c:ser>
        <c:ser>
          <c:idx val="1"/>
          <c:order val="1"/>
          <c:marker>
            <c:symbol val="none"/>
          </c:marker>
          <c:val>
            <c:numRef>
              <c:f>'Partidos de GBA'!$C$77:$X$77</c:f>
              <c:numCache>
                <c:formatCode>General</c:formatCode>
                <c:ptCount val="22"/>
              </c:numCache>
            </c:numRef>
          </c:val>
          <c:smooth val="0"/>
          <c:extLst>
            <c:ext xmlns:c16="http://schemas.microsoft.com/office/drawing/2014/chart" uri="{C3380CC4-5D6E-409C-BE32-E72D297353CC}">
              <c16:uniqueId val="{00000001-D489-44CE-A14C-BCCC92A28921}"/>
            </c:ext>
          </c:extLst>
        </c:ser>
        <c:dLbls>
          <c:showLegendKey val="0"/>
          <c:showVal val="0"/>
          <c:showCatName val="0"/>
          <c:showSerName val="0"/>
          <c:showPercent val="0"/>
          <c:showBubbleSize val="0"/>
        </c:dLbls>
        <c:smooth val="0"/>
        <c:axId val="2099856368"/>
        <c:axId val="2099858544"/>
      </c:lineChart>
      <c:catAx>
        <c:axId val="2099856368"/>
        <c:scaling>
          <c:orientation val="minMax"/>
        </c:scaling>
        <c:delete val="0"/>
        <c:axPos val="b"/>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2099858544"/>
        <c:crosses val="autoZero"/>
        <c:auto val="1"/>
        <c:lblAlgn val="ctr"/>
        <c:lblOffset val="100"/>
        <c:noMultiLvlLbl val="0"/>
      </c:catAx>
      <c:valAx>
        <c:axId val="2099858544"/>
        <c:scaling>
          <c:orientation val="minMax"/>
        </c:scaling>
        <c:delete val="0"/>
        <c:axPos val="l"/>
        <c:majorGridlines/>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2099856368"/>
        <c:crosses val="autoZero"/>
        <c:crossBetween val="between"/>
      </c:valAx>
    </c:plotArea>
    <c:legend>
      <c:legendPos val="r"/>
      <c:layout>
        <c:manualLayout>
          <c:xMode val="edge"/>
          <c:yMode val="edge"/>
          <c:wMode val="edge"/>
          <c:hMode val="edge"/>
          <c:x val="0.83886539281665085"/>
          <c:y val="0.42593904928550602"/>
          <c:w val="0.97889638960255465"/>
          <c:h val="0.56251749781277349"/>
        </c:manualLayout>
      </c:layout>
      <c:overlay val="0"/>
      <c:txPr>
        <a:bodyPr/>
        <a:lstStyle/>
        <a:p>
          <a:pPr>
            <a:defRPr sz="65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Hoja1!$B$77</c:f>
              <c:strCache>
                <c:ptCount val="1"/>
                <c:pt idx="0">
                  <c:v>Serie Provincial (1)</c:v>
                </c:pt>
              </c:strCache>
            </c:strRef>
          </c:tx>
          <c:spPr>
            <a:ln w="28575" cap="rnd">
              <a:solidFill>
                <a:schemeClr val="tx2"/>
              </a:solidFill>
              <a:round/>
            </a:ln>
            <a:effectLst/>
          </c:spPr>
          <c:marker>
            <c:symbol val="none"/>
          </c:marker>
          <c:val>
            <c:numRef>
              <c:f>Hoja1!$C$77:$DG$77</c:f>
              <c:numCache>
                <c:formatCode>#,##0</c:formatCode>
                <c:ptCount val="109"/>
                <c:pt idx="0">
                  <c:v>442487</c:v>
                </c:pt>
                <c:pt idx="1">
                  <c:v>450842</c:v>
                </c:pt>
                <c:pt idx="2">
                  <c:v>454531</c:v>
                </c:pt>
                <c:pt idx="3">
                  <c:v>456498</c:v>
                </c:pt>
                <c:pt idx="4">
                  <c:v>439702</c:v>
                </c:pt>
                <c:pt idx="5">
                  <c:v>423843</c:v>
                </c:pt>
                <c:pt idx="6">
                  <c:v>402322</c:v>
                </c:pt>
                <c:pt idx="7">
                  <c:v>432484</c:v>
                </c:pt>
                <c:pt idx="8">
                  <c:v>493963</c:v>
                </c:pt>
                <c:pt idx="9">
                  <c:v>532669</c:v>
                </c:pt>
                <c:pt idx="10">
                  <c:v>568461</c:v>
                </c:pt>
                <c:pt idx="11">
                  <c:v>597583</c:v>
                </c:pt>
                <c:pt idx="12">
                  <c:v>620003</c:v>
                </c:pt>
                <c:pt idx="13">
                  <c:v>623677</c:v>
                </c:pt>
                <c:pt idx="14">
                  <c:v>647399</c:v>
                </c:pt>
                <c:pt idx="15">
                  <c:v>650238</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639487</c:v>
                </c:pt>
                <c:pt idx="108">
                  <c:v>609654</c:v>
                </c:pt>
              </c:numCache>
            </c:numRef>
          </c:val>
          <c:smooth val="0"/>
          <c:extLst>
            <c:ext xmlns:c15="http://schemas.microsoft.com/office/drawing/2012/chart" uri="{02D57815-91ED-43cb-92C2-25804820EDAC}">
              <c15:filteredCategoryTitle>
                <c15:cat>
                  <c:multiLvlStrRef>
                    <c:extLst>
                      <c:ext uri="{02D57815-91ED-43cb-92C2-25804820EDAC}">
                        <c15:formulaRef>
                          <c15:sqref>Hoja1!$C$5:$DG$6</c15:sqref>
                        </c15:formulaRef>
                      </c:ext>
                    </c:extLst>
                  </c:multiLvlStrRef>
                </c15:cat>
              </c15:filteredCategoryTitle>
            </c:ext>
            <c:ext xmlns:c16="http://schemas.microsoft.com/office/drawing/2014/chart" uri="{C3380CC4-5D6E-409C-BE32-E72D297353CC}">
              <c16:uniqueId val="{00000000-C739-4CF6-9124-524D849A2C7A}"/>
            </c:ext>
          </c:extLst>
        </c:ser>
        <c:ser>
          <c:idx val="1"/>
          <c:order val="1"/>
          <c:tx>
            <c:strRef>
              <c:f>Hoja1!$B$80</c:f>
              <c:strCache>
                <c:ptCount val="1"/>
                <c:pt idx="0">
                  <c:v>Serie Nacional (2)</c:v>
                </c:pt>
              </c:strCache>
            </c:strRef>
          </c:tx>
          <c:spPr>
            <a:ln w="28575" cap="rnd">
              <a:solidFill>
                <a:srgbClr val="FF0000"/>
              </a:solidFill>
              <a:round/>
            </a:ln>
            <a:effectLst/>
          </c:spPr>
          <c:marker>
            <c:symbol val="none"/>
          </c:marker>
          <c:val>
            <c:numRef>
              <c:f>Hoja1!$C$80:$DG$80</c:f>
              <c:numCache>
                <c:formatCode>General</c:formatCode>
                <c:ptCount val="109"/>
                <c:pt idx="0">
                  <c:v>3424220</c:v>
                </c:pt>
                <c:pt idx="1">
                  <c:v>3465443</c:v>
                </c:pt>
                <c:pt idx="2">
                  <c:v>3528343</c:v>
                </c:pt>
                <c:pt idx="3">
                  <c:v>3626912</c:v>
                </c:pt>
                <c:pt idx="4">
                  <c:v>3724451</c:v>
                </c:pt>
                <c:pt idx="5">
                  <c:v>3775838</c:v>
                </c:pt>
                <c:pt idx="6">
                  <c:v>3835541</c:v>
                </c:pt>
                <c:pt idx="7">
                  <c:v>3952949</c:v>
                </c:pt>
                <c:pt idx="8">
                  <c:v>4056279</c:v>
                </c:pt>
                <c:pt idx="9">
                  <c:v>4068557</c:v>
                </c:pt>
                <c:pt idx="10">
                  <c:v>4093020</c:v>
                </c:pt>
                <c:pt idx="11">
                  <c:v>4118671</c:v>
                </c:pt>
                <c:pt idx="12">
                  <c:v>4104477</c:v>
                </c:pt>
                <c:pt idx="13">
                  <c:v>4052089</c:v>
                </c:pt>
                <c:pt idx="14">
                  <c:v>4011744</c:v>
                </c:pt>
                <c:pt idx="15">
                  <c:v>4024920</c:v>
                </c:pt>
                <c:pt idx="16">
                  <c:v>4026798</c:v>
                </c:pt>
                <c:pt idx="17">
                  <c:v>3968337</c:v>
                </c:pt>
                <c:pt idx="18">
                  <c:v>3970419</c:v>
                </c:pt>
                <c:pt idx="19">
                  <c:v>4016552</c:v>
                </c:pt>
                <c:pt idx="20">
                  <c:v>4036221</c:v>
                </c:pt>
                <c:pt idx="21">
                  <c:v>3980599</c:v>
                </c:pt>
                <c:pt idx="22">
                  <c:v>3879568</c:v>
                </c:pt>
                <c:pt idx="23">
                  <c:v>3786091</c:v>
                </c:pt>
                <c:pt idx="24">
                  <c:v>3609226</c:v>
                </c:pt>
                <c:pt idx="25">
                  <c:v>3510382</c:v>
                </c:pt>
                <c:pt idx="26">
                  <c:v>3468555</c:v>
                </c:pt>
                <c:pt idx="27">
                  <c:v>3506656</c:v>
                </c:pt>
                <c:pt idx="28">
                  <c:v>3602099</c:v>
                </c:pt>
                <c:pt idx="29">
                  <c:v>3667815</c:v>
                </c:pt>
                <c:pt idx="30">
                  <c:v>3755388</c:v>
                </c:pt>
                <c:pt idx="31">
                  <c:v>3889778</c:v>
                </c:pt>
                <c:pt idx="32">
                  <c:v>4017785</c:v>
                </c:pt>
                <c:pt idx="33">
                  <c:v>4096510</c:v>
                </c:pt>
                <c:pt idx="34">
                  <c:v>4232094</c:v>
                </c:pt>
                <c:pt idx="35">
                  <c:v>4388329</c:v>
                </c:pt>
                <c:pt idx="36">
                  <c:v>4533828</c:v>
                </c:pt>
                <c:pt idx="37">
                  <c:v>4627502</c:v>
                </c:pt>
                <c:pt idx="38">
                  <c:v>4719655</c:v>
                </c:pt>
                <c:pt idx="39">
                  <c:v>4891348</c:v>
                </c:pt>
                <c:pt idx="40">
                  <c:v>5018474</c:v>
                </c:pt>
                <c:pt idx="41">
                  <c:v>5078140</c:v>
                </c:pt>
                <c:pt idx="42">
                  <c:v>5148836</c:v>
                </c:pt>
                <c:pt idx="43">
                  <c:v>5311012</c:v>
                </c:pt>
                <c:pt idx="44">
                  <c:v>5447187</c:v>
                </c:pt>
                <c:pt idx="45">
                  <c:v>5513270</c:v>
                </c:pt>
                <c:pt idx="46">
                  <c:v>5602832</c:v>
                </c:pt>
                <c:pt idx="47">
                  <c:v>5781309</c:v>
                </c:pt>
                <c:pt idx="48">
                  <c:v>5875602</c:v>
                </c:pt>
                <c:pt idx="49">
                  <c:v>5927465</c:v>
                </c:pt>
                <c:pt idx="50">
                  <c:v>5935049</c:v>
                </c:pt>
                <c:pt idx="51">
                  <c:v>5963535</c:v>
                </c:pt>
                <c:pt idx="52">
                  <c:v>5897373</c:v>
                </c:pt>
                <c:pt idx="53">
                  <c:v>5802941</c:v>
                </c:pt>
                <c:pt idx="54">
                  <c:v>5792225</c:v>
                </c:pt>
                <c:pt idx="55">
                  <c:v>5875719</c:v>
                </c:pt>
                <c:pt idx="56">
                  <c:v>5943477</c:v>
                </c:pt>
                <c:pt idx="57">
                  <c:v>5945997</c:v>
                </c:pt>
                <c:pt idx="58">
                  <c:v>5980439</c:v>
                </c:pt>
                <c:pt idx="59">
                  <c:v>6103776</c:v>
                </c:pt>
                <c:pt idx="60" formatCode="#,##0">
                  <c:v>6217730</c:v>
                </c:pt>
                <c:pt idx="61" formatCode="#,##0">
                  <c:v>6245598</c:v>
                </c:pt>
                <c:pt idx="62" formatCode="#,##0">
                  <c:v>6283032</c:v>
                </c:pt>
                <c:pt idx="63" formatCode="#,##0">
                  <c:v>6383145</c:v>
                </c:pt>
                <c:pt idx="64" formatCode="#,##0">
                  <c:v>6408929</c:v>
                </c:pt>
                <c:pt idx="65" formatCode="#,##0">
                  <c:v>6343722</c:v>
                </c:pt>
                <c:pt idx="66" formatCode="#,##0">
                  <c:v>6320313</c:v>
                </c:pt>
                <c:pt idx="67" formatCode="#,##0">
                  <c:v>6394013</c:v>
                </c:pt>
                <c:pt idx="68" formatCode="#,##0">
                  <c:v>6446424</c:v>
                </c:pt>
                <c:pt idx="69" formatCode="#,##0">
                  <c:v>6406568</c:v>
                </c:pt>
                <c:pt idx="70" formatCode="#,##0">
                  <c:v>6394144</c:v>
                </c:pt>
                <c:pt idx="71" formatCode="0.0%">
                  <c:v>6450772</c:v>
                </c:pt>
                <c:pt idx="72" formatCode="0.0%">
                  <c:v>6459169</c:v>
                </c:pt>
                <c:pt idx="73" formatCode="0.0%">
                  <c:v>6400267</c:v>
                </c:pt>
                <c:pt idx="74" formatCode="0.0%">
                  <c:v>6403427</c:v>
                </c:pt>
                <c:pt idx="75" formatCode="0.0%">
                  <c:v>6477927</c:v>
                </c:pt>
                <c:pt idx="76" formatCode="0.0%">
                  <c:v>6556193</c:v>
                </c:pt>
                <c:pt idx="77" formatCode="0.0%">
                  <c:v>6566666</c:v>
                </c:pt>
                <c:pt idx="78" formatCode="0.0%">
                  <c:v>6586359</c:v>
                </c:pt>
                <c:pt idx="79" formatCode="0.0%">
                  <c:v>6614606</c:v>
                </c:pt>
                <c:pt idx="80" formatCode="0.0%">
                  <c:v>6610651</c:v>
                </c:pt>
                <c:pt idx="81" formatCode="0.0%">
                  <c:v>6522164</c:v>
                </c:pt>
                <c:pt idx="82" formatCode="0.0%">
                  <c:v>6497378</c:v>
                </c:pt>
                <c:pt idx="83" formatCode="0.0%">
                  <c:v>6554187</c:v>
                </c:pt>
                <c:pt idx="84">
                  <c:v>6605150</c:v>
                </c:pt>
                <c:pt idx="85">
                  <c:v>6559705</c:v>
                </c:pt>
                <c:pt idx="86">
                  <c:v>6584064</c:v>
                </c:pt>
                <c:pt idx="87">
                  <c:v>6661945</c:v>
                </c:pt>
                <c:pt idx="88">
                  <c:v>6707094</c:v>
                </c:pt>
                <c:pt idx="89">
                  <c:v>6633840</c:v>
                </c:pt>
                <c:pt idx="90">
                  <c:v>6581049</c:v>
                </c:pt>
                <c:pt idx="91">
                  <c:v>6563370</c:v>
                </c:pt>
                <c:pt idx="92">
                  <c:v>6570750</c:v>
                </c:pt>
                <c:pt idx="93">
                  <c:v>6477193</c:v>
                </c:pt>
                <c:pt idx="94">
                  <c:v>6437941</c:v>
                </c:pt>
                <c:pt idx="95">
                  <c:v>6399830</c:v>
                </c:pt>
                <c:pt idx="96">
                  <c:v>6379127</c:v>
                </c:pt>
                <c:pt idx="97">
                  <c:v>6122464</c:v>
                </c:pt>
                <c:pt idx="98">
                  <c:v>6100056</c:v>
                </c:pt>
                <c:pt idx="99">
                  <c:v>6150984</c:v>
                </c:pt>
                <c:pt idx="100">
                  <c:v>6237419</c:v>
                </c:pt>
                <c:pt idx="101">
                  <c:v>6238692</c:v>
                </c:pt>
                <c:pt idx="102">
                  <c:v>6261928</c:v>
                </c:pt>
                <c:pt idx="103">
                  <c:v>6368244</c:v>
                </c:pt>
                <c:pt idx="104">
                  <c:v>6498532</c:v>
                </c:pt>
                <c:pt idx="105">
                  <c:v>6524355</c:v>
                </c:pt>
                <c:pt idx="106">
                  <c:v>6588919</c:v>
                </c:pt>
                <c:pt idx="107">
                  <c:v>6669998</c:v>
                </c:pt>
                <c:pt idx="108">
                  <c:v>6759543</c:v>
                </c:pt>
              </c:numCache>
            </c:numRef>
          </c:val>
          <c:smooth val="0"/>
          <c:extLst>
            <c:ext xmlns:c15="http://schemas.microsoft.com/office/drawing/2012/chart" uri="{02D57815-91ED-43cb-92C2-25804820EDAC}">
              <c15:filteredCategoryTitle>
                <c15:cat>
                  <c:multiLvlStrRef>
                    <c:extLst>
                      <c:ext uri="{02D57815-91ED-43cb-92C2-25804820EDAC}">
                        <c15:formulaRef>
                          <c15:sqref>Hoja1!$C$5:$DG$6</c15:sqref>
                        </c15:formulaRef>
                      </c:ext>
                    </c:extLst>
                  </c:multiLvlStrRef>
                </c15:cat>
              </c15:filteredCategoryTitle>
            </c:ext>
            <c:ext xmlns:c16="http://schemas.microsoft.com/office/drawing/2014/chart" uri="{C3380CC4-5D6E-409C-BE32-E72D297353CC}">
              <c16:uniqueId val="{00000001-C739-4CF6-9124-524D849A2C7A}"/>
            </c:ext>
          </c:extLst>
        </c:ser>
        <c:dLbls>
          <c:showLegendKey val="0"/>
          <c:showVal val="0"/>
          <c:showCatName val="0"/>
          <c:showSerName val="0"/>
          <c:showPercent val="0"/>
          <c:showBubbleSize val="0"/>
        </c:dLbls>
        <c:marker val="1"/>
        <c:smooth val="0"/>
        <c:axId val="2099856912"/>
        <c:axId val="2099861808"/>
      </c:lineChart>
      <c:lineChart>
        <c:grouping val="standard"/>
        <c:varyColors val="0"/>
        <c:ser>
          <c:idx val="2"/>
          <c:order val="2"/>
          <c:tx>
            <c:strRef>
              <c:f>Hoja1!$B$83</c:f>
              <c:strCache>
                <c:ptCount val="1"/>
                <c:pt idx="0">
                  <c:v>diferencia (1-2)</c:v>
                </c:pt>
              </c:strCache>
            </c:strRef>
          </c:tx>
          <c:spPr>
            <a:ln w="28575" cap="rnd">
              <a:solidFill>
                <a:schemeClr val="accent3"/>
              </a:solidFill>
              <a:round/>
            </a:ln>
            <a:effectLst/>
          </c:spPr>
          <c:marker>
            <c:symbol val="none"/>
          </c:marker>
          <c:val>
            <c:numRef>
              <c:f>Hoja1!$C$83:$DG$83</c:f>
              <c:numCache>
                <c:formatCode>0.0%</c:formatCode>
                <c:ptCount val="109"/>
                <c:pt idx="0">
                  <c:v>-6.7385776305292584</c:v>
                </c:pt>
                <c:pt idx="1">
                  <c:v>-6.6866019581139291</c:v>
                </c:pt>
                <c:pt idx="2">
                  <c:v>-6.7626014507261329</c:v>
                </c:pt>
                <c:pt idx="3">
                  <c:v>-6.94507752498368</c:v>
                </c:pt>
                <c:pt idx="4">
                  <c:v>-7.4703981332811766</c:v>
                </c:pt>
                <c:pt idx="5">
                  <c:v>-7.9085769966709369</c:v>
                </c:pt>
                <c:pt idx="6">
                  <c:v>-8.533510471711713</c:v>
                </c:pt>
                <c:pt idx="7">
                  <c:v>-8.1401046050258508</c:v>
                </c:pt>
                <c:pt idx="8">
                  <c:v>-7.2117061399335576</c:v>
                </c:pt>
                <c:pt idx="9">
                  <c:v>-6.6380585316584968</c:v>
                </c:pt>
                <c:pt idx="10">
                  <c:v>-6.2001773208716164</c:v>
                </c:pt>
                <c:pt idx="11">
                  <c:v>-5.8922158093520061</c:v>
                </c:pt>
                <c:pt idx="12">
                  <c:v>-5.6200921608443828</c:v>
                </c:pt>
                <c:pt idx="13">
                  <c:v>-5.4970954516520569</c:v>
                </c:pt>
                <c:pt idx="14">
                  <c:v>-5.1967102204359286</c:v>
                </c:pt>
                <c:pt idx="15">
                  <c:v>-5.1899181530455003</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-9.4302323581245595</c:v>
                </c:pt>
                <c:pt idx="108">
                  <c:v>-10.087507012174118</c:v>
                </c:pt>
              </c:numCache>
            </c:numRef>
          </c:val>
          <c:smooth val="0"/>
          <c:extLst>
            <c:ext xmlns:c15="http://schemas.microsoft.com/office/drawing/2012/chart" uri="{02D57815-91ED-43cb-92C2-25804820EDAC}">
              <c15:filteredCategoryTitle>
                <c15:cat>
                  <c:multiLvlStrRef>
                    <c:extLst>
                      <c:ext uri="{02D57815-91ED-43cb-92C2-25804820EDAC}">
                        <c15:formulaRef>
                          <c15:sqref>Hoja1!$C$5:$DG$6</c15:sqref>
                        </c15:formulaRef>
                      </c:ext>
                    </c:extLst>
                  </c:multiLvlStrRef>
                </c15:cat>
              </c15:filteredCategoryTitle>
            </c:ext>
            <c:ext xmlns:c16="http://schemas.microsoft.com/office/drawing/2014/chart" uri="{C3380CC4-5D6E-409C-BE32-E72D297353CC}">
              <c16:uniqueId val="{00000002-C739-4CF6-9124-524D849A2C7A}"/>
            </c:ext>
          </c:extLst>
        </c:ser>
        <c:dLbls>
          <c:showLegendKey val="0"/>
          <c:showVal val="0"/>
          <c:showCatName val="0"/>
          <c:showSerName val="0"/>
          <c:showPercent val="0"/>
          <c:showBubbleSize val="0"/>
        </c:dLbls>
        <c:marker val="1"/>
        <c:smooth val="0"/>
        <c:axId val="2099859632"/>
        <c:axId val="2099859088"/>
      </c:lineChart>
      <c:catAx>
        <c:axId val="2099856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US"/>
          </a:p>
        </c:txPr>
        <c:crossAx val="2099861808"/>
        <c:crosses val="autoZero"/>
        <c:auto val="1"/>
        <c:lblAlgn val="ctr"/>
        <c:lblOffset val="100"/>
        <c:noMultiLvlLbl val="0"/>
      </c:catAx>
      <c:valAx>
        <c:axId val="209986180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400" b="0" i="0" u="none" strike="noStrike" kern="1200" baseline="0">
                    <a:solidFill>
                      <a:schemeClr val="tx1"/>
                    </a:solidFill>
                    <a:latin typeface="+mn-lt"/>
                    <a:ea typeface="+mn-ea"/>
                    <a:cs typeface="+mn-cs"/>
                  </a:defRPr>
                </a:pPr>
                <a:r>
                  <a:rPr lang="es-AR" sz="1400">
                    <a:solidFill>
                      <a:schemeClr val="tx1"/>
                    </a:solidFill>
                  </a:rPr>
                  <a:t>Puestos de trabajo</a:t>
                </a:r>
              </a:p>
            </c:rich>
          </c:tx>
          <c:overlay val="0"/>
          <c:spPr>
            <a:noFill/>
            <a:ln>
              <a:noFill/>
            </a:ln>
            <a:effectLst/>
          </c:spPr>
          <c:txPr>
            <a:bodyPr rot="-5400000" spcFirstLastPara="1" vertOverflow="ellipsis" vert="horz" wrap="square" anchor="ctr" anchorCtr="1"/>
            <a:lstStyle/>
            <a:p>
              <a:pPr>
                <a:defRPr sz="1400" b="0" i="0" u="none" strike="noStrike" kern="1200" baseline="0">
                  <a:solidFill>
                    <a:schemeClr val="tx1"/>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solidFill>
                <a:latin typeface="+mn-lt"/>
                <a:ea typeface="+mn-ea"/>
                <a:cs typeface="+mn-cs"/>
              </a:defRPr>
            </a:pPr>
            <a:endParaRPr lang="en-US"/>
          </a:p>
        </c:txPr>
        <c:crossAx val="2099856912"/>
        <c:crosses val="autoZero"/>
        <c:crossBetween val="between"/>
      </c:valAx>
      <c:valAx>
        <c:axId val="2099859088"/>
        <c:scaling>
          <c:orientation val="minMax"/>
          <c:max val="3.0000000000000006E-2"/>
        </c:scaling>
        <c:delete val="0"/>
        <c:axPos val="r"/>
        <c:title>
          <c:tx>
            <c:rich>
              <a:bodyPr rot="-5400000" spcFirstLastPara="1" vertOverflow="ellipsis" vert="horz" wrap="square" anchor="ctr" anchorCtr="1"/>
              <a:lstStyle/>
              <a:p>
                <a:pPr>
                  <a:defRPr sz="1400" b="0" i="0" u="none" strike="noStrike" kern="1200" baseline="0">
                    <a:solidFill>
                      <a:schemeClr val="tx1"/>
                    </a:solidFill>
                    <a:latin typeface="+mn-lt"/>
                    <a:ea typeface="+mn-ea"/>
                    <a:cs typeface="+mn-cs"/>
                  </a:defRPr>
                </a:pPr>
                <a:r>
                  <a:rPr lang="es-AR" sz="1400">
                    <a:solidFill>
                      <a:schemeClr val="tx1"/>
                    </a:solidFill>
                  </a:rPr>
                  <a:t>Diferencia % entre  series</a:t>
                </a:r>
              </a:p>
            </c:rich>
          </c:tx>
          <c:overlay val="0"/>
          <c:spPr>
            <a:noFill/>
            <a:ln>
              <a:noFill/>
            </a:ln>
            <a:effectLst/>
          </c:spPr>
          <c:txPr>
            <a:bodyPr rot="-5400000" spcFirstLastPara="1" vertOverflow="ellipsis" vert="horz" wrap="square" anchor="ctr" anchorCtr="1"/>
            <a:lstStyle/>
            <a:p>
              <a:pPr>
                <a:defRPr sz="1400" b="0" i="0" u="none" strike="noStrike" kern="1200" baseline="0">
                  <a:solidFill>
                    <a:schemeClr val="tx1"/>
                  </a:solidFill>
                  <a:latin typeface="+mn-lt"/>
                  <a:ea typeface="+mn-ea"/>
                  <a:cs typeface="+mn-cs"/>
                </a:defRPr>
              </a:pPr>
              <a:endParaRPr lang="en-US"/>
            </a:p>
          </c:txPr>
        </c:title>
        <c:numFmt formatCode="0.0%" sourceLinked="1"/>
        <c:majorTickMark val="out"/>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crossAx val="2099859632"/>
        <c:crosses val="max"/>
        <c:crossBetween val="between"/>
      </c:valAx>
      <c:catAx>
        <c:axId val="2099859632"/>
        <c:scaling>
          <c:orientation val="minMax"/>
        </c:scaling>
        <c:delete val="1"/>
        <c:axPos val="b"/>
        <c:numFmt formatCode="General" sourceLinked="1"/>
        <c:majorTickMark val="out"/>
        <c:minorTickMark val="none"/>
        <c:tickLblPos val="nextTo"/>
        <c:crossAx val="2099859088"/>
        <c:crosses val="autoZero"/>
        <c:auto val="1"/>
        <c:lblAlgn val="ctr"/>
        <c:lblOffset val="100"/>
        <c:noMultiLvlLbl val="0"/>
      </c:catAx>
      <c:spPr>
        <a:noFill/>
        <a:ln>
          <a:noFill/>
        </a:ln>
        <a:effectLst/>
      </c:spPr>
    </c:plotArea>
    <c:legend>
      <c:legendPos val="b"/>
      <c:layout>
        <c:manualLayout>
          <c:xMode val="edge"/>
          <c:yMode val="edge"/>
          <c:x val="0.31171197418445096"/>
          <c:y val="0.35022188275975402"/>
          <c:w val="0.28472471719412862"/>
          <c:h val="0.20579343446340215"/>
        </c:manualLayout>
      </c:layout>
      <c:overlay val="0"/>
      <c:spPr>
        <a:noFill/>
        <a:ln>
          <a:noFill/>
        </a:ln>
        <a:effectLst/>
      </c:spPr>
      <c:txPr>
        <a:bodyPr rot="0" spcFirstLastPara="1" vertOverflow="ellipsis" vert="horz" wrap="square" anchor="ctr" anchorCtr="1"/>
        <a:lstStyle/>
        <a:p>
          <a:pPr>
            <a:defRPr sz="1700" b="1" i="0" u="none" strike="noStrike" kern="1200" baseline="0">
              <a:solidFill>
                <a:schemeClr val="tx1"/>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val>
            <c:numRef>
              <c:f>Hoja1!$C$83:$DG$83</c:f>
              <c:numCache>
                <c:formatCode>0.0%</c:formatCode>
                <c:ptCount val="109"/>
                <c:pt idx="0">
                  <c:v>-6.7385776305292584</c:v>
                </c:pt>
                <c:pt idx="1">
                  <c:v>-6.6866019581139291</c:v>
                </c:pt>
                <c:pt idx="2">
                  <c:v>-6.7626014507261329</c:v>
                </c:pt>
                <c:pt idx="3">
                  <c:v>-6.94507752498368</c:v>
                </c:pt>
                <c:pt idx="4">
                  <c:v>-7.4703981332811766</c:v>
                </c:pt>
                <c:pt idx="5">
                  <c:v>-7.9085769966709369</c:v>
                </c:pt>
                <c:pt idx="6">
                  <c:v>-8.533510471711713</c:v>
                </c:pt>
                <c:pt idx="7">
                  <c:v>-8.1401046050258508</c:v>
                </c:pt>
                <c:pt idx="8">
                  <c:v>-7.2117061399335576</c:v>
                </c:pt>
                <c:pt idx="9">
                  <c:v>-6.6380585316584968</c:v>
                </c:pt>
                <c:pt idx="10">
                  <c:v>-6.2001773208716164</c:v>
                </c:pt>
                <c:pt idx="11">
                  <c:v>-5.8922158093520061</c:v>
                </c:pt>
                <c:pt idx="12">
                  <c:v>-5.6200921608443828</c:v>
                </c:pt>
                <c:pt idx="13">
                  <c:v>-5.4970954516520569</c:v>
                </c:pt>
                <c:pt idx="14">
                  <c:v>-5.1967102204359286</c:v>
                </c:pt>
                <c:pt idx="15">
                  <c:v>-5.1899181530455003</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-9.4302323581245595</c:v>
                </c:pt>
                <c:pt idx="108">
                  <c:v>-10.087507012174118</c:v>
                </c:pt>
              </c:numCache>
            </c:numRef>
          </c:val>
          <c:smooth val="0"/>
          <c:extLst>
            <c:ext xmlns:c16="http://schemas.microsoft.com/office/drawing/2014/chart" uri="{C3380CC4-5D6E-409C-BE32-E72D297353CC}">
              <c16:uniqueId val="{00000000-A8FC-4A47-8CF0-94DBF09A3246}"/>
            </c:ext>
          </c:extLst>
        </c:ser>
        <c:dLbls>
          <c:showLegendKey val="0"/>
          <c:showVal val="0"/>
          <c:showCatName val="0"/>
          <c:showSerName val="0"/>
          <c:showPercent val="0"/>
          <c:showBubbleSize val="0"/>
        </c:dLbls>
        <c:smooth val="0"/>
        <c:axId val="2099862896"/>
        <c:axId val="2099863984"/>
      </c:lineChart>
      <c:catAx>
        <c:axId val="2099862896"/>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9863984"/>
        <c:crosses val="autoZero"/>
        <c:auto val="1"/>
        <c:lblAlgn val="ctr"/>
        <c:lblOffset val="100"/>
        <c:noMultiLvlLbl val="0"/>
      </c:catAx>
      <c:valAx>
        <c:axId val="2099863984"/>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986289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2"/>
          <c:order val="0"/>
          <c:tx>
            <c:strRef>
              <c:f>Hoja1!$B$83</c:f>
              <c:strCache>
                <c:ptCount val="1"/>
                <c:pt idx="0">
                  <c:v>diferencia (1-2)</c:v>
                </c:pt>
              </c:strCache>
            </c:strRef>
          </c:tx>
          <c:spPr>
            <a:ln w="28575" cap="rnd">
              <a:solidFill>
                <a:schemeClr val="accent3"/>
              </a:solidFill>
              <a:round/>
            </a:ln>
            <a:effectLst/>
          </c:spPr>
          <c:marker>
            <c:symbol val="none"/>
          </c:marker>
          <c:cat>
            <c:strRef>
              <c:f>Hoja1!$AQ$4:$DG$4</c:f>
              <c:strCache>
                <c:ptCount val="69"/>
                <c:pt idx="0">
                  <c:v>1er trim 2006</c:v>
                </c:pt>
                <c:pt idx="1">
                  <c:v>2do trim 2006</c:v>
                </c:pt>
                <c:pt idx="2">
                  <c:v>3er trim 2006</c:v>
                </c:pt>
                <c:pt idx="3">
                  <c:v>4to trim 2006</c:v>
                </c:pt>
                <c:pt idx="4">
                  <c:v>1er trim 2007</c:v>
                </c:pt>
                <c:pt idx="5">
                  <c:v>2do trim 2007</c:v>
                </c:pt>
                <c:pt idx="6">
                  <c:v>3er trim 2007</c:v>
                </c:pt>
                <c:pt idx="7">
                  <c:v>4to trim 2007</c:v>
                </c:pt>
                <c:pt idx="8">
                  <c:v>1er trim 2008</c:v>
                </c:pt>
                <c:pt idx="9">
                  <c:v>2do trim 2008</c:v>
                </c:pt>
                <c:pt idx="10">
                  <c:v>3er trim 2008</c:v>
                </c:pt>
                <c:pt idx="11">
                  <c:v>4to trim 2008</c:v>
                </c:pt>
                <c:pt idx="12">
                  <c:v>1er trim 2009</c:v>
                </c:pt>
                <c:pt idx="13">
                  <c:v>2do trim 2009</c:v>
                </c:pt>
                <c:pt idx="14">
                  <c:v>3er trim 2009</c:v>
                </c:pt>
                <c:pt idx="15">
                  <c:v>4to trim 2009</c:v>
                </c:pt>
                <c:pt idx="16">
                  <c:v>1er trim 2010</c:v>
                </c:pt>
                <c:pt idx="17">
                  <c:v>2do trim 2010</c:v>
                </c:pt>
                <c:pt idx="18">
                  <c:v>3er trim 2010</c:v>
                </c:pt>
                <c:pt idx="19">
                  <c:v>4to trim 2010</c:v>
                </c:pt>
                <c:pt idx="20">
                  <c:v>1er trim 2011</c:v>
                </c:pt>
                <c:pt idx="21">
                  <c:v>2do trim 2011</c:v>
                </c:pt>
                <c:pt idx="22">
                  <c:v>3er trim 2011</c:v>
                </c:pt>
                <c:pt idx="23">
                  <c:v>4to trim 2011</c:v>
                </c:pt>
                <c:pt idx="24">
                  <c:v>1er trim 2012</c:v>
                </c:pt>
                <c:pt idx="25">
                  <c:v>2do trim 2012</c:v>
                </c:pt>
                <c:pt idx="26">
                  <c:v>3er trim 2012</c:v>
                </c:pt>
                <c:pt idx="27">
                  <c:v>4to trim 2012</c:v>
                </c:pt>
                <c:pt idx="28">
                  <c:v>1er trim 2013</c:v>
                </c:pt>
                <c:pt idx="29">
                  <c:v>2do trim 2013</c:v>
                </c:pt>
                <c:pt idx="30">
                  <c:v>3er trim 2013</c:v>
                </c:pt>
                <c:pt idx="31">
                  <c:v>4to trim 2013</c:v>
                </c:pt>
                <c:pt idx="32">
                  <c:v>1er trim 2014</c:v>
                </c:pt>
                <c:pt idx="33">
                  <c:v>2do trim 2014</c:v>
                </c:pt>
                <c:pt idx="34">
                  <c:v>3er trim 2014</c:v>
                </c:pt>
                <c:pt idx="35">
                  <c:v>4to trim 2014</c:v>
                </c:pt>
                <c:pt idx="36">
                  <c:v>1er trim 2015</c:v>
                </c:pt>
                <c:pt idx="37">
                  <c:v>2do trim 2015</c:v>
                </c:pt>
                <c:pt idx="38">
                  <c:v>3er trim 2015</c:v>
                </c:pt>
                <c:pt idx="39">
                  <c:v>4to trim 2015</c:v>
                </c:pt>
                <c:pt idx="40">
                  <c:v>1er trim 2016</c:v>
                </c:pt>
                <c:pt idx="41">
                  <c:v>2do trim 2016</c:v>
                </c:pt>
                <c:pt idx="42">
                  <c:v>3er trim 2016</c:v>
                </c:pt>
                <c:pt idx="43">
                  <c:v>4to trim 2016</c:v>
                </c:pt>
                <c:pt idx="44">
                  <c:v>1er trim 2017</c:v>
                </c:pt>
                <c:pt idx="45">
                  <c:v>2do trim 2017</c:v>
                </c:pt>
                <c:pt idx="46">
                  <c:v>3er trim 2017</c:v>
                </c:pt>
                <c:pt idx="47">
                  <c:v>4to trim 2017</c:v>
                </c:pt>
                <c:pt idx="48">
                  <c:v>1er trim 2018</c:v>
                </c:pt>
                <c:pt idx="49">
                  <c:v>2do trim 2018</c:v>
                </c:pt>
                <c:pt idx="50">
                  <c:v>3er trim 2018</c:v>
                </c:pt>
                <c:pt idx="51">
                  <c:v>4to trim 2018</c:v>
                </c:pt>
                <c:pt idx="52">
                  <c:v>1er trim 2019</c:v>
                </c:pt>
                <c:pt idx="53">
                  <c:v>2do trim 2019</c:v>
                </c:pt>
                <c:pt idx="54">
                  <c:v>3er trim 2019</c:v>
                </c:pt>
                <c:pt idx="55">
                  <c:v>4to trim 2019</c:v>
                </c:pt>
                <c:pt idx="56">
                  <c:v>1er trim 2020</c:v>
                </c:pt>
                <c:pt idx="57">
                  <c:v>2do trim 2020</c:v>
                </c:pt>
                <c:pt idx="58">
                  <c:v>3er trim 2020</c:v>
                </c:pt>
                <c:pt idx="59">
                  <c:v>4to trim 2020</c:v>
                </c:pt>
                <c:pt idx="60">
                  <c:v>1er trim 2021</c:v>
                </c:pt>
                <c:pt idx="61">
                  <c:v>2do trim 2021</c:v>
                </c:pt>
                <c:pt idx="62">
                  <c:v>3er trim 2021</c:v>
                </c:pt>
                <c:pt idx="63">
                  <c:v>4to trim 2021</c:v>
                </c:pt>
                <c:pt idx="64">
                  <c:v>1er trim 2022</c:v>
                </c:pt>
                <c:pt idx="65">
                  <c:v>2do trim 2022</c:v>
                </c:pt>
                <c:pt idx="66">
                  <c:v>3er trim 2022</c:v>
                </c:pt>
                <c:pt idx="67">
                  <c:v>4to trim 2022</c:v>
                </c:pt>
                <c:pt idx="68">
                  <c:v>1er trim 2023</c:v>
                </c:pt>
              </c:strCache>
            </c:strRef>
          </c:cat>
          <c:val>
            <c:numRef>
              <c:f>Hoja1!$AQ$83:$DG$83</c:f>
              <c:numCache>
                <c:formatCode>0.0%</c:formatCode>
                <c:ptCount val="6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-9.4302323581245595</c:v>
                </c:pt>
                <c:pt idx="68">
                  <c:v>-10.087507012174118</c:v>
                </c:pt>
              </c:numCache>
            </c:numRef>
          </c:val>
          <c:smooth val="0"/>
          <c:extLst>
            <c:ext xmlns:c16="http://schemas.microsoft.com/office/drawing/2014/chart" uri="{C3380CC4-5D6E-409C-BE32-E72D297353CC}">
              <c16:uniqueId val="{00000000-F5E6-4BCD-80A2-5E4E15522829}"/>
            </c:ext>
          </c:extLst>
        </c:ser>
        <c:dLbls>
          <c:showLegendKey val="0"/>
          <c:showVal val="0"/>
          <c:showCatName val="0"/>
          <c:showSerName val="0"/>
          <c:showPercent val="0"/>
          <c:showBubbleSize val="0"/>
        </c:dLbls>
        <c:smooth val="0"/>
        <c:axId val="2103961856"/>
        <c:axId val="2103964576"/>
      </c:lineChart>
      <c:catAx>
        <c:axId val="21039618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US"/>
          </a:p>
        </c:txPr>
        <c:crossAx val="2103964576"/>
        <c:crosses val="autoZero"/>
        <c:auto val="1"/>
        <c:lblAlgn val="ctr"/>
        <c:lblOffset val="100"/>
        <c:noMultiLvlLbl val="0"/>
      </c:catAx>
      <c:valAx>
        <c:axId val="210396457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400" b="0" i="0" u="none" strike="noStrike" kern="1200" baseline="0">
                    <a:solidFill>
                      <a:schemeClr val="tx1"/>
                    </a:solidFill>
                    <a:latin typeface="+mn-lt"/>
                    <a:ea typeface="+mn-ea"/>
                    <a:cs typeface="+mn-cs"/>
                  </a:defRPr>
                </a:pPr>
                <a:r>
                  <a:rPr lang="es-AR" sz="1400">
                    <a:solidFill>
                      <a:schemeClr val="tx1"/>
                    </a:solidFill>
                  </a:rPr>
                  <a:t>Puestos de trabajo</a:t>
                </a:r>
              </a:p>
            </c:rich>
          </c:tx>
          <c:overlay val="0"/>
          <c:spPr>
            <a:noFill/>
            <a:ln>
              <a:noFill/>
            </a:ln>
            <a:effectLst/>
          </c:spPr>
          <c:txPr>
            <a:bodyPr rot="-5400000" spcFirstLastPara="1" vertOverflow="ellipsis" vert="horz" wrap="square" anchor="ctr" anchorCtr="1"/>
            <a:lstStyle/>
            <a:p>
              <a:pPr>
                <a:defRPr sz="1400" b="0" i="0" u="none" strike="noStrike" kern="1200" baseline="0">
                  <a:solidFill>
                    <a:schemeClr val="tx1"/>
                  </a:solidFill>
                  <a:latin typeface="+mn-lt"/>
                  <a:ea typeface="+mn-ea"/>
                  <a:cs typeface="+mn-cs"/>
                </a:defRPr>
              </a:pPr>
              <a:endParaRPr lang="en-US"/>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solidFill>
                <a:latin typeface="+mn-lt"/>
                <a:ea typeface="+mn-ea"/>
                <a:cs typeface="+mn-cs"/>
              </a:defRPr>
            </a:pPr>
            <a:endParaRPr lang="en-US"/>
          </a:p>
        </c:txPr>
        <c:crossAx val="2103961856"/>
        <c:crosses val="autoZero"/>
        <c:crossBetween val="between"/>
      </c:valAx>
      <c:spPr>
        <a:noFill/>
        <a:ln>
          <a:noFill/>
        </a:ln>
        <a:effectLst/>
      </c:spPr>
    </c:plotArea>
    <c:legend>
      <c:legendPos val="b"/>
      <c:layout>
        <c:manualLayout>
          <c:xMode val="edge"/>
          <c:yMode val="edge"/>
          <c:x val="0.31171197418445096"/>
          <c:y val="0.35022188275975402"/>
          <c:w val="0.28472471719412862"/>
          <c:h val="0.20579343446340215"/>
        </c:manualLayout>
      </c:layout>
      <c:overlay val="0"/>
      <c:spPr>
        <a:noFill/>
        <a:ln>
          <a:noFill/>
        </a:ln>
        <a:effectLst/>
      </c:spPr>
      <c:txPr>
        <a:bodyPr rot="0" spcFirstLastPara="1" vertOverflow="ellipsis" vert="horz" wrap="square" anchor="ctr" anchorCtr="1"/>
        <a:lstStyle/>
        <a:p>
          <a:pPr>
            <a:defRPr sz="1700" b="1" i="0" u="none" strike="noStrike" kern="1200" baseline="0">
              <a:solidFill>
                <a:schemeClr val="tx1"/>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hyperlink" Target="#Indice!A1"/></Relationships>
</file>

<file path=xl/drawings/_rels/drawing3.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hyperlink" Target="#Indice!A1"/></Relationships>
</file>

<file path=xl/drawings/_rels/drawing4.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hyperlink" Target="#Indice!A1"/></Relationships>
</file>

<file path=xl/drawings/_rels/drawing5.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hyperlink" Target="#Indice!A1"/></Relationships>
</file>

<file path=xl/drawings/_rels/drawing6.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hyperlink" Target="#Indice!A1"/></Relationships>
</file>

<file path=xl/drawings/_rels/drawing7.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hyperlink" Target="#Indice!A1"/></Relationships>
</file>

<file path=xl/drawings/_rels/drawing8.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hyperlink" Target="#Indice!A1"/></Relationships>
</file>

<file path=xl/drawings/_rels/drawing9.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hyperlink" Target="#Indice!A1"/></Relationships>
</file>

<file path=xl/drawings/_rels/drawing10.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hyperlink" Target="#Indice!A1"/></Relationships>
</file>

<file path=xl/drawings/_rels/drawing1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hyperlink" Target="#Indice!A1"/></Relationships>
</file>

<file path=xl/drawings/_rels/drawing1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hyperlink" Target="#Indice!A1"/></Relationships>
</file>

<file path=xl/drawings/_rels/drawing13.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hyperlink" Target="#Indice!A1"/></Relationships>
</file>

<file path=xl/drawings/_rels/drawing14.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hyperlink" Target="#Indice!A1"/></Relationships>
</file>

<file path=xl/drawings/_rels/drawing15.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hyperlink" Target="#Indice!A1"/></Relationships>
</file>

<file path=xl/drawings/_rels/drawing16.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hyperlink" Target="#Indice!A1"/></Relationships>
</file>

<file path=xl/drawings/_rels/drawing17.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hyperlink" Target="#Indice!A1"/></Relationships>
</file>

<file path=xl/drawings/_rels/drawing18.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hyperlink" Target="#Indice!A1"/></Relationships>
</file>

<file path=xl/drawings/_rels/drawing19.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hyperlink" Target="#Indice!A1"/></Relationships>
</file>

<file path=xl/drawings/_rels/drawing20.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hyperlink" Target="#Indice!A1"/></Relationships>
</file>

<file path=xl/drawings/_rels/drawing2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hyperlink" Target="#Indice!A1"/></Relationships>
</file>

<file path=xl/drawings/_rels/drawing2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hyperlink" Target="#Indice!A1"/></Relationships>
</file>

<file path=xl/drawings/_rels/drawing23.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hyperlink" Target="#Indice!A1"/></Relationships>
</file>

<file path=xl/drawings/_rels/drawing24.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hyperlink" Target="#Indice!A1"/></Relationships>
</file>

<file path=xl/drawings/_rels/drawing25.xml.rels><?xml version="1.0" encoding="UTF-8" standalone="yes"?>
<Relationships xmlns="http://schemas.openxmlformats.org/package/2006/relationships"><Relationship Id="rId8" Type="http://schemas.openxmlformats.org/officeDocument/2006/relationships/chart" Target="../charts/chart6.xml"/><Relationship Id="rId3" Type="http://schemas.openxmlformats.org/officeDocument/2006/relationships/chart" Target="../charts/chart1.xml"/><Relationship Id="rId7" Type="http://schemas.openxmlformats.org/officeDocument/2006/relationships/chart" Target="../charts/chart5.xml"/><Relationship Id="rId2" Type="http://schemas.openxmlformats.org/officeDocument/2006/relationships/image" Target="../media/image2.jpeg"/><Relationship Id="rId1" Type="http://schemas.openxmlformats.org/officeDocument/2006/relationships/hyperlink" Target="#Indice!A1"/><Relationship Id="rId6" Type="http://schemas.openxmlformats.org/officeDocument/2006/relationships/chart" Target="../charts/chart4.xml"/><Relationship Id="rId5" Type="http://schemas.openxmlformats.org/officeDocument/2006/relationships/chart" Target="../charts/chart3.xml"/><Relationship Id="rId10" Type="http://schemas.openxmlformats.org/officeDocument/2006/relationships/chart" Target="../charts/chart8.xml"/><Relationship Id="rId4" Type="http://schemas.openxmlformats.org/officeDocument/2006/relationships/chart" Target="../charts/chart2.xml"/><Relationship Id="rId9" Type="http://schemas.openxmlformats.org/officeDocument/2006/relationships/chart" Target="../charts/chart7.xml"/></Relationships>
</file>

<file path=xl/drawings/_rels/drawing26.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hyperlink" Target="#Indice!A1"/></Relationships>
</file>

<file path=xl/drawings/_rels/drawing27.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2</xdr:col>
      <xdr:colOff>447675</xdr:colOff>
      <xdr:row>0</xdr:row>
      <xdr:rowOff>0</xdr:rowOff>
    </xdr:from>
    <xdr:to>
      <xdr:col>5</xdr:col>
      <xdr:colOff>59747</xdr:colOff>
      <xdr:row>0</xdr:row>
      <xdr:rowOff>0</xdr:rowOff>
    </xdr:to>
    <xdr:sp macro="" textlink="">
      <xdr:nvSpPr>
        <xdr:cNvPr id="2" name="Text Box 82"/>
        <xdr:cNvSpPr txBox="1">
          <a:spLocks noChangeArrowheads="1"/>
        </xdr:cNvSpPr>
      </xdr:nvSpPr>
      <xdr:spPr bwMode="auto">
        <a:xfrm>
          <a:off x="1495425" y="0"/>
          <a:ext cx="1183697"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91440" tIns="91440" rIns="91440" bIns="91440" anchor="t" upright="1"/>
        <a:lstStyle/>
        <a:p>
          <a:pPr algn="l" rtl="0">
            <a:defRPr sz="1000"/>
          </a:pPr>
          <a:r>
            <a:rPr lang="es-AR" sz="2000" b="1" i="0" u="none" strike="noStrike" baseline="0">
              <a:solidFill>
                <a:srgbClr val="FFFFFF"/>
              </a:solidFill>
              <a:latin typeface="Arial"/>
              <a:cs typeface="Arial"/>
            </a:rPr>
            <a:t>Tercer trimestre de 2014</a:t>
          </a:r>
          <a:endParaRPr lang="es-AR" sz="1100" b="0" i="0" u="none" strike="noStrike" baseline="0">
            <a:solidFill>
              <a:srgbClr val="000000"/>
            </a:solidFill>
            <a:latin typeface="Calibri"/>
            <a:cs typeface="Arial"/>
          </a:endParaRPr>
        </a:p>
        <a:p>
          <a:pPr algn="l" rtl="0">
            <a:defRPr sz="1000"/>
          </a:pPr>
          <a:r>
            <a:rPr lang="es-AR" sz="2000" b="1" i="0" u="none" strike="noStrike" baseline="0">
              <a:solidFill>
                <a:srgbClr val="FFFFFF"/>
              </a:solidFill>
              <a:latin typeface="Arial"/>
              <a:cs typeface="Arial"/>
            </a:rPr>
            <a:t> </a:t>
          </a:r>
        </a:p>
      </xdr:txBody>
    </xdr:sp>
    <xdr:clientData/>
  </xdr:twoCellAnchor>
  <xdr:twoCellAnchor>
    <xdr:from>
      <xdr:col>0</xdr:col>
      <xdr:colOff>806824</xdr:colOff>
      <xdr:row>0</xdr:row>
      <xdr:rowOff>0</xdr:rowOff>
    </xdr:from>
    <xdr:to>
      <xdr:col>3</xdr:col>
      <xdr:colOff>605118</xdr:colOff>
      <xdr:row>0</xdr:row>
      <xdr:rowOff>0</xdr:rowOff>
    </xdr:to>
    <xdr:cxnSp macro="">
      <xdr:nvCxnSpPr>
        <xdr:cNvPr id="3" name="AutoShape 81"/>
        <xdr:cNvCxnSpPr>
          <a:cxnSpLocks noChangeShapeType="1"/>
        </xdr:cNvCxnSpPr>
      </xdr:nvCxnSpPr>
      <xdr:spPr bwMode="auto">
        <a:xfrm>
          <a:off x="521074" y="0"/>
          <a:ext cx="1569944" cy="0"/>
        </a:xfrm>
        <a:prstGeom prst="straightConnector1">
          <a:avLst/>
        </a:prstGeom>
        <a:noFill/>
        <a:ln w="9525">
          <a:solidFill>
            <a:srgbClr val="FFFFFF"/>
          </a:solidFill>
          <a:round/>
          <a:headEnd/>
          <a:tailEnd/>
        </a:ln>
        <a:extLst>
          <a:ext uri="{909E8E84-426E-40DD-AFC4-6F175D3DCCD1}">
            <a14:hiddenFill xmlns:a14="http://schemas.microsoft.com/office/drawing/2010/main">
              <a:noFill/>
            </a14:hiddenFill>
          </a:ext>
        </a:extLst>
      </xdr:spPr>
    </xdr:cxnSp>
    <xdr:clientData/>
  </xdr:twoCellAnchor>
  <xdr:twoCellAnchor>
    <xdr:from>
      <xdr:col>0</xdr:col>
      <xdr:colOff>0</xdr:colOff>
      <xdr:row>0</xdr:row>
      <xdr:rowOff>0</xdr:rowOff>
    </xdr:from>
    <xdr:to>
      <xdr:col>12</xdr:col>
      <xdr:colOff>0</xdr:colOff>
      <xdr:row>44</xdr:row>
      <xdr:rowOff>0</xdr:rowOff>
    </xdr:to>
    <xdr:sp macro="" textlink="">
      <xdr:nvSpPr>
        <xdr:cNvPr id="4" name="Rectángulo 3">
          <a:extLst>
            <a:ext uri="{FF2B5EF4-FFF2-40B4-BE49-F238E27FC236}">
              <a16:creationId xmlns:a16="http://schemas.microsoft.com/office/drawing/2014/main" id="{380CFF46-C8A7-40CC-9CA9-1824C0CA2FE7}"/>
            </a:ext>
          </a:extLst>
        </xdr:cNvPr>
        <xdr:cNvSpPr/>
      </xdr:nvSpPr>
      <xdr:spPr>
        <a:xfrm>
          <a:off x="0" y="0"/>
          <a:ext cx="5857875" cy="8382000"/>
        </a:xfrm>
        <a:prstGeom prst="rect">
          <a:avLst/>
        </a:prstGeom>
        <a:solidFill>
          <a:srgbClr val="242C4F"/>
        </a:solidFill>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clientData/>
  </xdr:twoCellAnchor>
  <xdr:twoCellAnchor>
    <xdr:from>
      <xdr:col>0</xdr:col>
      <xdr:colOff>161925</xdr:colOff>
      <xdr:row>7</xdr:row>
      <xdr:rowOff>166688</xdr:rowOff>
    </xdr:from>
    <xdr:to>
      <xdr:col>12</xdr:col>
      <xdr:colOff>0</xdr:colOff>
      <xdr:row>22</xdr:row>
      <xdr:rowOff>23812</xdr:rowOff>
    </xdr:to>
    <xdr:sp macro="" textlink="">
      <xdr:nvSpPr>
        <xdr:cNvPr id="5" name="Cuadro de texto 2"/>
        <xdr:cNvSpPr txBox="1">
          <a:spLocks noChangeArrowheads="1"/>
        </xdr:cNvSpPr>
      </xdr:nvSpPr>
      <xdr:spPr bwMode="auto">
        <a:xfrm>
          <a:off x="161925" y="1500188"/>
          <a:ext cx="5695950" cy="2714624"/>
        </a:xfrm>
        <a:prstGeom prst="rect">
          <a:avLst/>
        </a:prstGeom>
        <a:noFill/>
        <a:ln>
          <a:noFill/>
        </a:ln>
        <a:extLst/>
      </xdr:spPr>
      <xdr:txBody>
        <a:bodyPr vertOverflow="clip" wrap="square" lIns="0" tIns="45720" rIns="0" bIns="45720" anchor="t" upright="1"/>
        <a:lstStyle/>
        <a:p>
          <a:pPr algn="l" rtl="0">
            <a:defRPr sz="1000"/>
          </a:pPr>
          <a:endParaRPr lang="en-US" sz="1100" b="0" i="0" u="none" strike="noStrike" baseline="0">
            <a:solidFill>
              <a:srgbClr val="000000"/>
            </a:solidFill>
            <a:latin typeface="Calibri"/>
            <a:cs typeface="Calibri"/>
          </a:endParaRPr>
        </a:p>
        <a:p>
          <a:pPr marL="0" indent="0" algn="l" rtl="0">
            <a:defRPr sz="1000"/>
          </a:pPr>
          <a:r>
            <a:rPr lang="en-US" sz="2800" b="1" i="0" u="none" strike="noStrike" baseline="0">
              <a:solidFill>
                <a:srgbClr val="FFFFFF"/>
              </a:solidFill>
              <a:latin typeface="Montserrat"/>
            </a:rPr>
            <a:t>Boletín de empresas por </a:t>
          </a:r>
          <a:r>
            <a:rPr lang="en-US" sz="2800" b="1" i="0" u="none" strike="noStrike" baseline="0">
              <a:solidFill>
                <a:srgbClr val="FFFFFF"/>
              </a:solidFill>
              <a:latin typeface="Montserrat"/>
              <a:ea typeface="+mn-ea"/>
              <a:cs typeface="+mn-cs"/>
            </a:rPr>
            <a:t>provincia</a:t>
          </a:r>
        </a:p>
        <a:p>
          <a:pPr marL="0" indent="0" algn="l" rtl="0">
            <a:defRPr sz="1000"/>
          </a:pPr>
          <a:endParaRPr lang="en-US" sz="900" b="1" i="0" u="none" strike="noStrike" baseline="0">
            <a:solidFill>
              <a:srgbClr val="FFFFFF"/>
            </a:solidFill>
            <a:latin typeface="Montserrat"/>
            <a:ea typeface="+mn-ea"/>
            <a:cs typeface="+mn-cs"/>
          </a:endParaRPr>
        </a:p>
        <a:p>
          <a:pPr marL="0" marR="0" lvl="0" indent="0" algn="l" defTabSz="914400" rtl="0" eaLnBrk="1" fontAlgn="auto" latinLnBrk="0" hangingPunct="1">
            <a:lnSpc>
              <a:spcPct val="100000"/>
            </a:lnSpc>
            <a:spcBef>
              <a:spcPts val="0"/>
            </a:spcBef>
            <a:spcAft>
              <a:spcPts val="0"/>
            </a:spcAft>
            <a:buClrTx/>
            <a:buSzTx/>
            <a:buFontTx/>
            <a:buNone/>
            <a:tabLst/>
            <a:defRPr sz="1000"/>
          </a:pPr>
          <a:r>
            <a:rPr lang="en-US" sz="2000" b="1" i="1" u="none" strike="noStrike" baseline="0">
              <a:solidFill>
                <a:schemeClr val="bg1"/>
              </a:solidFill>
              <a:latin typeface="Montserrat" pitchFamily="2" charset="0"/>
              <a:ea typeface="+mn-ea"/>
              <a:cs typeface="+mn-cs"/>
            </a:rPr>
            <a:t> </a:t>
          </a:r>
          <a:r>
            <a:rPr lang="en-US" sz="2000" b="1" i="1" baseline="0">
              <a:solidFill>
                <a:schemeClr val="bg1"/>
              </a:solidFill>
              <a:effectLst/>
              <a:latin typeface="Montserrat" pitchFamily="2" charset="0"/>
              <a:ea typeface="+mn-ea"/>
              <a:cs typeface="+mn-cs"/>
            </a:rPr>
            <a:t>Según rama a dos dígitos</a:t>
          </a:r>
          <a:endParaRPr lang="en-US" sz="2000" b="1" i="1">
            <a:solidFill>
              <a:schemeClr val="bg1"/>
            </a:solidFill>
            <a:effectLst/>
            <a:latin typeface="Montserrat" pitchFamily="2" charset="0"/>
          </a:endParaRPr>
        </a:p>
        <a:p>
          <a:pPr marL="0" indent="0" algn="l" rtl="0">
            <a:defRPr sz="1000"/>
          </a:pPr>
          <a:endParaRPr lang="en-US" sz="3000" b="1" i="0" u="none" strike="noStrike" baseline="0">
            <a:solidFill>
              <a:srgbClr val="FFFFFF"/>
            </a:solidFill>
            <a:latin typeface="Montserrat"/>
            <a:ea typeface="+mn-ea"/>
            <a:cs typeface="+mn-cs"/>
          </a:endParaRPr>
        </a:p>
        <a:p>
          <a:pPr marL="0" indent="0" algn="l" rtl="0">
            <a:defRPr sz="1000"/>
          </a:pPr>
          <a:r>
            <a:rPr lang="en-US" sz="2800" b="0" i="0" u="none" strike="noStrike" baseline="0">
              <a:solidFill>
                <a:srgbClr val="FFFFFF"/>
              </a:solidFill>
              <a:latin typeface="+mn-lt"/>
              <a:ea typeface="+mn-ea"/>
              <a:cs typeface="+mn-cs"/>
            </a:rPr>
            <a:t>Serie anual</a:t>
          </a:r>
        </a:p>
      </xdr:txBody>
    </xdr:sp>
    <xdr:clientData/>
  </xdr:twoCellAnchor>
  <xdr:twoCellAnchor>
    <xdr:from>
      <xdr:col>0</xdr:col>
      <xdr:colOff>171450</xdr:colOff>
      <xdr:row>37</xdr:row>
      <xdr:rowOff>19050</xdr:rowOff>
    </xdr:from>
    <xdr:to>
      <xdr:col>9</xdr:col>
      <xdr:colOff>9525</xdr:colOff>
      <xdr:row>41</xdr:row>
      <xdr:rowOff>142875</xdr:rowOff>
    </xdr:to>
    <xdr:pic>
      <xdr:nvPicPr>
        <xdr:cNvPr id="6" name="Imagen 4"/>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1450" y="7067550"/>
          <a:ext cx="4552950" cy="8858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260985</xdr:colOff>
      <xdr:row>23</xdr:row>
      <xdr:rowOff>139065</xdr:rowOff>
    </xdr:from>
    <xdr:to>
      <xdr:col>10</xdr:col>
      <xdr:colOff>277796</xdr:colOff>
      <xdr:row>27</xdr:row>
      <xdr:rowOff>183888</xdr:rowOff>
    </xdr:to>
    <xdr:sp macro="" textlink="">
      <xdr:nvSpPr>
        <xdr:cNvPr id="7" name="Cuadro de texto 2"/>
        <xdr:cNvSpPr txBox="1">
          <a:spLocks noChangeArrowheads="1"/>
        </xdr:cNvSpPr>
      </xdr:nvSpPr>
      <xdr:spPr bwMode="auto">
        <a:xfrm>
          <a:off x="260985" y="4520565"/>
          <a:ext cx="5255561" cy="80682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0" tIns="45720" rIns="0" bIns="45720" anchor="ctr" upright="1"/>
        <a:lstStyle/>
        <a:p>
          <a:pPr marL="0" marR="0" lvl="0" indent="0" algn="l" defTabSz="914400" rtl="0" eaLnBrk="1" fontAlgn="auto" latinLnBrk="0" hangingPunct="1">
            <a:lnSpc>
              <a:spcPct val="100000"/>
            </a:lnSpc>
            <a:spcBef>
              <a:spcPts val="0"/>
            </a:spcBef>
            <a:spcAft>
              <a:spcPts val="0"/>
            </a:spcAft>
            <a:buClrTx/>
            <a:buSzTx/>
            <a:buFontTx/>
            <a:buNone/>
            <a:tabLst/>
            <a:defRPr sz="1000"/>
          </a:pPr>
          <a:r>
            <a:rPr lang="en-US" sz="2000" b="0" i="0" baseline="0">
              <a:solidFill>
                <a:schemeClr val="bg1"/>
              </a:solidFill>
              <a:effectLst/>
              <a:latin typeface="Montserrat" pitchFamily="2" charset="0"/>
              <a:ea typeface="+mn-ea"/>
              <a:cs typeface="+mn-cs"/>
            </a:rPr>
            <a:t>Observatorio de Empleo y Dinámica Empresarial</a:t>
          </a:r>
          <a:endParaRPr lang="en-US" sz="2000" i="0">
            <a:solidFill>
              <a:schemeClr val="bg1"/>
            </a:solidFill>
            <a:effectLst/>
            <a:latin typeface="Montserrat" pitchFamily="2" charset="0"/>
          </a:endParaRPr>
        </a:p>
        <a:p>
          <a:pPr algn="l" rtl="0">
            <a:defRPr sz="1000"/>
          </a:pPr>
          <a:endParaRPr lang="en-US" sz="2000" b="0" i="1" u="none" strike="noStrike" baseline="0">
            <a:solidFill>
              <a:srgbClr val="000000"/>
            </a:solidFill>
            <a:latin typeface="Montserrat" pitchFamily="2" charset="0"/>
            <a:cs typeface="Calibri"/>
          </a:endParaRPr>
        </a:p>
        <a:p>
          <a:pPr algn="l" rtl="0">
            <a:defRPr sz="1000"/>
          </a:pPr>
          <a:r>
            <a:rPr lang="en-US" sz="2000" b="0" i="0" u="none" strike="noStrike" baseline="0">
              <a:solidFill>
                <a:srgbClr val="191919"/>
              </a:solidFill>
              <a:latin typeface="Montserrat" pitchFamily="2" charset="0"/>
              <a:ea typeface="Roboto"/>
            </a:rPr>
            <a:t> </a:t>
          </a:r>
        </a:p>
      </xdr:txBody>
    </xdr:sp>
    <xdr:clientData/>
  </xdr:twoCellAnchor>
  <xdr:twoCellAnchor>
    <xdr:from>
      <xdr:col>0</xdr:col>
      <xdr:colOff>150019</xdr:colOff>
      <xdr:row>23</xdr:row>
      <xdr:rowOff>104775</xdr:rowOff>
    </xdr:from>
    <xdr:to>
      <xdr:col>10</xdr:col>
      <xdr:colOff>97365</xdr:colOff>
      <xdr:row>23</xdr:row>
      <xdr:rowOff>104775</xdr:rowOff>
    </xdr:to>
    <xdr:cxnSp macro="">
      <xdr:nvCxnSpPr>
        <xdr:cNvPr id="8" name="Conector recto 7"/>
        <xdr:cNvCxnSpPr/>
      </xdr:nvCxnSpPr>
      <xdr:spPr>
        <a:xfrm>
          <a:off x="150019" y="4486275"/>
          <a:ext cx="5186096" cy="0"/>
        </a:xfrm>
        <a:prstGeom prst="line">
          <a:avLst/>
        </a:prstGeom>
        <a:ln w="12700">
          <a:solidFill>
            <a:srgbClr val="F9B100"/>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508000</xdr:colOff>
      <xdr:row>0</xdr:row>
      <xdr:rowOff>38100</xdr:rowOff>
    </xdr:from>
    <xdr:to>
      <xdr:col>3</xdr:col>
      <xdr:colOff>19051</xdr:colOff>
      <xdr:row>0</xdr:row>
      <xdr:rowOff>273050</xdr:rowOff>
    </xdr:to>
    <xdr:pic>
      <xdr:nvPicPr>
        <xdr:cNvPr id="16546" name="Picture 1" descr="imagesCA0XS2OR">
          <a:hlinkClick xmlns:r="http://schemas.openxmlformats.org/officeDocument/2006/relationships" r:id="rId1"/>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959600" y="38100"/>
          <a:ext cx="292100" cy="234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5</xdr:col>
      <xdr:colOff>273050</xdr:colOff>
      <xdr:row>0</xdr:row>
      <xdr:rowOff>57150</xdr:rowOff>
    </xdr:from>
    <xdr:to>
      <xdr:col>5</xdr:col>
      <xdr:colOff>476250</xdr:colOff>
      <xdr:row>0</xdr:row>
      <xdr:rowOff>254000</xdr:rowOff>
    </xdr:to>
    <xdr:pic>
      <xdr:nvPicPr>
        <xdr:cNvPr id="1179" name="Picture 1" descr="imagesCA0XS2OR">
          <a:hlinkClick xmlns:r="http://schemas.openxmlformats.org/officeDocument/2006/relationships" r:id="rId1"/>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597650" y="57150"/>
          <a:ext cx="203200" cy="196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5</xdr:col>
      <xdr:colOff>419100</xdr:colOff>
      <xdr:row>0</xdr:row>
      <xdr:rowOff>38100</xdr:rowOff>
    </xdr:from>
    <xdr:to>
      <xdr:col>5</xdr:col>
      <xdr:colOff>641350</xdr:colOff>
      <xdr:row>0</xdr:row>
      <xdr:rowOff>273050</xdr:rowOff>
    </xdr:to>
    <xdr:pic>
      <xdr:nvPicPr>
        <xdr:cNvPr id="17709" name="Picture 1" descr="imagesCA0XS2OR">
          <a:hlinkClick xmlns:r="http://schemas.openxmlformats.org/officeDocument/2006/relationships" r:id="rId1"/>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921500" y="38100"/>
          <a:ext cx="222250" cy="234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5</xdr:col>
      <xdr:colOff>469900</xdr:colOff>
      <xdr:row>0</xdr:row>
      <xdr:rowOff>19050</xdr:rowOff>
    </xdr:from>
    <xdr:to>
      <xdr:col>5</xdr:col>
      <xdr:colOff>692150</xdr:colOff>
      <xdr:row>0</xdr:row>
      <xdr:rowOff>254000</xdr:rowOff>
    </xdr:to>
    <xdr:pic>
      <xdr:nvPicPr>
        <xdr:cNvPr id="3307" name="Picture 1" descr="imagesCA0XS2OR">
          <a:hlinkClick xmlns:r="http://schemas.openxmlformats.org/officeDocument/2006/relationships" r:id="rId1"/>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112000" y="19050"/>
          <a:ext cx="222250" cy="234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5</xdr:col>
      <xdr:colOff>552450</xdr:colOff>
      <xdr:row>0</xdr:row>
      <xdr:rowOff>38100</xdr:rowOff>
    </xdr:from>
    <xdr:to>
      <xdr:col>5</xdr:col>
      <xdr:colOff>552450</xdr:colOff>
      <xdr:row>0</xdr:row>
      <xdr:rowOff>273050</xdr:rowOff>
    </xdr:to>
    <xdr:pic>
      <xdr:nvPicPr>
        <xdr:cNvPr id="6508" name="Picture 1" descr="imagesCA0XS2OR">
          <a:hlinkClick xmlns:r="http://schemas.openxmlformats.org/officeDocument/2006/relationships" r:id="rId1"/>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194550" y="38100"/>
          <a:ext cx="0" cy="234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412750</xdr:colOff>
      <xdr:row>0</xdr:row>
      <xdr:rowOff>31750</xdr:rowOff>
    </xdr:from>
    <xdr:to>
      <xdr:col>5</xdr:col>
      <xdr:colOff>635000</xdr:colOff>
      <xdr:row>0</xdr:row>
      <xdr:rowOff>266700</xdr:rowOff>
    </xdr:to>
    <xdr:pic>
      <xdr:nvPicPr>
        <xdr:cNvPr id="6509" name="Picture 1" descr="imagesCA0XS2OR">
          <a:hlinkClick xmlns:r="http://schemas.openxmlformats.org/officeDocument/2006/relationships" r:id="rId1"/>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54850" y="31750"/>
          <a:ext cx="222250" cy="234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5</xdr:col>
      <xdr:colOff>368300</xdr:colOff>
      <xdr:row>0</xdr:row>
      <xdr:rowOff>38100</xdr:rowOff>
    </xdr:from>
    <xdr:to>
      <xdr:col>5</xdr:col>
      <xdr:colOff>590550</xdr:colOff>
      <xdr:row>0</xdr:row>
      <xdr:rowOff>247650</xdr:rowOff>
    </xdr:to>
    <xdr:pic>
      <xdr:nvPicPr>
        <xdr:cNvPr id="7306" name="Picture 1" descr="imagesCA0XS2OR">
          <a:hlinkClick xmlns:r="http://schemas.openxmlformats.org/officeDocument/2006/relationships" r:id="rId1"/>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759700" y="38100"/>
          <a:ext cx="222250" cy="209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2</xdr:col>
      <xdr:colOff>450850</xdr:colOff>
      <xdr:row>0</xdr:row>
      <xdr:rowOff>31750</xdr:rowOff>
    </xdr:from>
    <xdr:to>
      <xdr:col>2</xdr:col>
      <xdr:colOff>673100</xdr:colOff>
      <xdr:row>0</xdr:row>
      <xdr:rowOff>279400</xdr:rowOff>
    </xdr:to>
    <xdr:pic>
      <xdr:nvPicPr>
        <xdr:cNvPr id="4234" name="Picture 1" descr="imagesCA0XS2OR">
          <a:hlinkClick xmlns:r="http://schemas.openxmlformats.org/officeDocument/2006/relationships" r:id="rId1"/>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883650" y="31750"/>
          <a:ext cx="22225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5</xdr:col>
      <xdr:colOff>419100</xdr:colOff>
      <xdr:row>0</xdr:row>
      <xdr:rowOff>38100</xdr:rowOff>
    </xdr:from>
    <xdr:to>
      <xdr:col>5</xdr:col>
      <xdr:colOff>660400</xdr:colOff>
      <xdr:row>0</xdr:row>
      <xdr:rowOff>292100</xdr:rowOff>
    </xdr:to>
    <xdr:pic>
      <xdr:nvPicPr>
        <xdr:cNvPr id="5418" name="Picture 1" descr="imagesCA0XS2OR">
          <a:hlinkClick xmlns:r="http://schemas.openxmlformats.org/officeDocument/2006/relationships" r:id="rId1"/>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61200" y="38100"/>
          <a:ext cx="241300" cy="254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5</xdr:col>
      <xdr:colOff>438150</xdr:colOff>
      <xdr:row>0</xdr:row>
      <xdr:rowOff>19050</xdr:rowOff>
    </xdr:from>
    <xdr:to>
      <xdr:col>5</xdr:col>
      <xdr:colOff>660400</xdr:colOff>
      <xdr:row>0</xdr:row>
      <xdr:rowOff>234950</xdr:rowOff>
    </xdr:to>
    <xdr:pic>
      <xdr:nvPicPr>
        <xdr:cNvPr id="8527" name="Picture 1" descr="imagesCA0XS2OR">
          <a:hlinkClick xmlns:r="http://schemas.openxmlformats.org/officeDocument/2006/relationships" r:id="rId1"/>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80250" y="19050"/>
          <a:ext cx="222250" cy="215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5</xdr:col>
      <xdr:colOff>381000</xdr:colOff>
      <xdr:row>0</xdr:row>
      <xdr:rowOff>38100</xdr:rowOff>
    </xdr:from>
    <xdr:to>
      <xdr:col>5</xdr:col>
      <xdr:colOff>603250</xdr:colOff>
      <xdr:row>0</xdr:row>
      <xdr:rowOff>266700</xdr:rowOff>
    </xdr:to>
    <xdr:pic>
      <xdr:nvPicPr>
        <xdr:cNvPr id="9407" name="Picture 1" descr="imagesCA0XS2OR">
          <a:hlinkClick xmlns:r="http://schemas.openxmlformats.org/officeDocument/2006/relationships" r:id="rId1"/>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23100" y="38100"/>
          <a:ext cx="222250" cy="228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5</xdr:col>
      <xdr:colOff>298450</xdr:colOff>
      <xdr:row>0</xdr:row>
      <xdr:rowOff>0</xdr:rowOff>
    </xdr:from>
    <xdr:to>
      <xdr:col>5</xdr:col>
      <xdr:colOff>660400</xdr:colOff>
      <xdr:row>0</xdr:row>
      <xdr:rowOff>285750</xdr:rowOff>
    </xdr:to>
    <xdr:pic>
      <xdr:nvPicPr>
        <xdr:cNvPr id="10607" name="Picture 1" descr="imagesCA0XS2OR">
          <a:hlinkClick xmlns:r="http://schemas.openxmlformats.org/officeDocument/2006/relationships" r:id="rId1"/>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940550" y="0"/>
          <a:ext cx="3619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5</xdr:col>
      <xdr:colOff>368300</xdr:colOff>
      <xdr:row>0</xdr:row>
      <xdr:rowOff>0</xdr:rowOff>
    </xdr:from>
    <xdr:to>
      <xdr:col>6</xdr:col>
      <xdr:colOff>38099</xdr:colOff>
      <xdr:row>0</xdr:row>
      <xdr:rowOff>311150</xdr:rowOff>
    </xdr:to>
    <xdr:pic>
      <xdr:nvPicPr>
        <xdr:cNvPr id="11403" name="Picture 1" descr="imagesCA0XS2OR">
          <a:hlinkClick xmlns:r="http://schemas.openxmlformats.org/officeDocument/2006/relationships" r:id="rId1"/>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10400" y="0"/>
          <a:ext cx="450850" cy="311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5</xdr:col>
      <xdr:colOff>400050</xdr:colOff>
      <xdr:row>0</xdr:row>
      <xdr:rowOff>0</xdr:rowOff>
    </xdr:from>
    <xdr:to>
      <xdr:col>5</xdr:col>
      <xdr:colOff>739775</xdr:colOff>
      <xdr:row>0</xdr:row>
      <xdr:rowOff>304800</xdr:rowOff>
    </xdr:to>
    <xdr:pic>
      <xdr:nvPicPr>
        <xdr:cNvPr id="12602" name="Picture 1" descr="imagesCA0XS2OR">
          <a:hlinkClick xmlns:r="http://schemas.openxmlformats.org/officeDocument/2006/relationships" r:id="rId1"/>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42150" y="0"/>
          <a:ext cx="36830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5</xdr:col>
      <xdr:colOff>368300</xdr:colOff>
      <xdr:row>0</xdr:row>
      <xdr:rowOff>0</xdr:rowOff>
    </xdr:from>
    <xdr:to>
      <xdr:col>5</xdr:col>
      <xdr:colOff>698500</xdr:colOff>
      <xdr:row>0</xdr:row>
      <xdr:rowOff>311150</xdr:rowOff>
    </xdr:to>
    <xdr:pic>
      <xdr:nvPicPr>
        <xdr:cNvPr id="13450" name="Picture 1" descr="imagesCA0XS2OR">
          <a:hlinkClick xmlns:r="http://schemas.openxmlformats.org/officeDocument/2006/relationships" r:id="rId1"/>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10400" y="0"/>
          <a:ext cx="330200" cy="311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5</xdr:col>
      <xdr:colOff>419100</xdr:colOff>
      <xdr:row>0</xdr:row>
      <xdr:rowOff>38100</xdr:rowOff>
    </xdr:from>
    <xdr:to>
      <xdr:col>5</xdr:col>
      <xdr:colOff>739775</xdr:colOff>
      <xdr:row>0</xdr:row>
      <xdr:rowOff>292100</xdr:rowOff>
    </xdr:to>
    <xdr:pic>
      <xdr:nvPicPr>
        <xdr:cNvPr id="14650" name="Picture 1" descr="imagesCA0XS2OR">
          <a:hlinkClick xmlns:r="http://schemas.openxmlformats.org/officeDocument/2006/relationships" r:id="rId1"/>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61200" y="38100"/>
          <a:ext cx="349250" cy="254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5</xdr:col>
      <xdr:colOff>342900</xdr:colOff>
      <xdr:row>0</xdr:row>
      <xdr:rowOff>0</xdr:rowOff>
    </xdr:from>
    <xdr:to>
      <xdr:col>5</xdr:col>
      <xdr:colOff>660400</xdr:colOff>
      <xdr:row>0</xdr:row>
      <xdr:rowOff>285750</xdr:rowOff>
    </xdr:to>
    <xdr:pic>
      <xdr:nvPicPr>
        <xdr:cNvPr id="15498" name="Picture 1" descr="imagesCA0XS2OR">
          <a:hlinkClick xmlns:r="http://schemas.openxmlformats.org/officeDocument/2006/relationships" r:id="rId1"/>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985000" y="0"/>
          <a:ext cx="3175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5</xdr:col>
      <xdr:colOff>381000</xdr:colOff>
      <xdr:row>0</xdr:row>
      <xdr:rowOff>31750</xdr:rowOff>
    </xdr:from>
    <xdr:to>
      <xdr:col>6</xdr:col>
      <xdr:colOff>3361</xdr:colOff>
      <xdr:row>0</xdr:row>
      <xdr:rowOff>285750</xdr:rowOff>
    </xdr:to>
    <xdr:pic>
      <xdr:nvPicPr>
        <xdr:cNvPr id="18746" name="Picture 1" descr="imagesCA0XS2OR">
          <a:hlinkClick xmlns:r="http://schemas.openxmlformats.org/officeDocument/2006/relationships" r:id="rId1"/>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23100" y="31750"/>
          <a:ext cx="361950" cy="254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5</xdr:col>
      <xdr:colOff>342900</xdr:colOff>
      <xdr:row>0</xdr:row>
      <xdr:rowOff>38100</xdr:rowOff>
    </xdr:from>
    <xdr:to>
      <xdr:col>5</xdr:col>
      <xdr:colOff>673100</xdr:colOff>
      <xdr:row>0</xdr:row>
      <xdr:rowOff>292100</xdr:rowOff>
    </xdr:to>
    <xdr:pic>
      <xdr:nvPicPr>
        <xdr:cNvPr id="20794" name="Picture 1" descr="imagesCA0XS2OR">
          <a:hlinkClick xmlns:r="http://schemas.openxmlformats.org/officeDocument/2006/relationships" r:id="rId1"/>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985000" y="38100"/>
          <a:ext cx="330200" cy="254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5</xdr:col>
      <xdr:colOff>438150</xdr:colOff>
      <xdr:row>0</xdr:row>
      <xdr:rowOff>38100</xdr:rowOff>
    </xdr:from>
    <xdr:to>
      <xdr:col>5</xdr:col>
      <xdr:colOff>698500</xdr:colOff>
      <xdr:row>0</xdr:row>
      <xdr:rowOff>311150</xdr:rowOff>
    </xdr:to>
    <xdr:pic>
      <xdr:nvPicPr>
        <xdr:cNvPr id="19594" name="Picture 1" descr="imagesCA0XS2OR">
          <a:hlinkClick xmlns:r="http://schemas.openxmlformats.org/officeDocument/2006/relationships" r:id="rId1"/>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80250" y="38100"/>
          <a:ext cx="260350" cy="273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5</xdr:col>
      <xdr:colOff>400050</xdr:colOff>
      <xdr:row>0</xdr:row>
      <xdr:rowOff>31750</xdr:rowOff>
    </xdr:from>
    <xdr:to>
      <xdr:col>5</xdr:col>
      <xdr:colOff>745434</xdr:colOff>
      <xdr:row>0</xdr:row>
      <xdr:rowOff>285750</xdr:rowOff>
    </xdr:to>
    <xdr:pic>
      <xdr:nvPicPr>
        <xdr:cNvPr id="21642" name="Picture 1" descr="imagesCA0XS2OR">
          <a:hlinkClick xmlns:r="http://schemas.openxmlformats.org/officeDocument/2006/relationships" r:id="rId1"/>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42150" y="31750"/>
          <a:ext cx="361950" cy="254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5</xdr:col>
      <xdr:colOff>438150</xdr:colOff>
      <xdr:row>0</xdr:row>
      <xdr:rowOff>19050</xdr:rowOff>
    </xdr:from>
    <xdr:to>
      <xdr:col>5</xdr:col>
      <xdr:colOff>730250</xdr:colOff>
      <xdr:row>0</xdr:row>
      <xdr:rowOff>266700</xdr:rowOff>
    </xdr:to>
    <xdr:pic>
      <xdr:nvPicPr>
        <xdr:cNvPr id="22842" name="Picture 1" descr="imagesCA0XS2OR">
          <a:hlinkClick xmlns:r="http://schemas.openxmlformats.org/officeDocument/2006/relationships" r:id="rId1"/>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80250" y="19050"/>
          <a:ext cx="2921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5</xdr:col>
      <xdr:colOff>400050</xdr:colOff>
      <xdr:row>0</xdr:row>
      <xdr:rowOff>57150</xdr:rowOff>
    </xdr:from>
    <xdr:to>
      <xdr:col>5</xdr:col>
      <xdr:colOff>717550</xdr:colOff>
      <xdr:row>0</xdr:row>
      <xdr:rowOff>292100</xdr:rowOff>
    </xdr:to>
    <xdr:pic>
      <xdr:nvPicPr>
        <xdr:cNvPr id="23690" name="Picture 1" descr="imagesCA0XS2OR">
          <a:hlinkClick xmlns:r="http://schemas.openxmlformats.org/officeDocument/2006/relationships" r:id="rId1"/>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283200" y="57150"/>
          <a:ext cx="317500" cy="234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5</xdr:col>
      <xdr:colOff>463550</xdr:colOff>
      <xdr:row>0</xdr:row>
      <xdr:rowOff>69850</xdr:rowOff>
    </xdr:from>
    <xdr:to>
      <xdr:col>5</xdr:col>
      <xdr:colOff>711200</xdr:colOff>
      <xdr:row>0</xdr:row>
      <xdr:rowOff>260350</xdr:rowOff>
    </xdr:to>
    <xdr:pic>
      <xdr:nvPicPr>
        <xdr:cNvPr id="24890" name="Picture 1" descr="imagesCA0XS2OR">
          <a:hlinkClick xmlns:r="http://schemas.openxmlformats.org/officeDocument/2006/relationships" r:id="rId1"/>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105650" y="69850"/>
          <a:ext cx="2476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5</xdr:col>
      <xdr:colOff>488950</xdr:colOff>
      <xdr:row>0</xdr:row>
      <xdr:rowOff>0</xdr:rowOff>
    </xdr:from>
    <xdr:to>
      <xdr:col>5</xdr:col>
      <xdr:colOff>739775</xdr:colOff>
      <xdr:row>0</xdr:row>
      <xdr:rowOff>304800</xdr:rowOff>
    </xdr:to>
    <xdr:pic>
      <xdr:nvPicPr>
        <xdr:cNvPr id="27263" name="Picture 1" descr="imagesCA0XS2OR">
          <a:hlinkClick xmlns:r="http://schemas.openxmlformats.org/officeDocument/2006/relationships" r:id="rId1"/>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131050" y="0"/>
          <a:ext cx="2603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68</xdr:col>
      <xdr:colOff>438150</xdr:colOff>
      <xdr:row>61</xdr:row>
      <xdr:rowOff>171450</xdr:rowOff>
    </xdr:from>
    <xdr:to>
      <xdr:col>74</xdr:col>
      <xdr:colOff>558800</xdr:colOff>
      <xdr:row>76</xdr:row>
      <xdr:rowOff>57150</xdr:rowOff>
    </xdr:to>
    <xdr:graphicFrame macro="">
      <xdr:nvGraphicFramePr>
        <xdr:cNvPr id="27264" name="2 Gráfico"/>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68</xdr:col>
      <xdr:colOff>438150</xdr:colOff>
      <xdr:row>61</xdr:row>
      <xdr:rowOff>171450</xdr:rowOff>
    </xdr:from>
    <xdr:to>
      <xdr:col>74</xdr:col>
      <xdr:colOff>558800</xdr:colOff>
      <xdr:row>76</xdr:row>
      <xdr:rowOff>57150</xdr:rowOff>
    </xdr:to>
    <xdr:graphicFrame macro="">
      <xdr:nvGraphicFramePr>
        <xdr:cNvPr id="27265" name="2 Gráfico"/>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70</xdr:col>
      <xdr:colOff>469900</xdr:colOff>
      <xdr:row>58</xdr:row>
      <xdr:rowOff>82550</xdr:rowOff>
    </xdr:from>
    <xdr:to>
      <xdr:col>76</xdr:col>
      <xdr:colOff>609600</xdr:colOff>
      <xdr:row>72</xdr:row>
      <xdr:rowOff>171450</xdr:rowOff>
    </xdr:to>
    <xdr:graphicFrame macro="">
      <xdr:nvGraphicFramePr>
        <xdr:cNvPr id="27266" name="3 Gráfico"/>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68</xdr:col>
      <xdr:colOff>438150</xdr:colOff>
      <xdr:row>61</xdr:row>
      <xdr:rowOff>171450</xdr:rowOff>
    </xdr:from>
    <xdr:to>
      <xdr:col>74</xdr:col>
      <xdr:colOff>558800</xdr:colOff>
      <xdr:row>76</xdr:row>
      <xdr:rowOff>57150</xdr:rowOff>
    </xdr:to>
    <xdr:graphicFrame macro="">
      <xdr:nvGraphicFramePr>
        <xdr:cNvPr id="27267" name="2 Gráfico"/>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68</xdr:col>
      <xdr:colOff>438150</xdr:colOff>
      <xdr:row>61</xdr:row>
      <xdr:rowOff>171450</xdr:rowOff>
    </xdr:from>
    <xdr:to>
      <xdr:col>74</xdr:col>
      <xdr:colOff>558800</xdr:colOff>
      <xdr:row>76</xdr:row>
      <xdr:rowOff>57150</xdr:rowOff>
    </xdr:to>
    <xdr:graphicFrame macro="">
      <xdr:nvGraphicFramePr>
        <xdr:cNvPr id="27268" name="2 Gráfico"/>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68</xdr:col>
      <xdr:colOff>438150</xdr:colOff>
      <xdr:row>61</xdr:row>
      <xdr:rowOff>171450</xdr:rowOff>
    </xdr:from>
    <xdr:to>
      <xdr:col>74</xdr:col>
      <xdr:colOff>558800</xdr:colOff>
      <xdr:row>76</xdr:row>
      <xdr:rowOff>57150</xdr:rowOff>
    </xdr:to>
    <xdr:graphicFrame macro="">
      <xdr:nvGraphicFramePr>
        <xdr:cNvPr id="27269" name="2 Gráfico"/>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70</xdr:col>
      <xdr:colOff>469900</xdr:colOff>
      <xdr:row>58</xdr:row>
      <xdr:rowOff>82550</xdr:rowOff>
    </xdr:from>
    <xdr:to>
      <xdr:col>76</xdr:col>
      <xdr:colOff>609600</xdr:colOff>
      <xdr:row>72</xdr:row>
      <xdr:rowOff>171450</xdr:rowOff>
    </xdr:to>
    <xdr:graphicFrame macro="">
      <xdr:nvGraphicFramePr>
        <xdr:cNvPr id="27270" name="3 Gráfico"/>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68</xdr:col>
      <xdr:colOff>438150</xdr:colOff>
      <xdr:row>61</xdr:row>
      <xdr:rowOff>171450</xdr:rowOff>
    </xdr:from>
    <xdr:to>
      <xdr:col>74</xdr:col>
      <xdr:colOff>558800</xdr:colOff>
      <xdr:row>76</xdr:row>
      <xdr:rowOff>57150</xdr:rowOff>
    </xdr:to>
    <xdr:graphicFrame macro="">
      <xdr:nvGraphicFramePr>
        <xdr:cNvPr id="27271" name="2 Gráfico"/>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drawings/drawing26.xml><?xml version="1.0" encoding="utf-8"?>
<xdr:wsDr xmlns:xdr="http://schemas.openxmlformats.org/drawingml/2006/spreadsheetDrawing" xmlns:a="http://schemas.openxmlformats.org/drawingml/2006/main">
  <xdr:twoCellAnchor editAs="oneCell">
    <xdr:from>
      <xdr:col>5</xdr:col>
      <xdr:colOff>483577</xdr:colOff>
      <xdr:row>0</xdr:row>
      <xdr:rowOff>53731</xdr:rowOff>
    </xdr:from>
    <xdr:to>
      <xdr:col>5</xdr:col>
      <xdr:colOff>714619</xdr:colOff>
      <xdr:row>0</xdr:row>
      <xdr:rowOff>288681</xdr:rowOff>
    </xdr:to>
    <xdr:pic>
      <xdr:nvPicPr>
        <xdr:cNvPr id="25738" name="Picture 1" descr="imagesCA0XS2OR">
          <a:hlinkClick xmlns:r="http://schemas.openxmlformats.org/officeDocument/2006/relationships" r:id="rId1"/>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821365" y="53731"/>
          <a:ext cx="231042" cy="234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7.xml><?xml version="1.0" encoding="utf-8"?>
<xdr:wsDr xmlns:xdr="http://schemas.openxmlformats.org/drawingml/2006/spreadsheetDrawing" xmlns:a="http://schemas.openxmlformats.org/drawingml/2006/main">
  <xdr:twoCellAnchor>
    <xdr:from>
      <xdr:col>86</xdr:col>
      <xdr:colOff>425823</xdr:colOff>
      <xdr:row>86</xdr:row>
      <xdr:rowOff>158000</xdr:rowOff>
    </xdr:from>
    <xdr:to>
      <xdr:col>99</xdr:col>
      <xdr:colOff>1</xdr:colOff>
      <xdr:row>121</xdr:row>
      <xdr:rowOff>179294</xdr:rowOff>
    </xdr:to>
    <xdr:graphicFrame macro="">
      <xdr:nvGraphicFramePr>
        <xdr:cNvPr id="3" name="Gráfico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182218</xdr:colOff>
      <xdr:row>72</xdr:row>
      <xdr:rowOff>148258</xdr:rowOff>
    </xdr:from>
    <xdr:to>
      <xdr:col>10</xdr:col>
      <xdr:colOff>182218</xdr:colOff>
      <xdr:row>87</xdr:row>
      <xdr:rowOff>33958</xdr:rowOff>
    </xdr:to>
    <xdr:graphicFrame macro="">
      <xdr:nvGraphicFramePr>
        <xdr:cNvPr id="4" name="Gráfico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101</xdr:col>
      <xdr:colOff>168088</xdr:colOff>
      <xdr:row>90</xdr:row>
      <xdr:rowOff>44823</xdr:rowOff>
    </xdr:from>
    <xdr:to>
      <xdr:col>116</xdr:col>
      <xdr:colOff>537884</xdr:colOff>
      <xdr:row>125</xdr:row>
      <xdr:rowOff>10088</xdr:rowOff>
    </xdr:to>
    <xdr:graphicFrame macro="">
      <xdr:nvGraphicFramePr>
        <xdr:cNvPr id="5" name="Gráfico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8.bin"/></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9.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0.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1.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2.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3.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4.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5.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6.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17.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18.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19.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20.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21.bin"/></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26.xml"/><Relationship Id="rId1" Type="http://schemas.openxmlformats.org/officeDocument/2006/relationships/printerSettings" Target="../printerSettings/printerSettings22.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27.xml"/><Relationship Id="rId1" Type="http://schemas.openxmlformats.org/officeDocument/2006/relationships/printerSettings" Target="../printerSettings/printerSettings2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Q47"/>
  <sheetViews>
    <sheetView tabSelected="1" zoomScale="80" zoomScaleNormal="80" workbookViewId="0"/>
  </sheetViews>
  <sheetFormatPr baseColWidth="10" defaultColWidth="0" defaultRowHeight="15" customHeight="1" zeroHeight="1" x14ac:dyDescent="0.25"/>
  <cols>
    <col min="1" max="11" width="7.85546875" style="62" customWidth="1"/>
    <col min="12" max="12" width="1.42578125" style="62" customWidth="1"/>
    <col min="13" max="15" width="7.85546875" style="62" hidden="1" customWidth="1"/>
    <col min="16" max="69" width="7.85546875" style="109" hidden="1" customWidth="1"/>
    <col min="70" max="16384" width="26.140625" style="109" hidden="1"/>
  </cols>
  <sheetData>
    <row r="1" spans="1:1" x14ac:dyDescent="0.25">
      <c r="A1" s="278"/>
    </row>
    <row r="2" spans="1:1" x14ac:dyDescent="0.25"/>
    <row r="3" spans="1:1" x14ac:dyDescent="0.25"/>
    <row r="4" spans="1:1" x14ac:dyDescent="0.25"/>
    <row r="5" spans="1:1" x14ac:dyDescent="0.25"/>
    <row r="6" spans="1:1" x14ac:dyDescent="0.25"/>
    <row r="7" spans="1:1" x14ac:dyDescent="0.25"/>
    <row r="8" spans="1:1" x14ac:dyDescent="0.25"/>
    <row r="9" spans="1:1" x14ac:dyDescent="0.25"/>
    <row r="10" spans="1:1" x14ac:dyDescent="0.25"/>
    <row r="11" spans="1:1" x14ac:dyDescent="0.25"/>
    <row r="12" spans="1:1" x14ac:dyDescent="0.25"/>
    <row r="13" spans="1:1" x14ac:dyDescent="0.25"/>
    <row r="14" spans="1:1" x14ac:dyDescent="0.25"/>
    <row r="15" spans="1:1" x14ac:dyDescent="0.25"/>
    <row r="16" spans="1:1" x14ac:dyDescent="0.25"/>
    <row r="17" x14ac:dyDescent="0.25"/>
    <row r="18" x14ac:dyDescent="0.25"/>
    <row r="19" x14ac:dyDescent="0.25"/>
    <row r="20" x14ac:dyDescent="0.25"/>
    <row r="21" x14ac:dyDescent="0.25"/>
    <row r="22" x14ac:dyDescent="0.25"/>
    <row r="23" x14ac:dyDescent="0.25"/>
    <row r="24" x14ac:dyDescent="0.25"/>
    <row r="25" x14ac:dyDescent="0.25"/>
    <row r="26" x14ac:dyDescent="0.25"/>
    <row r="27" x14ac:dyDescent="0.25"/>
    <row r="28" x14ac:dyDescent="0.25"/>
    <row r="29" x14ac:dyDescent="0.25"/>
    <row r="30" x14ac:dyDescent="0.25"/>
    <row r="31" x14ac:dyDescent="0.25"/>
    <row r="32" x14ac:dyDescent="0.25"/>
    <row r="33" x14ac:dyDescent="0.25"/>
    <row r="34" x14ac:dyDescent="0.25"/>
    <row r="35" x14ac:dyDescent="0.25"/>
    <row r="36" x14ac:dyDescent="0.25"/>
    <row r="37" x14ac:dyDescent="0.25"/>
    <row r="38" x14ac:dyDescent="0.25"/>
    <row r="39" x14ac:dyDescent="0.25"/>
    <row r="40" x14ac:dyDescent="0.25"/>
    <row r="41" x14ac:dyDescent="0.25"/>
    <row r="42" x14ac:dyDescent="0.25"/>
    <row r="43" x14ac:dyDescent="0.25"/>
    <row r="44" x14ac:dyDescent="0.25"/>
    <row r="45" hidden="1" x14ac:dyDescent="0.25"/>
    <row r="46" hidden="1" x14ac:dyDescent="0.25"/>
    <row r="47" hidden="1" x14ac:dyDescent="0.25"/>
  </sheetData>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2">
    <pageSetUpPr fitToPage="1"/>
  </sheetPr>
  <dimension ref="A1:CF22"/>
  <sheetViews>
    <sheetView showGridLines="0" zoomScale="85" zoomScaleNormal="85" workbookViewId="0">
      <selection activeCell="B1" sqref="B1:D1"/>
    </sheetView>
  </sheetViews>
  <sheetFormatPr baseColWidth="10" defaultColWidth="0" defaultRowHeight="12.75" zeroHeight="1" x14ac:dyDescent="0.2"/>
  <cols>
    <col min="1" max="1" width="2.140625" style="53" customWidth="1"/>
    <col min="2" max="4" width="38.140625" style="53" customWidth="1"/>
    <col min="5" max="5" width="0.5703125" style="53" customWidth="1"/>
    <col min="6" max="6" width="31.7109375" style="55" hidden="1" customWidth="1"/>
    <col min="7" max="16384" width="11" style="55" hidden="1"/>
  </cols>
  <sheetData>
    <row r="1" spans="1:84" s="54" customFormat="1" ht="23.25" x14ac:dyDescent="0.35">
      <c r="A1" s="32"/>
      <c r="B1" s="279" t="s">
        <v>298</v>
      </c>
      <c r="C1" s="279"/>
      <c r="D1" s="279"/>
      <c r="E1" s="32"/>
    </row>
    <row r="2" spans="1:84" ht="12.75" customHeight="1" x14ac:dyDescent="0.2">
      <c r="A2" s="33"/>
      <c r="B2" s="33"/>
      <c r="C2" s="34"/>
      <c r="D2" s="34"/>
      <c r="E2" s="33"/>
    </row>
    <row r="3" spans="1:84" ht="16.5" customHeight="1" x14ac:dyDescent="0.25">
      <c r="A3" s="33"/>
      <c r="B3" s="35" t="s">
        <v>127</v>
      </c>
      <c r="C3" s="36" t="s">
        <v>128</v>
      </c>
      <c r="D3" s="36" t="s">
        <v>129</v>
      </c>
      <c r="E3" s="37"/>
    </row>
    <row r="4" spans="1:84" ht="16.5" customHeight="1" x14ac:dyDescent="0.25">
      <c r="A4" s="33"/>
      <c r="B4" s="38"/>
      <c r="C4" s="36"/>
      <c r="D4" s="36"/>
      <c r="E4" s="37"/>
      <c r="CE4" s="55" t="s">
        <v>174</v>
      </c>
      <c r="CF4" s="55" t="s">
        <v>175</v>
      </c>
    </row>
    <row r="5" spans="1:84" ht="16.5" customHeight="1" x14ac:dyDescent="0.25">
      <c r="A5" s="33"/>
      <c r="B5" s="35" t="s">
        <v>130</v>
      </c>
      <c r="C5" s="36" t="s">
        <v>131</v>
      </c>
      <c r="D5" s="36" t="s">
        <v>132</v>
      </c>
      <c r="E5" s="37"/>
    </row>
    <row r="6" spans="1:84" ht="16.5" customHeight="1" x14ac:dyDescent="0.25">
      <c r="A6" s="33"/>
      <c r="B6" s="39"/>
      <c r="C6" s="36"/>
      <c r="D6" s="36"/>
      <c r="E6" s="37"/>
    </row>
    <row r="7" spans="1:84" ht="16.5" customHeight="1" x14ac:dyDescent="0.25">
      <c r="A7" s="33"/>
      <c r="B7" s="35" t="s">
        <v>133</v>
      </c>
      <c r="C7" s="36" t="s">
        <v>134</v>
      </c>
      <c r="D7" s="36" t="s">
        <v>135</v>
      </c>
      <c r="E7" s="37"/>
    </row>
    <row r="8" spans="1:84" ht="16.5" customHeight="1" x14ac:dyDescent="0.25">
      <c r="A8" s="33"/>
      <c r="B8" s="39"/>
      <c r="C8" s="36"/>
      <c r="D8" s="36"/>
      <c r="E8" s="37"/>
    </row>
    <row r="9" spans="1:84" ht="16.5" customHeight="1" x14ac:dyDescent="0.25">
      <c r="A9" s="33"/>
      <c r="B9" s="35" t="s">
        <v>136</v>
      </c>
      <c r="C9" s="36" t="s">
        <v>137</v>
      </c>
      <c r="D9" s="36" t="s">
        <v>138</v>
      </c>
      <c r="E9" s="37"/>
    </row>
    <row r="10" spans="1:84" ht="16.5" customHeight="1" x14ac:dyDescent="0.25">
      <c r="A10" s="33"/>
      <c r="B10" s="36"/>
      <c r="C10" s="36"/>
      <c r="D10" s="36"/>
      <c r="E10" s="37"/>
    </row>
    <row r="11" spans="1:84" ht="16.5" customHeight="1" x14ac:dyDescent="0.25">
      <c r="A11" s="33"/>
      <c r="B11" s="35" t="s">
        <v>139</v>
      </c>
      <c r="C11" s="36" t="s">
        <v>140</v>
      </c>
      <c r="D11" s="36" t="s">
        <v>141</v>
      </c>
      <c r="E11" s="37"/>
    </row>
    <row r="12" spans="1:84" ht="16.5" customHeight="1" x14ac:dyDescent="0.25">
      <c r="A12" s="33"/>
      <c r="B12" s="36"/>
      <c r="C12" s="36"/>
      <c r="D12" s="36"/>
      <c r="E12" s="37"/>
    </row>
    <row r="13" spans="1:84" ht="16.5" customHeight="1" x14ac:dyDescent="0.25">
      <c r="A13" s="33"/>
      <c r="B13" s="35" t="s">
        <v>117</v>
      </c>
      <c r="C13" s="36" t="s">
        <v>142</v>
      </c>
      <c r="D13" s="36" t="s">
        <v>143</v>
      </c>
      <c r="E13" s="37"/>
    </row>
    <row r="14" spans="1:84" ht="16.5" customHeight="1" x14ac:dyDescent="0.25">
      <c r="A14" s="33"/>
      <c r="B14" s="36"/>
      <c r="C14" s="36"/>
      <c r="D14" s="36"/>
      <c r="E14" s="37"/>
    </row>
    <row r="15" spans="1:84" ht="16.5" customHeight="1" x14ac:dyDescent="0.25">
      <c r="A15" s="33"/>
      <c r="B15" s="35" t="s">
        <v>144</v>
      </c>
      <c r="C15" s="36" t="s">
        <v>145</v>
      </c>
      <c r="D15" s="36" t="s">
        <v>146</v>
      </c>
      <c r="E15" s="37"/>
    </row>
    <row r="16" spans="1:84" ht="16.5" customHeight="1" x14ac:dyDescent="0.25">
      <c r="A16" s="33"/>
      <c r="B16" s="36"/>
      <c r="C16" s="36"/>
      <c r="D16" s="36"/>
      <c r="E16" s="37"/>
    </row>
    <row r="17" spans="1:11" ht="16.5" customHeight="1" x14ac:dyDescent="0.25">
      <c r="A17" s="33"/>
      <c r="B17" s="35" t="s">
        <v>147</v>
      </c>
      <c r="C17" s="36" t="s">
        <v>148</v>
      </c>
      <c r="D17" s="36" t="s">
        <v>149</v>
      </c>
      <c r="E17" s="37"/>
    </row>
    <row r="18" spans="1:11" ht="16.5" customHeight="1" x14ac:dyDescent="0.25">
      <c r="A18" s="33"/>
      <c r="B18" s="36"/>
      <c r="C18" s="36"/>
      <c r="D18" s="36"/>
      <c r="E18" s="37"/>
    </row>
    <row r="19" spans="1:11" ht="16.5" customHeight="1" x14ac:dyDescent="0.25">
      <c r="A19" s="33"/>
      <c r="B19" s="35" t="s">
        <v>150</v>
      </c>
      <c r="C19" s="36"/>
      <c r="D19" s="37"/>
      <c r="E19" s="37"/>
    </row>
    <row r="20" spans="1:11" x14ac:dyDescent="0.2">
      <c r="A20" s="33"/>
      <c r="B20" s="33"/>
      <c r="C20" s="33"/>
      <c r="D20" s="33"/>
      <c r="E20" s="33"/>
    </row>
    <row r="21" spans="1:11" ht="63" customHeight="1" x14ac:dyDescent="0.2">
      <c r="A21" s="33"/>
      <c r="B21" s="280"/>
      <c r="C21" s="280"/>
      <c r="D21" s="280"/>
      <c r="E21" s="280"/>
      <c r="F21" s="280"/>
      <c r="G21" s="280"/>
      <c r="H21" s="280"/>
      <c r="I21" s="280"/>
      <c r="J21" s="280"/>
      <c r="K21" s="280"/>
    </row>
    <row r="22" spans="1:11" ht="12.75" hidden="1" customHeight="1" x14ac:dyDescent="0.2">
      <c r="B22" s="280"/>
      <c r="C22" s="280"/>
      <c r="D22" s="280"/>
      <c r="E22" s="280"/>
      <c r="F22" s="280"/>
      <c r="G22" s="280"/>
      <c r="H22" s="280"/>
      <c r="I22" s="280"/>
      <c r="J22" s="280"/>
      <c r="K22" s="280"/>
    </row>
  </sheetData>
  <mergeCells count="2">
    <mergeCell ref="B1:D1"/>
    <mergeCell ref="B21:K22"/>
  </mergeCells>
  <hyperlinks>
    <hyperlink ref="B3" location="'Partidos de GBA'!A1" display="Partidos de GBA"/>
    <hyperlink ref="C3" location="Formosa!A1" display="Formosa"/>
    <hyperlink ref="C5" location="Jujuy!A1" display="Jujuy"/>
    <hyperlink ref="C7" location="'La Pampa'!A1" display="La Pampa"/>
    <hyperlink ref="C9" location="'La Rioja'!A1" display="La Rioja"/>
    <hyperlink ref="C11" location="Mendoza!A1" display="Mendoza"/>
    <hyperlink ref="C13" location="Misiones!A1" display="Misiones"/>
    <hyperlink ref="C15" location="Neuquen!A1" display="Neuquén"/>
    <hyperlink ref="C17" location="'Rio Negro'!A1" display="Río Negro"/>
    <hyperlink ref="D3" location="Salta!A1" display="Salta"/>
    <hyperlink ref="D5" location="'San Juan'!A1" display="San Juan"/>
    <hyperlink ref="D7" location="'San Luis'!A1" display="San Luis"/>
    <hyperlink ref="D9" location="'Santa Cruz'!A1" display="Santa Cruz"/>
    <hyperlink ref="D11" location="'Santa Fe'!A1" display="Santa Fe"/>
    <hyperlink ref="D13" location="'Santiago del Estero'!A1" display="Santiago del Estero"/>
    <hyperlink ref="D15" location="Tucuman!A1" display="Tucumán"/>
    <hyperlink ref="D17" location="'Tierra del Fuego'!A1" display="Tierra del Fuego"/>
    <hyperlink ref="B5" location="'Capital Federal'!A1" display="Capital Federal"/>
    <hyperlink ref="B7" location="'Resto de Buenos Aires'!A1" display="Resto de Bueno Aires"/>
    <hyperlink ref="B9" location="Catamarca!A1" display="Catamarca"/>
    <hyperlink ref="B11" location="Cordoba!A1" display="Córdoba"/>
    <hyperlink ref="B13" location="Corrientes!A1" display="Corrientes"/>
    <hyperlink ref="B15" location="Chaco!A1" display="Chaco"/>
    <hyperlink ref="B17" location="Chubut!A1" display="Chubut"/>
    <hyperlink ref="B19" location="'Entre Rios'!A1" display="Entre Ríos"/>
  </hyperlinks>
  <pageMargins left="0.75" right="0.75" top="1" bottom="1" header="0" footer="0"/>
  <pageSetup paperSize="9" scale="75"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30"/>
  <sheetViews>
    <sheetView zoomScale="70" zoomScaleNormal="70" workbookViewId="0">
      <selection sqref="A1:G1"/>
    </sheetView>
  </sheetViews>
  <sheetFormatPr baseColWidth="10" defaultColWidth="0" defaultRowHeight="15" zeroHeight="1" x14ac:dyDescent="0.25"/>
  <cols>
    <col min="1" max="1" width="18" style="174" customWidth="1"/>
    <col min="2" max="2" width="54.42578125" style="174" customWidth="1"/>
    <col min="3" max="7" width="18" style="174" customWidth="1"/>
    <col min="8" max="16384" width="0" style="174" hidden="1"/>
  </cols>
  <sheetData>
    <row r="1" spans="1:7" ht="23.25" x14ac:dyDescent="0.35">
      <c r="A1" s="283" t="s">
        <v>300</v>
      </c>
      <c r="B1" s="283"/>
      <c r="C1" s="283"/>
      <c r="D1" s="283"/>
      <c r="E1" s="283"/>
      <c r="F1" s="283"/>
      <c r="G1" s="283"/>
    </row>
    <row r="2" spans="1:7" x14ac:dyDescent="0.25">
      <c r="A2" s="180"/>
      <c r="B2" s="180"/>
      <c r="C2" s="180"/>
      <c r="D2" s="180"/>
      <c r="E2" s="180"/>
      <c r="F2" s="180"/>
      <c r="G2" s="180"/>
    </row>
    <row r="3" spans="1:7" x14ac:dyDescent="0.25">
      <c r="A3" s="180"/>
      <c r="B3" s="180"/>
      <c r="C3" s="180"/>
      <c r="D3" s="180"/>
      <c r="E3" s="180"/>
      <c r="F3" s="180"/>
      <c r="G3" s="180"/>
    </row>
    <row r="4" spans="1:7" ht="15.75" x14ac:dyDescent="0.25">
      <c r="A4" s="284" t="s">
        <v>301</v>
      </c>
      <c r="B4" s="285"/>
      <c r="C4" s="285"/>
      <c r="D4" s="285"/>
      <c r="E4" s="285"/>
      <c r="F4" s="285"/>
      <c r="G4" s="285"/>
    </row>
    <row r="5" spans="1:7" x14ac:dyDescent="0.25">
      <c r="A5" s="180"/>
      <c r="B5" s="180"/>
      <c r="C5" s="180"/>
      <c r="D5" s="180"/>
      <c r="E5" s="180"/>
      <c r="F5" s="180"/>
      <c r="G5" s="180"/>
    </row>
    <row r="6" spans="1:7" ht="46.5" customHeight="1" x14ac:dyDescent="0.25">
      <c r="A6" s="286" t="s">
        <v>302</v>
      </c>
      <c r="B6" s="286"/>
      <c r="C6" s="286"/>
      <c r="D6" s="286"/>
      <c r="E6" s="286"/>
      <c r="F6" s="286"/>
      <c r="G6" s="286"/>
    </row>
    <row r="7" spans="1:7" ht="2.25" customHeight="1" x14ac:dyDescent="0.25">
      <c r="A7" s="181"/>
      <c r="B7" s="181"/>
      <c r="C7" s="181"/>
      <c r="D7" s="181"/>
      <c r="E7" s="181"/>
      <c r="F7" s="181"/>
      <c r="G7" s="181"/>
    </row>
    <row r="8" spans="1:7" ht="77.25" customHeight="1" x14ac:dyDescent="0.25">
      <c r="A8" s="286" t="s">
        <v>303</v>
      </c>
      <c r="B8" s="286"/>
      <c r="C8" s="286"/>
      <c r="D8" s="286"/>
      <c r="E8" s="286"/>
      <c r="F8" s="286"/>
      <c r="G8" s="286"/>
    </row>
    <row r="9" spans="1:7" ht="2.25" customHeight="1" x14ac:dyDescent="0.25">
      <c r="A9" s="182"/>
      <c r="B9" s="182"/>
      <c r="C9" s="182"/>
      <c r="D9" s="182"/>
      <c r="E9" s="182"/>
      <c r="F9" s="182"/>
      <c r="G9" s="182"/>
    </row>
    <row r="10" spans="1:7" ht="53.25" customHeight="1" x14ac:dyDescent="0.25">
      <c r="A10" s="286" t="s">
        <v>304</v>
      </c>
      <c r="B10" s="286"/>
      <c r="C10" s="286"/>
      <c r="D10" s="286"/>
      <c r="E10" s="286"/>
      <c r="F10" s="286"/>
      <c r="G10" s="286"/>
    </row>
    <row r="11" spans="1:7" ht="2.25" customHeight="1" x14ac:dyDescent="0.25">
      <c r="A11" s="180"/>
      <c r="B11" s="180"/>
      <c r="C11" s="180"/>
      <c r="D11" s="180"/>
      <c r="E11" s="180"/>
      <c r="F11" s="180"/>
      <c r="G11" s="180"/>
    </row>
    <row r="12" spans="1:7" ht="15.75" x14ac:dyDescent="0.25">
      <c r="A12" s="281" t="s">
        <v>305</v>
      </c>
      <c r="B12" s="282"/>
      <c r="C12" s="282"/>
      <c r="D12" s="282"/>
      <c r="E12" s="282"/>
      <c r="F12" s="282"/>
      <c r="G12" s="282"/>
    </row>
    <row r="13" spans="1:7" x14ac:dyDescent="0.25">
      <c r="A13" s="180"/>
      <c r="B13" s="180"/>
      <c r="C13" s="180"/>
      <c r="D13" s="180"/>
      <c r="E13" s="180"/>
      <c r="F13" s="180"/>
      <c r="G13" s="180"/>
    </row>
    <row r="14" spans="1:7" ht="62.25" customHeight="1" x14ac:dyDescent="0.25">
      <c r="A14" s="286" t="s">
        <v>306</v>
      </c>
      <c r="B14" s="286"/>
      <c r="C14" s="286"/>
      <c r="D14" s="286"/>
      <c r="E14" s="286"/>
      <c r="F14" s="286"/>
      <c r="G14" s="286"/>
    </row>
    <row r="15" spans="1:7" ht="2.25" customHeight="1" x14ac:dyDescent="0.25">
      <c r="A15" s="182"/>
      <c r="B15" s="182"/>
      <c r="C15" s="182"/>
      <c r="D15" s="182"/>
      <c r="E15" s="182"/>
      <c r="F15" s="182"/>
      <c r="G15" s="182"/>
    </row>
    <row r="16" spans="1:7" ht="55.5" customHeight="1" x14ac:dyDescent="0.25">
      <c r="A16" s="286" t="s">
        <v>307</v>
      </c>
      <c r="B16" s="286"/>
      <c r="C16" s="286"/>
      <c r="D16" s="286"/>
      <c r="E16" s="286"/>
      <c r="F16" s="286"/>
      <c r="G16" s="286"/>
    </row>
    <row r="17" spans="1:7" ht="2.25" customHeight="1" x14ac:dyDescent="0.25">
      <c r="A17" s="182"/>
      <c r="B17" s="182"/>
      <c r="C17" s="182"/>
      <c r="D17" s="182"/>
      <c r="E17" s="182"/>
      <c r="F17" s="182"/>
      <c r="G17" s="182"/>
    </row>
    <row r="18" spans="1:7" ht="92.25" customHeight="1" x14ac:dyDescent="0.25">
      <c r="A18" s="286" t="s">
        <v>308</v>
      </c>
      <c r="B18" s="286"/>
      <c r="C18" s="286"/>
      <c r="D18" s="286"/>
      <c r="E18" s="286"/>
      <c r="F18" s="286"/>
      <c r="G18" s="286"/>
    </row>
    <row r="19" spans="1:7" x14ac:dyDescent="0.25">
      <c r="A19" s="182"/>
      <c r="B19" s="182"/>
      <c r="C19" s="182"/>
      <c r="D19" s="182"/>
      <c r="E19" s="182"/>
      <c r="F19" s="182"/>
      <c r="G19" s="182"/>
    </row>
    <row r="20" spans="1:7" ht="15.75" x14ac:dyDescent="0.25">
      <c r="A20" s="183" t="s">
        <v>309</v>
      </c>
      <c r="B20" s="182"/>
      <c r="C20" s="182"/>
      <c r="D20" s="182"/>
      <c r="E20" s="182"/>
      <c r="F20" s="182"/>
      <c r="G20" s="182"/>
    </row>
    <row r="21" spans="1:7" x14ac:dyDescent="0.25">
      <c r="A21" s="182"/>
      <c r="B21" s="182"/>
      <c r="C21" s="182"/>
      <c r="D21" s="182"/>
      <c r="E21" s="182"/>
      <c r="F21" s="182"/>
      <c r="G21" s="182"/>
    </row>
    <row r="22" spans="1:7" ht="55.5" customHeight="1" x14ac:dyDescent="0.25">
      <c r="A22" s="286" t="s">
        <v>310</v>
      </c>
      <c r="B22" s="286"/>
      <c r="C22" s="286"/>
      <c r="D22" s="286"/>
      <c r="E22" s="286"/>
      <c r="F22" s="286"/>
      <c r="G22" s="286"/>
    </row>
    <row r="23" spans="1:7" ht="2.25" customHeight="1" x14ac:dyDescent="0.25">
      <c r="A23" s="182"/>
      <c r="B23" s="182"/>
      <c r="C23" s="182"/>
      <c r="D23" s="182"/>
      <c r="E23" s="182"/>
      <c r="F23" s="182"/>
      <c r="G23" s="182"/>
    </row>
    <row r="24" spans="1:7" ht="60.75" customHeight="1" x14ac:dyDescent="0.25">
      <c r="A24" s="286" t="s">
        <v>311</v>
      </c>
      <c r="B24" s="286"/>
      <c r="C24" s="286"/>
      <c r="D24" s="286"/>
      <c r="E24" s="286"/>
      <c r="F24" s="286"/>
      <c r="G24" s="286"/>
    </row>
    <row r="25" spans="1:7" ht="2.25" customHeight="1" x14ac:dyDescent="0.25">
      <c r="A25" s="286"/>
      <c r="B25" s="286"/>
      <c r="C25" s="286"/>
      <c r="D25" s="286"/>
      <c r="E25" s="286"/>
      <c r="F25" s="286"/>
      <c r="G25" s="286"/>
    </row>
    <row r="26" spans="1:7" ht="15.75" x14ac:dyDescent="0.25">
      <c r="A26" s="183" t="s">
        <v>312</v>
      </c>
      <c r="B26" s="180"/>
      <c r="C26" s="180"/>
      <c r="D26" s="180"/>
      <c r="E26" s="180"/>
      <c r="F26" s="180"/>
      <c r="G26" s="180"/>
    </row>
    <row r="27" spans="1:7" x14ac:dyDescent="0.25">
      <c r="A27" s="180"/>
      <c r="B27" s="180"/>
      <c r="C27" s="180"/>
      <c r="D27" s="180"/>
      <c r="E27" s="180"/>
      <c r="F27" s="180"/>
      <c r="G27" s="180"/>
    </row>
    <row r="28" spans="1:7" x14ac:dyDescent="0.25">
      <c r="A28" s="184" t="s">
        <v>313</v>
      </c>
      <c r="B28" s="185"/>
      <c r="C28" s="185"/>
      <c r="D28" s="185"/>
      <c r="E28" s="185"/>
      <c r="F28" s="185"/>
      <c r="G28" s="185"/>
    </row>
    <row r="29" spans="1:7" x14ac:dyDescent="0.25">
      <c r="A29" s="289" t="s">
        <v>314</v>
      </c>
      <c r="B29" s="290"/>
      <c r="C29" s="290"/>
      <c r="D29" s="290"/>
      <c r="E29" s="290"/>
      <c r="F29" s="290"/>
      <c r="G29" s="290"/>
    </row>
    <row r="30" spans="1:7" x14ac:dyDescent="0.25">
      <c r="A30" s="184" t="s">
        <v>315</v>
      </c>
      <c r="B30" s="185"/>
      <c r="C30" s="185"/>
      <c r="D30" s="185"/>
      <c r="E30" s="185"/>
      <c r="F30" s="185"/>
      <c r="G30" s="185"/>
    </row>
    <row r="31" spans="1:7" x14ac:dyDescent="0.25">
      <c r="A31" s="186" t="s">
        <v>89</v>
      </c>
      <c r="B31" s="185" t="s">
        <v>316</v>
      </c>
      <c r="C31" s="185"/>
      <c r="D31" s="185"/>
      <c r="E31" s="185"/>
      <c r="F31" s="185"/>
      <c r="G31" s="185"/>
    </row>
    <row r="32" spans="1:7" x14ac:dyDescent="0.25">
      <c r="A32" s="186" t="s">
        <v>89</v>
      </c>
      <c r="B32" s="185" t="s">
        <v>317</v>
      </c>
      <c r="C32" s="180"/>
      <c r="D32" s="180"/>
      <c r="E32" s="180"/>
      <c r="F32" s="180"/>
      <c r="G32" s="180"/>
    </row>
    <row r="33" spans="1:7" x14ac:dyDescent="0.25">
      <c r="A33" s="186" t="s">
        <v>89</v>
      </c>
      <c r="B33" s="187" t="s">
        <v>318</v>
      </c>
      <c r="C33" s="180"/>
      <c r="D33" s="180"/>
      <c r="E33" s="180"/>
      <c r="F33" s="180"/>
      <c r="G33" s="180"/>
    </row>
    <row r="34" spans="1:7" x14ac:dyDescent="0.25">
      <c r="A34" s="186" t="s">
        <v>89</v>
      </c>
      <c r="B34" s="185" t="s">
        <v>319</v>
      </c>
      <c r="C34" s="180"/>
      <c r="D34" s="180"/>
      <c r="E34" s="180"/>
      <c r="F34" s="180"/>
      <c r="G34" s="180"/>
    </row>
    <row r="35" spans="1:7" x14ac:dyDescent="0.25">
      <c r="A35" s="180"/>
      <c r="B35" s="180"/>
      <c r="C35" s="180"/>
      <c r="D35" s="180"/>
      <c r="E35" s="180"/>
      <c r="F35" s="180"/>
      <c r="G35" s="180"/>
    </row>
    <row r="36" spans="1:7" x14ac:dyDescent="0.25">
      <c r="A36" s="291"/>
      <c r="B36" s="292"/>
      <c r="C36" s="292"/>
      <c r="D36" s="292"/>
      <c r="E36" s="292"/>
      <c r="F36" s="292"/>
      <c r="G36" s="292"/>
    </row>
    <row r="37" spans="1:7" x14ac:dyDescent="0.25">
      <c r="A37" s="180"/>
      <c r="B37" s="180"/>
      <c r="C37" s="180"/>
      <c r="D37" s="180"/>
      <c r="E37" s="180"/>
      <c r="F37" s="180"/>
      <c r="G37" s="180"/>
    </row>
    <row r="38" spans="1:7" ht="15.75" x14ac:dyDescent="0.25">
      <c r="A38" s="281" t="s">
        <v>320</v>
      </c>
      <c r="B38" s="282"/>
      <c r="C38" s="282"/>
      <c r="D38" s="282"/>
      <c r="E38" s="282"/>
      <c r="F38" s="282"/>
      <c r="G38" s="282"/>
    </row>
    <row r="39" spans="1:7" x14ac:dyDescent="0.25">
      <c r="A39" s="180"/>
      <c r="B39" s="180"/>
      <c r="C39" s="180"/>
      <c r="D39" s="180"/>
      <c r="E39" s="180"/>
      <c r="F39" s="180"/>
      <c r="G39" s="180"/>
    </row>
    <row r="40" spans="1:7" x14ac:dyDescent="0.25">
      <c r="A40" s="291" t="s">
        <v>321</v>
      </c>
      <c r="B40" s="292"/>
      <c r="C40" s="292"/>
      <c r="D40" s="292"/>
      <c r="E40" s="292"/>
      <c r="F40" s="292"/>
      <c r="G40" s="292"/>
    </row>
    <row r="41" spans="1:7" x14ac:dyDescent="0.25">
      <c r="A41" s="180"/>
      <c r="B41" s="180"/>
      <c r="C41" s="180"/>
      <c r="D41" s="180"/>
      <c r="E41" s="180"/>
      <c r="F41" s="180"/>
      <c r="G41" s="180"/>
    </row>
    <row r="42" spans="1:7" ht="49.5" customHeight="1" x14ac:dyDescent="0.25">
      <c r="A42" s="289" t="s">
        <v>322</v>
      </c>
      <c r="B42" s="292"/>
      <c r="C42" s="292"/>
      <c r="D42" s="292"/>
      <c r="E42" s="292"/>
      <c r="F42" s="292"/>
      <c r="G42" s="292"/>
    </row>
    <row r="43" spans="1:7" ht="3.75" customHeight="1" x14ac:dyDescent="0.25">
      <c r="A43" s="180"/>
      <c r="B43" s="180"/>
      <c r="C43" s="180"/>
      <c r="D43" s="180"/>
      <c r="E43" s="180"/>
      <c r="F43" s="180"/>
      <c r="G43" s="180"/>
    </row>
    <row r="44" spans="1:7" ht="51.75" customHeight="1" x14ac:dyDescent="0.25">
      <c r="A44" s="287" t="s">
        <v>323</v>
      </c>
      <c r="B44" s="288"/>
      <c r="C44" s="288"/>
      <c r="D44" s="288"/>
      <c r="E44" s="288"/>
      <c r="F44" s="288"/>
      <c r="G44" s="288"/>
    </row>
    <row r="45" spans="1:7" ht="3.75" customHeight="1" x14ac:dyDescent="0.25">
      <c r="A45" s="180"/>
      <c r="B45" s="180"/>
      <c r="C45" s="180"/>
      <c r="D45" s="180"/>
      <c r="E45" s="180"/>
      <c r="F45" s="180"/>
      <c r="G45" s="180"/>
    </row>
    <row r="46" spans="1:7" x14ac:dyDescent="0.25">
      <c r="A46" s="289" t="s">
        <v>324</v>
      </c>
      <c r="B46" s="292"/>
      <c r="C46" s="292"/>
      <c r="D46" s="292"/>
      <c r="E46" s="292"/>
      <c r="F46" s="292"/>
      <c r="G46" s="292"/>
    </row>
    <row r="47" spans="1:7" ht="3.75" customHeight="1" x14ac:dyDescent="0.25">
      <c r="A47" s="188"/>
      <c r="B47" s="185"/>
      <c r="C47" s="185"/>
      <c r="D47" s="185"/>
      <c r="E47" s="185"/>
      <c r="F47" s="185"/>
      <c r="G47" s="185"/>
    </row>
    <row r="48" spans="1:7" ht="51.75" customHeight="1" x14ac:dyDescent="0.25">
      <c r="A48" s="287" t="s">
        <v>325</v>
      </c>
      <c r="B48" s="288"/>
      <c r="C48" s="288"/>
      <c r="D48" s="288"/>
      <c r="E48" s="288"/>
      <c r="F48" s="288"/>
      <c r="G48" s="288"/>
    </row>
    <row r="49" spans="1:7" ht="2.25" customHeight="1" x14ac:dyDescent="0.25">
      <c r="A49" s="188"/>
      <c r="B49" s="185"/>
      <c r="C49" s="185"/>
      <c r="D49" s="185"/>
      <c r="E49" s="185"/>
      <c r="F49" s="185"/>
      <c r="G49" s="185"/>
    </row>
    <row r="50" spans="1:7" ht="21.75" customHeight="1" x14ac:dyDescent="0.25">
      <c r="A50" s="289" t="s">
        <v>326</v>
      </c>
      <c r="B50" s="292"/>
      <c r="C50" s="292"/>
      <c r="D50" s="292"/>
      <c r="E50" s="292"/>
      <c r="F50" s="292"/>
      <c r="G50" s="292"/>
    </row>
    <row r="51" spans="1:7" x14ac:dyDescent="0.25">
      <c r="A51" s="188"/>
      <c r="B51" s="185"/>
      <c r="C51" s="185"/>
      <c r="D51" s="185"/>
      <c r="E51" s="185"/>
      <c r="F51" s="185"/>
      <c r="G51" s="185"/>
    </row>
    <row r="52" spans="1:7" x14ac:dyDescent="0.25">
      <c r="A52" s="188"/>
      <c r="B52" s="185"/>
      <c r="C52" s="185"/>
      <c r="D52" s="185"/>
      <c r="E52" s="185"/>
      <c r="F52" s="185"/>
      <c r="G52" s="185"/>
    </row>
    <row r="53" spans="1:7" x14ac:dyDescent="0.25">
      <c r="A53" s="180"/>
      <c r="B53" s="180"/>
      <c r="C53" s="180"/>
      <c r="D53" s="180"/>
      <c r="E53" s="180"/>
      <c r="F53" s="180"/>
      <c r="G53" s="180"/>
    </row>
    <row r="54" spans="1:7" ht="15.75" x14ac:dyDescent="0.25">
      <c r="A54" s="281" t="s">
        <v>327</v>
      </c>
      <c r="B54" s="282"/>
      <c r="C54" s="282"/>
      <c r="D54" s="282"/>
      <c r="E54" s="282"/>
      <c r="F54" s="282"/>
      <c r="G54" s="282"/>
    </row>
    <row r="55" spans="1:7" x14ac:dyDescent="0.25">
      <c r="A55" s="180"/>
      <c r="B55" s="180"/>
      <c r="C55" s="180"/>
      <c r="D55" s="180"/>
      <c r="E55" s="180"/>
      <c r="F55" s="180"/>
      <c r="G55" s="180"/>
    </row>
    <row r="56" spans="1:7" ht="51.75" customHeight="1" x14ac:dyDescent="0.25">
      <c r="A56" s="286" t="s">
        <v>328</v>
      </c>
      <c r="B56" s="286"/>
      <c r="C56" s="286"/>
      <c r="D56" s="286"/>
      <c r="E56" s="286"/>
      <c r="F56" s="286"/>
      <c r="G56" s="286"/>
    </row>
    <row r="57" spans="1:7" x14ac:dyDescent="0.25">
      <c r="A57" s="180"/>
      <c r="B57" s="180"/>
      <c r="C57" s="180"/>
      <c r="D57" s="180"/>
      <c r="E57" s="180"/>
      <c r="F57" s="180"/>
      <c r="G57" s="180"/>
    </row>
    <row r="58" spans="1:7" ht="15.75" x14ac:dyDescent="0.25">
      <c r="A58" s="281" t="s">
        <v>329</v>
      </c>
      <c r="B58" s="282"/>
      <c r="C58" s="282"/>
      <c r="D58" s="282"/>
      <c r="E58" s="282"/>
      <c r="F58" s="282"/>
      <c r="G58" s="282"/>
    </row>
    <row r="59" spans="1:7" x14ac:dyDescent="0.25">
      <c r="A59" s="180"/>
      <c r="B59" s="180"/>
      <c r="C59" s="180"/>
      <c r="D59" s="180"/>
      <c r="E59" s="180"/>
      <c r="F59" s="180"/>
      <c r="G59" s="180"/>
    </row>
    <row r="60" spans="1:7" ht="66.75" customHeight="1" x14ac:dyDescent="0.25">
      <c r="A60" s="286" t="s">
        <v>330</v>
      </c>
      <c r="B60" s="286"/>
      <c r="C60" s="286"/>
      <c r="D60" s="286"/>
      <c r="E60" s="286"/>
      <c r="F60" s="286"/>
      <c r="G60" s="286"/>
    </row>
    <row r="61" spans="1:7" ht="2.25" customHeight="1" x14ac:dyDescent="0.25">
      <c r="A61" s="180"/>
      <c r="B61" s="180"/>
      <c r="C61" s="180"/>
      <c r="D61" s="180"/>
      <c r="E61" s="180"/>
      <c r="F61" s="180"/>
      <c r="G61" s="180"/>
    </row>
    <row r="62" spans="1:7" ht="80.25" customHeight="1" x14ac:dyDescent="0.25">
      <c r="A62" s="286" t="s">
        <v>331</v>
      </c>
      <c r="B62" s="286"/>
      <c r="C62" s="286"/>
      <c r="D62" s="286"/>
      <c r="E62" s="286"/>
      <c r="F62" s="286"/>
      <c r="G62" s="286"/>
    </row>
    <row r="63" spans="1:7" ht="2.25" customHeight="1" x14ac:dyDescent="0.25">
      <c r="A63" s="180"/>
      <c r="B63" s="180"/>
      <c r="C63" s="180"/>
      <c r="D63" s="180"/>
      <c r="E63" s="180"/>
      <c r="F63" s="180"/>
      <c r="G63" s="180"/>
    </row>
    <row r="64" spans="1:7" ht="44.25" customHeight="1" x14ac:dyDescent="0.25">
      <c r="A64" s="286" t="s">
        <v>332</v>
      </c>
      <c r="B64" s="286"/>
      <c r="C64" s="286"/>
      <c r="D64" s="286"/>
      <c r="E64" s="286"/>
      <c r="F64" s="286"/>
      <c r="G64" s="286"/>
    </row>
    <row r="65" spans="1:7" x14ac:dyDescent="0.25">
      <c r="A65" s="180"/>
      <c r="B65" s="180"/>
      <c r="C65" s="180"/>
      <c r="D65" s="180"/>
      <c r="E65" s="180"/>
      <c r="F65" s="180"/>
      <c r="G65" s="180"/>
    </row>
    <row r="66" spans="1:7" x14ac:dyDescent="0.25">
      <c r="A66" s="180"/>
      <c r="B66" s="180"/>
      <c r="C66" s="180"/>
      <c r="D66" s="180"/>
      <c r="E66" s="180"/>
      <c r="F66" s="180"/>
      <c r="G66" s="180"/>
    </row>
    <row r="67" spans="1:7" x14ac:dyDescent="0.25">
      <c r="A67" s="293" t="s">
        <v>333</v>
      </c>
      <c r="B67" s="294"/>
      <c r="C67" s="294"/>
      <c r="D67" s="294"/>
      <c r="E67" s="294"/>
      <c r="F67" s="294"/>
      <c r="G67" s="294"/>
    </row>
    <row r="68" spans="1:7" ht="25.5" x14ac:dyDescent="0.25">
      <c r="A68" s="189"/>
      <c r="B68" s="190" t="s">
        <v>334</v>
      </c>
      <c r="C68" s="191" t="s">
        <v>335</v>
      </c>
      <c r="D68" s="190" t="s">
        <v>336</v>
      </c>
      <c r="E68" s="190" t="s">
        <v>337</v>
      </c>
      <c r="F68" s="180"/>
      <c r="G68" s="180"/>
    </row>
    <row r="69" spans="1:7" x14ac:dyDescent="0.25">
      <c r="A69" s="192" t="s">
        <v>338</v>
      </c>
      <c r="B69" s="193">
        <v>150000</v>
      </c>
      <c r="C69" s="193">
        <v>500000</v>
      </c>
      <c r="D69" s="193">
        <v>1000000</v>
      </c>
      <c r="E69" s="193">
        <v>250000</v>
      </c>
      <c r="F69" s="180"/>
      <c r="G69" s="180"/>
    </row>
    <row r="70" spans="1:7" x14ac:dyDescent="0.25">
      <c r="A70" s="194" t="s">
        <v>339</v>
      </c>
      <c r="B70" s="195">
        <v>1000000</v>
      </c>
      <c r="C70" s="196">
        <v>3000000</v>
      </c>
      <c r="D70" s="197">
        <v>6000000</v>
      </c>
      <c r="E70" s="197">
        <v>1800000</v>
      </c>
      <c r="F70" s="180"/>
      <c r="G70" s="180"/>
    </row>
    <row r="71" spans="1:7" x14ac:dyDescent="0.25">
      <c r="A71" s="198" t="s">
        <v>340</v>
      </c>
      <c r="B71" s="199">
        <v>6000000</v>
      </c>
      <c r="C71" s="200">
        <v>24000000</v>
      </c>
      <c r="D71" s="200">
        <v>48000000</v>
      </c>
      <c r="E71" s="200">
        <v>12000000</v>
      </c>
      <c r="F71" s="180"/>
      <c r="G71" s="180"/>
    </row>
    <row r="72" spans="1:7" x14ac:dyDescent="0.25">
      <c r="A72" s="201" t="s">
        <v>341</v>
      </c>
      <c r="B72" s="180"/>
      <c r="C72" s="180"/>
      <c r="D72" s="180"/>
      <c r="E72" s="180"/>
      <c r="F72" s="180"/>
      <c r="G72" s="180"/>
    </row>
    <row r="73" spans="1:7" x14ac:dyDescent="0.25">
      <c r="A73" s="180"/>
      <c r="B73" s="180"/>
      <c r="C73" s="180"/>
      <c r="D73" s="180"/>
      <c r="E73" s="180"/>
      <c r="F73" s="180"/>
      <c r="G73" s="180"/>
    </row>
    <row r="74" spans="1:7" ht="68.25" customHeight="1" x14ac:dyDescent="0.25">
      <c r="A74" s="286" t="s">
        <v>342</v>
      </c>
      <c r="B74" s="286"/>
      <c r="C74" s="286"/>
      <c r="D74" s="286"/>
      <c r="E74" s="286"/>
      <c r="F74" s="286"/>
      <c r="G74" s="286"/>
    </row>
    <row r="75" spans="1:7" x14ac:dyDescent="0.25">
      <c r="A75" s="180"/>
      <c r="B75" s="180"/>
      <c r="C75" s="180"/>
      <c r="D75" s="180"/>
      <c r="E75" s="180"/>
      <c r="F75" s="180"/>
      <c r="G75" s="180"/>
    </row>
    <row r="76" spans="1:7" x14ac:dyDescent="0.25">
      <c r="A76" s="286" t="s">
        <v>343</v>
      </c>
      <c r="B76" s="286"/>
      <c r="C76" s="286"/>
      <c r="D76" s="286"/>
      <c r="E76" s="286"/>
      <c r="F76" s="286"/>
      <c r="G76" s="286"/>
    </row>
    <row r="77" spans="1:7" x14ac:dyDescent="0.25">
      <c r="A77" s="180"/>
      <c r="B77" s="180"/>
      <c r="C77" s="180"/>
      <c r="D77" s="180"/>
      <c r="E77" s="180"/>
      <c r="F77" s="180"/>
      <c r="G77" s="180"/>
    </row>
    <row r="78" spans="1:7" x14ac:dyDescent="0.25">
      <c r="A78" s="202" t="s">
        <v>344</v>
      </c>
      <c r="B78" s="180"/>
      <c r="C78" s="180"/>
      <c r="D78" s="180"/>
      <c r="E78" s="180"/>
      <c r="F78" s="180"/>
      <c r="G78" s="180"/>
    </row>
    <row r="79" spans="1:7" x14ac:dyDescent="0.25">
      <c r="A79" s="203" t="s">
        <v>345</v>
      </c>
      <c r="B79" s="204"/>
      <c r="C79" s="205" t="s">
        <v>338</v>
      </c>
      <c r="D79" s="206" t="s">
        <v>339</v>
      </c>
      <c r="E79" s="207" t="s">
        <v>340</v>
      </c>
      <c r="F79" s="180"/>
      <c r="G79" s="180"/>
    </row>
    <row r="80" spans="1:7" ht="25.5" x14ac:dyDescent="0.25">
      <c r="A80" s="208">
        <v>15</v>
      </c>
      <c r="B80" s="209" t="s">
        <v>346</v>
      </c>
      <c r="C80" s="210">
        <v>6</v>
      </c>
      <c r="D80" s="211">
        <v>34</v>
      </c>
      <c r="E80" s="212">
        <v>128</v>
      </c>
      <c r="F80" s="180"/>
      <c r="G80" s="180"/>
    </row>
    <row r="81" spans="1:7" x14ac:dyDescent="0.25">
      <c r="A81" s="213">
        <v>16</v>
      </c>
      <c r="B81" s="214" t="s">
        <v>347</v>
      </c>
      <c r="C81" s="215">
        <v>5</v>
      </c>
      <c r="D81" s="216">
        <v>30</v>
      </c>
      <c r="E81" s="217">
        <v>118</v>
      </c>
      <c r="F81" s="180"/>
      <c r="G81" s="180"/>
    </row>
    <row r="82" spans="1:7" x14ac:dyDescent="0.25">
      <c r="A82" s="218">
        <v>17</v>
      </c>
      <c r="B82" s="219" t="s">
        <v>348</v>
      </c>
      <c r="C82" s="220">
        <v>5</v>
      </c>
      <c r="D82" s="221">
        <v>25</v>
      </c>
      <c r="E82" s="222">
        <v>122</v>
      </c>
      <c r="F82" s="180"/>
      <c r="G82" s="180"/>
    </row>
    <row r="83" spans="1:7" ht="25.5" x14ac:dyDescent="0.25">
      <c r="A83" s="223">
        <v>18</v>
      </c>
      <c r="B83" s="224" t="s">
        <v>349</v>
      </c>
      <c r="C83" s="225">
        <v>5</v>
      </c>
      <c r="D83" s="226">
        <v>21</v>
      </c>
      <c r="E83" s="227">
        <v>202</v>
      </c>
      <c r="F83" s="180"/>
      <c r="G83" s="180"/>
    </row>
    <row r="84" spans="1:7" ht="38.25" x14ac:dyDescent="0.25">
      <c r="A84" s="223">
        <v>19</v>
      </c>
      <c r="B84" s="224" t="s">
        <v>350</v>
      </c>
      <c r="C84" s="225">
        <v>4</v>
      </c>
      <c r="D84" s="226">
        <v>31</v>
      </c>
      <c r="E84" s="222">
        <v>125</v>
      </c>
      <c r="F84" s="180"/>
      <c r="G84" s="180"/>
    </row>
    <row r="85" spans="1:7" ht="38.25" x14ac:dyDescent="0.25">
      <c r="A85" s="228">
        <v>20</v>
      </c>
      <c r="B85" s="229" t="s">
        <v>351</v>
      </c>
      <c r="C85" s="230">
        <v>5</v>
      </c>
      <c r="D85" s="231">
        <v>19</v>
      </c>
      <c r="E85" s="227">
        <v>108</v>
      </c>
      <c r="F85" s="180"/>
      <c r="G85" s="180"/>
    </row>
    <row r="86" spans="1:7" x14ac:dyDescent="0.25">
      <c r="A86" s="232">
        <v>21</v>
      </c>
      <c r="B86" s="233" t="s">
        <v>352</v>
      </c>
      <c r="C86" s="234">
        <v>5</v>
      </c>
      <c r="D86" s="235">
        <v>26</v>
      </c>
      <c r="E86" s="236">
        <v>74</v>
      </c>
      <c r="F86" s="180"/>
      <c r="G86" s="180"/>
    </row>
    <row r="87" spans="1:7" ht="25.5" x14ac:dyDescent="0.25">
      <c r="A87" s="232">
        <v>22</v>
      </c>
      <c r="B87" s="233" t="s">
        <v>353</v>
      </c>
      <c r="C87" s="237">
        <v>4</v>
      </c>
      <c r="D87" s="238">
        <v>20</v>
      </c>
      <c r="E87" s="239">
        <v>69</v>
      </c>
      <c r="F87" s="180"/>
      <c r="G87" s="180"/>
    </row>
    <row r="88" spans="1:7" x14ac:dyDescent="0.25">
      <c r="A88" s="223">
        <v>23</v>
      </c>
      <c r="B88" s="224" t="s">
        <v>354</v>
      </c>
      <c r="C88" s="225">
        <v>3</v>
      </c>
      <c r="D88" s="226">
        <v>28</v>
      </c>
      <c r="E88" s="240">
        <v>68</v>
      </c>
      <c r="F88" s="180"/>
      <c r="G88" s="180"/>
    </row>
    <row r="89" spans="1:7" x14ac:dyDescent="0.25">
      <c r="A89" s="241">
        <v>24</v>
      </c>
      <c r="B89" s="242" t="s">
        <v>355</v>
      </c>
      <c r="C89" s="225">
        <v>5</v>
      </c>
      <c r="D89" s="226">
        <v>23</v>
      </c>
      <c r="E89" s="239">
        <v>100</v>
      </c>
      <c r="F89" s="180"/>
      <c r="G89" s="180"/>
    </row>
    <row r="90" spans="1:7" x14ac:dyDescent="0.25">
      <c r="A90" s="218">
        <v>25</v>
      </c>
      <c r="B90" s="224" t="s">
        <v>356</v>
      </c>
      <c r="C90" s="225">
        <v>5</v>
      </c>
      <c r="D90" s="226">
        <v>22</v>
      </c>
      <c r="E90" s="243">
        <v>82</v>
      </c>
      <c r="F90" s="180"/>
      <c r="G90" s="180"/>
    </row>
    <row r="91" spans="1:7" x14ac:dyDescent="0.25">
      <c r="A91" s="244">
        <v>26</v>
      </c>
      <c r="B91" s="242" t="s">
        <v>357</v>
      </c>
      <c r="C91" s="225">
        <v>7</v>
      </c>
      <c r="D91" s="226">
        <v>28</v>
      </c>
      <c r="E91" s="243">
        <v>96</v>
      </c>
      <c r="F91" s="180"/>
      <c r="G91" s="180"/>
    </row>
    <row r="92" spans="1:7" x14ac:dyDescent="0.25">
      <c r="A92" s="232">
        <v>27</v>
      </c>
      <c r="B92" s="245" t="s">
        <v>358</v>
      </c>
      <c r="C92" s="238">
        <v>5</v>
      </c>
      <c r="D92" s="238">
        <v>25</v>
      </c>
      <c r="E92" s="239">
        <v>111</v>
      </c>
      <c r="F92" s="180"/>
      <c r="G92" s="180"/>
    </row>
    <row r="93" spans="1:7" ht="25.5" x14ac:dyDescent="0.25">
      <c r="A93" s="223">
        <v>28</v>
      </c>
      <c r="B93" s="246" t="s">
        <v>359</v>
      </c>
      <c r="C93" s="226">
        <v>5</v>
      </c>
      <c r="D93" s="226">
        <v>23</v>
      </c>
      <c r="E93" s="243">
        <v>84</v>
      </c>
      <c r="F93" s="180"/>
      <c r="G93" s="180"/>
    </row>
    <row r="94" spans="1:7" x14ac:dyDescent="0.25">
      <c r="A94" s="223">
        <v>29</v>
      </c>
      <c r="B94" s="246" t="s">
        <v>360</v>
      </c>
      <c r="C94" s="226">
        <v>5</v>
      </c>
      <c r="D94" s="226">
        <v>21</v>
      </c>
      <c r="E94" s="243">
        <v>96</v>
      </c>
      <c r="F94" s="180"/>
      <c r="G94" s="180"/>
    </row>
    <row r="95" spans="1:7" x14ac:dyDescent="0.25">
      <c r="A95" s="228">
        <v>30</v>
      </c>
      <c r="B95" s="247" t="s">
        <v>361</v>
      </c>
      <c r="C95" s="248">
        <v>3</v>
      </c>
      <c r="D95" s="248">
        <v>16</v>
      </c>
      <c r="E95" s="240">
        <v>50</v>
      </c>
      <c r="F95" s="180"/>
      <c r="G95" s="180"/>
    </row>
    <row r="96" spans="1:7" x14ac:dyDescent="0.25">
      <c r="A96" s="232">
        <v>31</v>
      </c>
      <c r="B96" s="233" t="s">
        <v>362</v>
      </c>
      <c r="C96" s="237">
        <v>4</v>
      </c>
      <c r="D96" s="238">
        <v>23</v>
      </c>
      <c r="E96" s="239">
        <v>63</v>
      </c>
      <c r="F96" s="180"/>
      <c r="G96" s="180"/>
    </row>
    <row r="97" spans="1:7" ht="25.5" x14ac:dyDescent="0.25">
      <c r="A97" s="241">
        <v>32</v>
      </c>
      <c r="B97" s="242" t="s">
        <v>363</v>
      </c>
      <c r="C97" s="225">
        <v>4</v>
      </c>
      <c r="D97" s="226">
        <v>18</v>
      </c>
      <c r="E97" s="243">
        <v>87</v>
      </c>
      <c r="F97" s="180"/>
      <c r="G97" s="180"/>
    </row>
    <row r="98" spans="1:7" ht="25.5" x14ac:dyDescent="0.25">
      <c r="A98" s="218">
        <v>33</v>
      </c>
      <c r="B98" s="224" t="s">
        <v>364</v>
      </c>
      <c r="C98" s="225">
        <v>6</v>
      </c>
      <c r="D98" s="226">
        <v>23</v>
      </c>
      <c r="E98" s="243">
        <v>84</v>
      </c>
      <c r="F98" s="180"/>
      <c r="G98" s="180"/>
    </row>
    <row r="99" spans="1:7" ht="25.5" x14ac:dyDescent="0.25">
      <c r="A99" s="232">
        <v>34</v>
      </c>
      <c r="B99" s="233" t="s">
        <v>365</v>
      </c>
      <c r="C99" s="237">
        <v>7</v>
      </c>
      <c r="D99" s="238">
        <v>29</v>
      </c>
      <c r="E99" s="239">
        <v>82</v>
      </c>
      <c r="F99" s="249"/>
      <c r="G99" s="250"/>
    </row>
    <row r="100" spans="1:7" x14ac:dyDescent="0.25">
      <c r="A100" s="223">
        <v>35</v>
      </c>
      <c r="B100" s="224" t="s">
        <v>366</v>
      </c>
      <c r="C100" s="225">
        <v>4</v>
      </c>
      <c r="D100" s="226">
        <v>19</v>
      </c>
      <c r="E100" s="243">
        <v>56</v>
      </c>
      <c r="F100" s="250"/>
      <c r="G100" s="250"/>
    </row>
    <row r="101" spans="1:7" x14ac:dyDescent="0.25">
      <c r="A101" s="223">
        <v>36</v>
      </c>
      <c r="B101" s="224" t="s">
        <v>367</v>
      </c>
      <c r="C101" s="225">
        <v>5</v>
      </c>
      <c r="D101" s="226">
        <v>26</v>
      </c>
      <c r="E101" s="243">
        <v>96</v>
      </c>
      <c r="F101" s="250"/>
      <c r="G101" s="250"/>
    </row>
    <row r="102" spans="1:7" x14ac:dyDescent="0.25">
      <c r="A102" s="223">
        <v>37</v>
      </c>
      <c r="B102" s="224" t="s">
        <v>47</v>
      </c>
      <c r="C102" s="225">
        <v>5</v>
      </c>
      <c r="D102" s="226">
        <v>27</v>
      </c>
      <c r="E102" s="243">
        <v>108</v>
      </c>
      <c r="F102" s="250"/>
      <c r="G102" s="250"/>
    </row>
    <row r="103" spans="1:7" x14ac:dyDescent="0.25">
      <c r="A103" s="251" t="s">
        <v>368</v>
      </c>
      <c r="B103" s="252"/>
      <c r="C103" s="253">
        <v>5</v>
      </c>
      <c r="D103" s="253">
        <v>24</v>
      </c>
      <c r="E103" s="254">
        <v>96</v>
      </c>
      <c r="F103" s="250"/>
      <c r="G103" s="250"/>
    </row>
    <row r="104" spans="1:7" x14ac:dyDescent="0.25">
      <c r="A104" s="255" t="s">
        <v>369</v>
      </c>
      <c r="B104" s="250"/>
      <c r="C104" s="250"/>
      <c r="D104" s="250"/>
      <c r="E104" s="250"/>
      <c r="F104" s="250"/>
      <c r="G104" s="250"/>
    </row>
    <row r="105" spans="1:7" x14ac:dyDescent="0.25">
      <c r="A105" s="249"/>
      <c r="B105" s="250"/>
      <c r="C105" s="250"/>
      <c r="D105" s="250"/>
      <c r="E105" s="250"/>
      <c r="F105" s="250"/>
      <c r="G105" s="250"/>
    </row>
    <row r="106" spans="1:7" x14ac:dyDescent="0.25">
      <c r="A106" s="256" t="s">
        <v>370</v>
      </c>
      <c r="B106" s="250"/>
      <c r="C106" s="250"/>
      <c r="D106" s="250"/>
      <c r="E106" s="250"/>
      <c r="F106" s="250"/>
      <c r="G106" s="250"/>
    </row>
    <row r="107" spans="1:7" x14ac:dyDescent="0.25">
      <c r="A107" s="203" t="s">
        <v>345</v>
      </c>
      <c r="B107" s="204"/>
      <c r="C107" s="257" t="s">
        <v>338</v>
      </c>
      <c r="D107" s="257" t="s">
        <v>339</v>
      </c>
      <c r="E107" s="258" t="s">
        <v>340</v>
      </c>
      <c r="F107" s="250"/>
      <c r="G107" s="250"/>
    </row>
    <row r="108" spans="1:7" ht="39" x14ac:dyDescent="0.25">
      <c r="A108" s="259">
        <v>50</v>
      </c>
      <c r="B108" s="260" t="s">
        <v>371</v>
      </c>
      <c r="C108" s="261">
        <v>4</v>
      </c>
      <c r="D108" s="261">
        <v>26</v>
      </c>
      <c r="E108" s="262">
        <v>60</v>
      </c>
      <c r="F108" s="250"/>
      <c r="G108" s="250"/>
    </row>
    <row r="109" spans="1:7" x14ac:dyDescent="0.25">
      <c r="A109" s="259">
        <v>51</v>
      </c>
      <c r="B109" s="263" t="s">
        <v>58</v>
      </c>
      <c r="C109" s="264">
        <v>4</v>
      </c>
      <c r="D109" s="264">
        <v>17</v>
      </c>
      <c r="E109" s="265">
        <v>40</v>
      </c>
      <c r="F109" s="250"/>
      <c r="G109" s="250"/>
    </row>
    <row r="110" spans="1:7" ht="26.25" x14ac:dyDescent="0.25">
      <c r="A110" s="266">
        <v>52</v>
      </c>
      <c r="B110" s="267" t="s">
        <v>372</v>
      </c>
      <c r="C110" s="268">
        <v>5</v>
      </c>
      <c r="D110" s="264">
        <v>26</v>
      </c>
      <c r="E110" s="264">
        <v>100</v>
      </c>
      <c r="F110" s="250"/>
      <c r="G110" s="250"/>
    </row>
    <row r="111" spans="1:7" x14ac:dyDescent="0.25">
      <c r="A111" s="269" t="s">
        <v>373</v>
      </c>
      <c r="B111" s="270"/>
      <c r="C111" s="271">
        <v>5</v>
      </c>
      <c r="D111" s="272">
        <v>23</v>
      </c>
      <c r="E111" s="272">
        <v>67</v>
      </c>
      <c r="F111" s="250"/>
      <c r="G111" s="250"/>
    </row>
    <row r="112" spans="1:7" x14ac:dyDescent="0.25">
      <c r="A112" s="255" t="s">
        <v>369</v>
      </c>
      <c r="B112" s="250"/>
      <c r="C112" s="250"/>
      <c r="D112" s="273"/>
      <c r="E112" s="250"/>
      <c r="F112" s="250"/>
      <c r="G112" s="250"/>
    </row>
    <row r="113" spans="1:7" x14ac:dyDescent="0.25">
      <c r="A113" s="249"/>
      <c r="B113" s="250"/>
      <c r="C113" s="250"/>
      <c r="D113" s="250"/>
      <c r="E113" s="250"/>
      <c r="F113" s="250"/>
      <c r="G113" s="250"/>
    </row>
    <row r="114" spans="1:7" ht="45" customHeight="1" x14ac:dyDescent="0.25">
      <c r="A114" s="295" t="s">
        <v>374</v>
      </c>
      <c r="B114" s="296"/>
      <c r="C114" s="296"/>
      <c r="D114" s="296"/>
      <c r="E114" s="296"/>
      <c r="F114" s="296"/>
      <c r="G114" s="296"/>
    </row>
    <row r="115" spans="1:7" ht="4.5" customHeight="1" x14ac:dyDescent="0.25">
      <c r="A115" s="274"/>
      <c r="B115" s="275"/>
      <c r="C115" s="275"/>
      <c r="D115" s="275"/>
      <c r="E115" s="275"/>
      <c r="F115" s="275"/>
      <c r="G115" s="275"/>
    </row>
    <row r="116" spans="1:7" ht="57" customHeight="1" x14ac:dyDescent="0.25">
      <c r="A116" s="295" t="s">
        <v>375</v>
      </c>
      <c r="B116" s="296"/>
      <c r="C116" s="296"/>
      <c r="D116" s="296"/>
      <c r="E116" s="296"/>
      <c r="F116" s="296"/>
      <c r="G116" s="296"/>
    </row>
    <row r="117" spans="1:7" ht="4.5" customHeight="1" x14ac:dyDescent="0.25">
      <c r="A117" s="274"/>
      <c r="B117" s="275"/>
      <c r="C117" s="275"/>
      <c r="D117" s="275"/>
      <c r="E117" s="275"/>
      <c r="F117" s="275"/>
      <c r="G117" s="275"/>
    </row>
    <row r="118" spans="1:7" ht="57.75" customHeight="1" x14ac:dyDescent="0.25">
      <c r="A118" s="295" t="s">
        <v>376</v>
      </c>
      <c r="B118" s="296"/>
      <c r="C118" s="296"/>
      <c r="D118" s="296"/>
      <c r="E118" s="296"/>
      <c r="F118" s="296"/>
      <c r="G118" s="296"/>
    </row>
    <row r="119" spans="1:7" ht="4.5" customHeight="1" x14ac:dyDescent="0.25">
      <c r="A119" s="274"/>
      <c r="B119" s="275"/>
      <c r="C119" s="275"/>
      <c r="D119" s="275"/>
      <c r="E119" s="275"/>
      <c r="F119" s="275"/>
      <c r="G119" s="275"/>
    </row>
    <row r="120" spans="1:7" ht="45" customHeight="1" x14ac:dyDescent="0.25">
      <c r="A120" s="295" t="s">
        <v>377</v>
      </c>
      <c r="B120" s="296"/>
      <c r="C120" s="296"/>
      <c r="D120" s="296"/>
      <c r="E120" s="296"/>
      <c r="F120" s="296"/>
      <c r="G120" s="296"/>
    </row>
    <row r="121" spans="1:7" ht="4.5" customHeight="1" x14ac:dyDescent="0.25">
      <c r="A121" s="274"/>
      <c r="B121" s="275"/>
      <c r="C121" s="275"/>
      <c r="D121" s="275"/>
      <c r="E121" s="275"/>
      <c r="F121" s="275"/>
      <c r="G121" s="275"/>
    </row>
    <row r="122" spans="1:7" x14ac:dyDescent="0.25">
      <c r="A122" s="297" t="s">
        <v>378</v>
      </c>
      <c r="B122" s="298"/>
      <c r="C122" s="298"/>
      <c r="D122" s="298"/>
      <c r="E122" s="298"/>
      <c r="F122" s="298"/>
      <c r="G122" s="298"/>
    </row>
    <row r="123" spans="1:7" ht="4.5" customHeight="1" x14ac:dyDescent="0.25">
      <c r="A123" s="274"/>
      <c r="B123" s="275"/>
      <c r="C123" s="275"/>
      <c r="D123" s="275"/>
      <c r="E123" s="275"/>
      <c r="F123" s="275"/>
      <c r="G123" s="275"/>
    </row>
    <row r="124" spans="1:7" ht="45" customHeight="1" x14ac:dyDescent="0.25">
      <c r="A124" s="295" t="s">
        <v>379</v>
      </c>
      <c r="B124" s="296"/>
      <c r="C124" s="296"/>
      <c r="D124" s="296"/>
      <c r="E124" s="296"/>
      <c r="F124" s="296"/>
      <c r="G124" s="296"/>
    </row>
    <row r="125" spans="1:7" ht="4.5" customHeight="1" x14ac:dyDescent="0.25">
      <c r="A125" s="274"/>
      <c r="B125" s="275"/>
      <c r="C125" s="275"/>
      <c r="D125" s="275"/>
      <c r="E125" s="275"/>
      <c r="F125" s="275"/>
      <c r="G125" s="275"/>
    </row>
    <row r="126" spans="1:7" ht="59.25" customHeight="1" x14ac:dyDescent="0.25">
      <c r="A126" s="295" t="s">
        <v>380</v>
      </c>
      <c r="B126" s="296"/>
      <c r="C126" s="296"/>
      <c r="D126" s="296"/>
      <c r="E126" s="296"/>
      <c r="F126" s="296"/>
      <c r="G126" s="296"/>
    </row>
    <row r="127" spans="1:7" x14ac:dyDescent="0.25">
      <c r="A127" s="62"/>
      <c r="B127" s="62"/>
      <c r="C127" s="62"/>
      <c r="D127" s="62"/>
      <c r="E127" s="62"/>
      <c r="F127" s="62"/>
      <c r="G127" s="62"/>
    </row>
    <row r="128" spans="1:7" x14ac:dyDescent="0.25">
      <c r="A128" s="62"/>
      <c r="B128" s="62"/>
      <c r="C128" s="62"/>
      <c r="D128" s="62"/>
      <c r="E128" s="62"/>
      <c r="F128" s="62"/>
      <c r="G128" s="62"/>
    </row>
    <row r="129" spans="1:7" x14ac:dyDescent="0.25">
      <c r="A129" s="62"/>
      <c r="B129" s="62"/>
      <c r="C129" s="62"/>
      <c r="D129" s="62"/>
      <c r="E129" s="62"/>
      <c r="F129" s="62"/>
      <c r="G129" s="62"/>
    </row>
    <row r="130" spans="1:7" hidden="1" x14ac:dyDescent="0.25">
      <c r="A130" s="62"/>
      <c r="B130" s="62"/>
      <c r="C130" s="62"/>
      <c r="D130" s="62"/>
      <c r="E130" s="62"/>
      <c r="F130" s="62"/>
      <c r="G130" s="62"/>
    </row>
  </sheetData>
  <mergeCells count="37">
    <mergeCell ref="A126:G126"/>
    <mergeCell ref="A114:G114"/>
    <mergeCell ref="A116:G116"/>
    <mergeCell ref="A118:G118"/>
    <mergeCell ref="A120:G120"/>
    <mergeCell ref="A122:G122"/>
    <mergeCell ref="A124:G124"/>
    <mergeCell ref="A76:G76"/>
    <mergeCell ref="A46:G46"/>
    <mergeCell ref="A48:G48"/>
    <mergeCell ref="A50:G50"/>
    <mergeCell ref="A54:G54"/>
    <mergeCell ref="A56:G56"/>
    <mergeCell ref="A58:G58"/>
    <mergeCell ref="A60:G60"/>
    <mergeCell ref="A62:G62"/>
    <mergeCell ref="A64:G64"/>
    <mergeCell ref="A67:G67"/>
    <mergeCell ref="A74:G74"/>
    <mergeCell ref="A44:G44"/>
    <mergeCell ref="A14:G14"/>
    <mergeCell ref="A16:G16"/>
    <mergeCell ref="A18:G18"/>
    <mergeCell ref="A22:G22"/>
    <mergeCell ref="A24:G24"/>
    <mergeCell ref="A25:G25"/>
    <mergeCell ref="A29:G29"/>
    <mergeCell ref="A36:G36"/>
    <mergeCell ref="A38:G38"/>
    <mergeCell ref="A40:G40"/>
    <mergeCell ref="A42:G42"/>
    <mergeCell ref="A12:G12"/>
    <mergeCell ref="A1:G1"/>
    <mergeCell ref="A4:G4"/>
    <mergeCell ref="A6:G6"/>
    <mergeCell ref="A8:G8"/>
    <mergeCell ref="A10:G10"/>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
  <dimension ref="A1:DW95"/>
  <sheetViews>
    <sheetView zoomScaleNormal="100" workbookViewId="0">
      <pane xSplit="2" ySplit="5" topLeftCell="C6" activePane="bottomRight" state="frozen"/>
      <selection activeCell="B1" sqref="B1:D1"/>
      <selection pane="topRight" activeCell="B1" sqref="B1:D1"/>
      <selection pane="bottomLeft" activeCell="B1" sqref="B1:D1"/>
      <selection pane="bottomRight" activeCell="C6" sqref="C6"/>
    </sheetView>
  </sheetViews>
  <sheetFormatPr baseColWidth="10" defaultColWidth="0" defaultRowHeight="0" customHeight="1" zeroHeight="1" x14ac:dyDescent="0.25"/>
  <cols>
    <col min="1" max="1" width="5.7109375" style="8" customWidth="1"/>
    <col min="2" max="2" width="62.7109375" style="8" customWidth="1"/>
    <col min="3" max="4" width="11.140625" style="30" customWidth="1"/>
    <col min="5" max="6" width="11.140625" style="8" customWidth="1"/>
    <col min="7" max="7" width="11.140625" style="31" customWidth="1"/>
    <col min="8" max="31" width="11.140625" style="8" customWidth="1"/>
    <col min="32" max="32" width="4.28515625" style="7" customWidth="1"/>
    <col min="33" max="127" width="0" style="8" hidden="1" customWidth="1"/>
    <col min="128" max="16384" width="11.140625" style="8" hidden="1"/>
  </cols>
  <sheetData>
    <row r="1" spans="1:32" s="5" customFormat="1" ht="25.5" customHeight="1" thickBot="1" x14ac:dyDescent="0.25">
      <c r="A1" s="1"/>
      <c r="B1" s="2"/>
      <c r="C1" s="3"/>
      <c r="D1" s="4" t="s">
        <v>0</v>
      </c>
      <c r="F1" s="2"/>
      <c r="G1" s="6"/>
      <c r="H1" s="171"/>
      <c r="I1" s="171"/>
      <c r="J1" s="171"/>
      <c r="K1" s="171"/>
      <c r="L1" s="171"/>
      <c r="M1" s="171"/>
      <c r="N1" s="171"/>
      <c r="O1" s="171"/>
      <c r="P1" s="171"/>
      <c r="Q1" s="171"/>
      <c r="R1" s="171"/>
      <c r="S1" s="171"/>
      <c r="T1" s="171"/>
      <c r="U1" s="171"/>
      <c r="V1" s="171"/>
      <c r="W1" s="171"/>
      <c r="X1" s="171"/>
      <c r="Y1" s="171"/>
      <c r="Z1" s="171"/>
      <c r="AA1" s="171"/>
      <c r="AB1" s="171"/>
      <c r="AC1" s="171"/>
      <c r="AD1" s="171"/>
      <c r="AE1" s="171"/>
      <c r="AF1" s="171"/>
    </row>
    <row r="2" spans="1:32" s="7" customFormat="1" ht="22.5" customHeight="1" thickBot="1" x14ac:dyDescent="0.3">
      <c r="A2" s="303" t="s">
        <v>1</v>
      </c>
      <c r="B2" s="304"/>
      <c r="C2" s="304"/>
      <c r="D2" s="140"/>
      <c r="E2" s="140"/>
      <c r="F2" s="140"/>
      <c r="G2" s="140"/>
      <c r="H2" s="140"/>
      <c r="I2" s="140"/>
      <c r="J2" s="140"/>
      <c r="K2" s="140"/>
      <c r="L2" s="140"/>
      <c r="M2" s="140"/>
      <c r="N2" s="140"/>
      <c r="O2" s="140"/>
      <c r="P2" s="140"/>
      <c r="Q2" s="140"/>
      <c r="R2" s="140"/>
      <c r="S2" s="140"/>
      <c r="T2" s="140"/>
      <c r="U2" s="140"/>
      <c r="V2" s="140"/>
      <c r="W2" s="140"/>
      <c r="X2" s="140"/>
      <c r="Y2" s="140"/>
      <c r="Z2" s="140"/>
      <c r="AA2" s="140"/>
      <c r="AB2" s="140"/>
      <c r="AC2" s="140"/>
      <c r="AD2" s="140"/>
      <c r="AE2" s="141"/>
    </row>
    <row r="3" spans="1:32" ht="16.5" customHeight="1" thickBot="1" x14ac:dyDescent="0.25">
      <c r="A3" s="142" t="s">
        <v>299</v>
      </c>
      <c r="B3" s="57"/>
      <c r="C3" s="57"/>
      <c r="D3" s="58"/>
      <c r="E3" s="58"/>
      <c r="F3" s="58"/>
      <c r="G3" s="58"/>
      <c r="H3" s="59"/>
      <c r="I3" s="59"/>
      <c r="J3" s="59"/>
      <c r="K3" s="59"/>
      <c r="L3" s="59"/>
      <c r="M3" s="59"/>
      <c r="N3" s="59"/>
      <c r="O3" s="59"/>
      <c r="P3" s="59"/>
      <c r="Q3" s="59"/>
      <c r="R3" s="59"/>
      <c r="S3" s="59"/>
      <c r="T3" s="59"/>
      <c r="U3" s="59"/>
      <c r="V3" s="59"/>
      <c r="W3" s="59"/>
      <c r="X3" s="59"/>
      <c r="Y3" s="59"/>
      <c r="Z3" s="59"/>
      <c r="AA3" s="59"/>
      <c r="AB3" s="59"/>
      <c r="AC3" s="59"/>
      <c r="AD3" s="59"/>
      <c r="AE3" s="143"/>
    </row>
    <row r="4" spans="1:32" ht="15.75" customHeight="1" x14ac:dyDescent="0.25">
      <c r="A4" s="305"/>
      <c r="B4" s="301" t="s">
        <v>2</v>
      </c>
      <c r="C4" s="301">
        <v>1996</v>
      </c>
      <c r="D4" s="301">
        <v>1997</v>
      </c>
      <c r="E4" s="301">
        <v>1998</v>
      </c>
      <c r="F4" s="301">
        <v>1999</v>
      </c>
      <c r="G4" s="301">
        <v>2000</v>
      </c>
      <c r="H4" s="301">
        <v>2001</v>
      </c>
      <c r="I4" s="301">
        <v>2002</v>
      </c>
      <c r="J4" s="301">
        <v>2003</v>
      </c>
      <c r="K4" s="301">
        <v>2004</v>
      </c>
      <c r="L4" s="301">
        <v>2005</v>
      </c>
      <c r="M4" s="301">
        <v>2006</v>
      </c>
      <c r="N4" s="301">
        <v>2007</v>
      </c>
      <c r="O4" s="301">
        <v>2008</v>
      </c>
      <c r="P4" s="301">
        <v>2009</v>
      </c>
      <c r="Q4" s="301">
        <v>2010</v>
      </c>
      <c r="R4" s="301">
        <v>2011</v>
      </c>
      <c r="S4" s="301">
        <v>2012</v>
      </c>
      <c r="T4" s="301">
        <v>2013</v>
      </c>
      <c r="U4" s="301">
        <v>2014</v>
      </c>
      <c r="V4" s="301">
        <v>2015</v>
      </c>
      <c r="W4" s="301">
        <v>2016</v>
      </c>
      <c r="X4" s="301">
        <v>2017</v>
      </c>
      <c r="Y4" s="301">
        <v>2018</v>
      </c>
      <c r="Z4" s="301">
        <v>2019</v>
      </c>
      <c r="AA4" s="301">
        <v>2020</v>
      </c>
      <c r="AB4" s="301">
        <v>2021</v>
      </c>
      <c r="AC4" s="301">
        <v>2022</v>
      </c>
      <c r="AD4" s="301">
        <v>2023</v>
      </c>
      <c r="AE4" s="299">
        <v>2024</v>
      </c>
    </row>
    <row r="5" spans="1:32" ht="15.75" customHeight="1" thickBot="1" x14ac:dyDescent="0.3">
      <c r="A5" s="306"/>
      <c r="B5" s="302"/>
      <c r="C5" s="302"/>
      <c r="D5" s="302" t="s">
        <v>3</v>
      </c>
      <c r="E5" s="302"/>
      <c r="F5" s="302" t="s">
        <v>4</v>
      </c>
      <c r="G5" s="302"/>
      <c r="H5" s="302" t="s">
        <v>5</v>
      </c>
      <c r="I5" s="302"/>
      <c r="J5" s="302" t="s">
        <v>6</v>
      </c>
      <c r="K5" s="302"/>
      <c r="L5" s="302" t="s">
        <v>7</v>
      </c>
      <c r="M5" s="302"/>
      <c r="N5" s="302" t="s">
        <v>8</v>
      </c>
      <c r="O5" s="302"/>
      <c r="P5" s="302" t="s">
        <v>9</v>
      </c>
      <c r="Q5" s="302"/>
      <c r="R5" s="302" t="s">
        <v>10</v>
      </c>
      <c r="S5" s="302"/>
      <c r="T5" s="302"/>
      <c r="U5" s="302"/>
      <c r="V5" s="302"/>
      <c r="W5" s="302"/>
      <c r="X5" s="302"/>
      <c r="Y5" s="302"/>
      <c r="Z5" s="302"/>
      <c r="AA5" s="302"/>
      <c r="AB5" s="302"/>
      <c r="AC5" s="302"/>
      <c r="AD5" s="302"/>
      <c r="AE5" s="300"/>
    </row>
    <row r="6" spans="1:32" s="11" customFormat="1" ht="15" customHeight="1" thickBot="1" x14ac:dyDescent="0.3">
      <c r="A6" s="144" t="s">
        <v>11</v>
      </c>
      <c r="B6" s="9" t="s">
        <v>12</v>
      </c>
      <c r="C6" s="64">
        <v>1271</v>
      </c>
      <c r="D6" s="64">
        <v>1270</v>
      </c>
      <c r="E6" s="64">
        <v>1264</v>
      </c>
      <c r="F6" s="64">
        <v>1328</v>
      </c>
      <c r="G6" s="64">
        <v>1006</v>
      </c>
      <c r="H6" s="64">
        <v>1009</v>
      </c>
      <c r="I6" s="64">
        <v>993</v>
      </c>
      <c r="J6" s="64">
        <v>1108</v>
      </c>
      <c r="K6" s="64">
        <v>1261</v>
      </c>
      <c r="L6" s="64">
        <v>1344</v>
      </c>
      <c r="M6" s="64">
        <v>1436</v>
      </c>
      <c r="N6" s="64">
        <v>1538</v>
      </c>
      <c r="O6" s="64">
        <v>1511</v>
      </c>
      <c r="P6" s="64">
        <v>1487</v>
      </c>
      <c r="Q6" s="64">
        <v>1468</v>
      </c>
      <c r="R6" s="64">
        <v>1478</v>
      </c>
      <c r="S6" s="64">
        <v>1434</v>
      </c>
      <c r="T6" s="64">
        <v>1381</v>
      </c>
      <c r="U6" s="64">
        <v>1355</v>
      </c>
      <c r="V6" s="64">
        <v>1377</v>
      </c>
      <c r="W6" s="64">
        <v>1394</v>
      </c>
      <c r="X6" s="64">
        <v>1412</v>
      </c>
      <c r="Y6" s="64">
        <v>1432</v>
      </c>
      <c r="Z6" s="64">
        <v>1447</v>
      </c>
      <c r="AA6" s="64">
        <v>1470</v>
      </c>
      <c r="AB6" s="64">
        <v>1546</v>
      </c>
      <c r="AC6" s="64">
        <v>2156</v>
      </c>
      <c r="AD6" s="64">
        <v>2318</v>
      </c>
      <c r="AE6" s="145">
        <v>2285</v>
      </c>
      <c r="AF6" s="10"/>
    </row>
    <row r="7" spans="1:32" ht="15" customHeight="1" x14ac:dyDescent="0.25">
      <c r="A7" s="146">
        <v>1</v>
      </c>
      <c r="B7" s="12" t="s">
        <v>13</v>
      </c>
      <c r="C7" s="68">
        <v>1238</v>
      </c>
      <c r="D7" s="68">
        <v>1232</v>
      </c>
      <c r="E7" s="68">
        <v>1230</v>
      </c>
      <c r="F7" s="68">
        <v>1290</v>
      </c>
      <c r="G7" s="68">
        <v>971</v>
      </c>
      <c r="H7" s="68">
        <v>976</v>
      </c>
      <c r="I7" s="68">
        <v>963</v>
      </c>
      <c r="J7" s="68">
        <v>1076</v>
      </c>
      <c r="K7" s="68">
        <v>1226</v>
      </c>
      <c r="L7" s="68">
        <v>1305</v>
      </c>
      <c r="M7" s="68">
        <v>1399</v>
      </c>
      <c r="N7" s="68">
        <v>1496</v>
      </c>
      <c r="O7" s="68">
        <v>1470</v>
      </c>
      <c r="P7" s="68">
        <v>1440</v>
      </c>
      <c r="Q7" s="68">
        <v>1421</v>
      </c>
      <c r="R7" s="68">
        <v>1434</v>
      </c>
      <c r="S7" s="68">
        <v>1391</v>
      </c>
      <c r="T7" s="68">
        <v>1335</v>
      </c>
      <c r="U7" s="68">
        <v>1310</v>
      </c>
      <c r="V7" s="68">
        <v>1332</v>
      </c>
      <c r="W7" s="68">
        <v>1351</v>
      </c>
      <c r="X7" s="68">
        <v>1370</v>
      </c>
      <c r="Y7" s="68">
        <v>1389</v>
      </c>
      <c r="Z7" s="68">
        <v>1408</v>
      </c>
      <c r="AA7" s="68">
        <v>1431</v>
      </c>
      <c r="AB7" s="68">
        <v>1502</v>
      </c>
      <c r="AC7" s="68">
        <v>2106</v>
      </c>
      <c r="AD7" s="68">
        <v>2256</v>
      </c>
      <c r="AE7" s="147">
        <v>2227</v>
      </c>
    </row>
    <row r="8" spans="1:32" ht="15" customHeight="1" thickBot="1" x14ac:dyDescent="0.3">
      <c r="A8" s="148">
        <v>2</v>
      </c>
      <c r="B8" s="13" t="s">
        <v>14</v>
      </c>
      <c r="C8" s="69">
        <v>33</v>
      </c>
      <c r="D8" s="69">
        <v>38</v>
      </c>
      <c r="E8" s="69">
        <v>34</v>
      </c>
      <c r="F8" s="69">
        <v>38</v>
      </c>
      <c r="G8" s="69">
        <v>35</v>
      </c>
      <c r="H8" s="69">
        <v>33</v>
      </c>
      <c r="I8" s="69">
        <v>30</v>
      </c>
      <c r="J8" s="69">
        <v>32</v>
      </c>
      <c r="K8" s="69">
        <v>35</v>
      </c>
      <c r="L8" s="69">
        <v>39</v>
      </c>
      <c r="M8" s="69">
        <v>37</v>
      </c>
      <c r="N8" s="69">
        <v>42</v>
      </c>
      <c r="O8" s="69">
        <v>41</v>
      </c>
      <c r="P8" s="69">
        <v>47</v>
      </c>
      <c r="Q8" s="69">
        <v>47</v>
      </c>
      <c r="R8" s="69">
        <v>44</v>
      </c>
      <c r="S8" s="69">
        <v>43</v>
      </c>
      <c r="T8" s="69">
        <v>46</v>
      </c>
      <c r="U8" s="69">
        <v>45</v>
      </c>
      <c r="V8" s="69">
        <v>45</v>
      </c>
      <c r="W8" s="69">
        <v>43</v>
      </c>
      <c r="X8" s="69">
        <v>42</v>
      </c>
      <c r="Y8" s="69">
        <v>43</v>
      </c>
      <c r="Z8" s="69">
        <v>39</v>
      </c>
      <c r="AA8" s="69">
        <v>39</v>
      </c>
      <c r="AB8" s="69">
        <v>44</v>
      </c>
      <c r="AC8" s="69">
        <v>50</v>
      </c>
      <c r="AD8" s="69">
        <v>62</v>
      </c>
      <c r="AE8" s="149">
        <v>58</v>
      </c>
    </row>
    <row r="9" spans="1:32" s="11" customFormat="1" ht="15" customHeight="1" thickBot="1" x14ac:dyDescent="0.3">
      <c r="A9" s="144" t="s">
        <v>15</v>
      </c>
      <c r="B9" s="9" t="s">
        <v>16</v>
      </c>
      <c r="C9" s="64">
        <v>4</v>
      </c>
      <c r="D9" s="64">
        <v>6</v>
      </c>
      <c r="E9" s="64">
        <v>8</v>
      </c>
      <c r="F9" s="64">
        <v>11</v>
      </c>
      <c r="G9" s="64" t="s">
        <v>383</v>
      </c>
      <c r="H9" s="64" t="s">
        <v>383</v>
      </c>
      <c r="I9" s="64">
        <v>5</v>
      </c>
      <c r="J9" s="64" t="s">
        <v>383</v>
      </c>
      <c r="K9" s="64">
        <v>7</v>
      </c>
      <c r="L9" s="64">
        <v>9</v>
      </c>
      <c r="M9" s="64">
        <v>11</v>
      </c>
      <c r="N9" s="64">
        <v>11</v>
      </c>
      <c r="O9" s="64">
        <v>9</v>
      </c>
      <c r="P9" s="64">
        <v>9</v>
      </c>
      <c r="Q9" s="64">
        <v>7</v>
      </c>
      <c r="R9" s="64">
        <v>8</v>
      </c>
      <c r="S9" s="64">
        <v>9</v>
      </c>
      <c r="T9" s="64">
        <v>14</v>
      </c>
      <c r="U9" s="64">
        <v>10</v>
      </c>
      <c r="V9" s="64">
        <v>11</v>
      </c>
      <c r="W9" s="64">
        <v>11</v>
      </c>
      <c r="X9" s="64">
        <v>9</v>
      </c>
      <c r="Y9" s="64">
        <v>10</v>
      </c>
      <c r="Z9" s="64">
        <v>13</v>
      </c>
      <c r="AA9" s="64">
        <v>12</v>
      </c>
      <c r="AB9" s="64">
        <v>15</v>
      </c>
      <c r="AC9" s="64">
        <v>8</v>
      </c>
      <c r="AD9" s="64">
        <v>18</v>
      </c>
      <c r="AE9" s="145">
        <v>21</v>
      </c>
      <c r="AF9" s="10"/>
    </row>
    <row r="10" spans="1:32" ht="15" customHeight="1" thickBot="1" x14ac:dyDescent="0.3">
      <c r="A10" s="150">
        <v>5</v>
      </c>
      <c r="B10" s="14" t="s">
        <v>17</v>
      </c>
      <c r="C10" s="67">
        <v>4</v>
      </c>
      <c r="D10" s="67">
        <v>6</v>
      </c>
      <c r="E10" s="67">
        <v>8</v>
      </c>
      <c r="F10" s="67">
        <v>11</v>
      </c>
      <c r="G10" s="67" t="s">
        <v>383</v>
      </c>
      <c r="H10" s="67" t="s">
        <v>383</v>
      </c>
      <c r="I10" s="67">
        <v>5</v>
      </c>
      <c r="J10" s="67" t="s">
        <v>383</v>
      </c>
      <c r="K10" s="67">
        <v>7</v>
      </c>
      <c r="L10" s="67">
        <v>9</v>
      </c>
      <c r="M10" s="67">
        <v>11</v>
      </c>
      <c r="N10" s="67">
        <v>11</v>
      </c>
      <c r="O10" s="67">
        <v>9</v>
      </c>
      <c r="P10" s="67">
        <v>9</v>
      </c>
      <c r="Q10" s="67">
        <v>7</v>
      </c>
      <c r="R10" s="67">
        <v>8</v>
      </c>
      <c r="S10" s="67">
        <v>9</v>
      </c>
      <c r="T10" s="67">
        <v>14</v>
      </c>
      <c r="U10" s="67">
        <v>10</v>
      </c>
      <c r="V10" s="67">
        <v>11</v>
      </c>
      <c r="W10" s="67">
        <v>11</v>
      </c>
      <c r="X10" s="67">
        <v>9</v>
      </c>
      <c r="Y10" s="67">
        <v>10</v>
      </c>
      <c r="Z10" s="67">
        <v>13</v>
      </c>
      <c r="AA10" s="67">
        <v>12</v>
      </c>
      <c r="AB10" s="67">
        <v>15</v>
      </c>
      <c r="AC10" s="67">
        <v>8</v>
      </c>
      <c r="AD10" s="67">
        <v>18</v>
      </c>
      <c r="AE10" s="151">
        <v>21</v>
      </c>
    </row>
    <row r="11" spans="1:32" s="11" customFormat="1" ht="15" customHeight="1" thickBot="1" x14ac:dyDescent="0.3">
      <c r="A11" s="144" t="s">
        <v>18</v>
      </c>
      <c r="B11" s="9" t="s">
        <v>19</v>
      </c>
      <c r="C11" s="64">
        <v>52</v>
      </c>
      <c r="D11" s="64">
        <v>53</v>
      </c>
      <c r="E11" s="64">
        <v>56</v>
      </c>
      <c r="F11" s="64">
        <v>58</v>
      </c>
      <c r="G11" s="64">
        <v>56</v>
      </c>
      <c r="H11" s="64">
        <v>53</v>
      </c>
      <c r="I11" s="64">
        <v>46</v>
      </c>
      <c r="J11" s="64">
        <v>51</v>
      </c>
      <c r="K11" s="64">
        <v>54</v>
      </c>
      <c r="L11" s="64">
        <v>58</v>
      </c>
      <c r="M11" s="64">
        <v>64</v>
      </c>
      <c r="N11" s="64">
        <v>74</v>
      </c>
      <c r="O11" s="64">
        <v>70</v>
      </c>
      <c r="P11" s="64">
        <v>71</v>
      </c>
      <c r="Q11" s="64">
        <v>72</v>
      </c>
      <c r="R11" s="64">
        <v>66</v>
      </c>
      <c r="S11" s="64">
        <v>63</v>
      </c>
      <c r="T11" s="64">
        <v>74</v>
      </c>
      <c r="U11" s="64">
        <v>71</v>
      </c>
      <c r="V11" s="64">
        <v>69</v>
      </c>
      <c r="W11" s="64">
        <v>65</v>
      </c>
      <c r="X11" s="64">
        <v>61</v>
      </c>
      <c r="Y11" s="64">
        <v>65</v>
      </c>
      <c r="Z11" s="64">
        <v>67</v>
      </c>
      <c r="AA11" s="64">
        <v>70</v>
      </c>
      <c r="AB11" s="64">
        <v>72</v>
      </c>
      <c r="AC11" s="64">
        <v>92</v>
      </c>
      <c r="AD11" s="64">
        <v>94</v>
      </c>
      <c r="AE11" s="145">
        <v>92</v>
      </c>
      <c r="AF11" s="10"/>
    </row>
    <row r="12" spans="1:32" ht="15" customHeight="1" x14ac:dyDescent="0.25">
      <c r="A12" s="152">
        <v>11</v>
      </c>
      <c r="B12" s="15" t="s">
        <v>20</v>
      </c>
      <c r="C12" s="68">
        <v>19</v>
      </c>
      <c r="D12" s="68">
        <v>17</v>
      </c>
      <c r="E12" s="68">
        <v>18</v>
      </c>
      <c r="F12" s="68">
        <v>18</v>
      </c>
      <c r="G12" s="68">
        <v>19</v>
      </c>
      <c r="H12" s="68">
        <v>16</v>
      </c>
      <c r="I12" s="68">
        <v>14</v>
      </c>
      <c r="J12" s="68">
        <v>18</v>
      </c>
      <c r="K12" s="68" t="s">
        <v>383</v>
      </c>
      <c r="L12" s="68" t="s">
        <v>383</v>
      </c>
      <c r="M12" s="68" t="s">
        <v>383</v>
      </c>
      <c r="N12" s="68">
        <v>21</v>
      </c>
      <c r="O12" s="68">
        <v>23</v>
      </c>
      <c r="P12" s="68" t="s">
        <v>383</v>
      </c>
      <c r="Q12" s="68" t="s">
        <v>383</v>
      </c>
      <c r="R12" s="68" t="s">
        <v>383</v>
      </c>
      <c r="S12" s="68" t="s">
        <v>383</v>
      </c>
      <c r="T12" s="68" t="s">
        <v>383</v>
      </c>
      <c r="U12" s="68" t="s">
        <v>383</v>
      </c>
      <c r="V12" s="68" t="s">
        <v>383</v>
      </c>
      <c r="W12" s="68" t="s">
        <v>383</v>
      </c>
      <c r="X12" s="68" t="s">
        <v>383</v>
      </c>
      <c r="Y12" s="68">
        <v>23</v>
      </c>
      <c r="Z12" s="68">
        <v>26</v>
      </c>
      <c r="AA12" s="68">
        <v>28</v>
      </c>
      <c r="AB12" s="68">
        <v>28</v>
      </c>
      <c r="AC12" s="68">
        <v>33</v>
      </c>
      <c r="AD12" s="68">
        <v>33</v>
      </c>
      <c r="AE12" s="153">
        <v>36</v>
      </c>
    </row>
    <row r="13" spans="1:32" ht="15" customHeight="1" x14ac:dyDescent="0.25">
      <c r="A13" s="154">
        <v>13</v>
      </c>
      <c r="B13" s="16" t="s">
        <v>21</v>
      </c>
      <c r="C13" s="69">
        <v>4</v>
      </c>
      <c r="D13" s="69">
        <v>4</v>
      </c>
      <c r="E13" s="69" t="s">
        <v>383</v>
      </c>
      <c r="F13" s="69" t="s">
        <v>383</v>
      </c>
      <c r="G13" s="69" t="s">
        <v>383</v>
      </c>
      <c r="H13" s="69" t="s">
        <v>383</v>
      </c>
      <c r="I13" s="69" t="s">
        <v>383</v>
      </c>
      <c r="J13" s="69" t="s">
        <v>383</v>
      </c>
      <c r="K13" s="69" t="s">
        <v>383</v>
      </c>
      <c r="L13" s="69" t="s">
        <v>383</v>
      </c>
      <c r="M13" s="69" t="s">
        <v>383</v>
      </c>
      <c r="N13" s="69">
        <v>4</v>
      </c>
      <c r="O13" s="69" t="s">
        <v>383</v>
      </c>
      <c r="P13" s="69" t="s">
        <v>383</v>
      </c>
      <c r="Q13" s="69" t="s">
        <v>383</v>
      </c>
      <c r="R13" s="69" t="s">
        <v>383</v>
      </c>
      <c r="S13" s="69" t="s">
        <v>383</v>
      </c>
      <c r="T13" s="69" t="s">
        <v>383</v>
      </c>
      <c r="U13" s="69" t="s">
        <v>383</v>
      </c>
      <c r="V13" s="69" t="s">
        <v>383</v>
      </c>
      <c r="W13" s="69" t="s">
        <v>383</v>
      </c>
      <c r="X13" s="69" t="s">
        <v>383</v>
      </c>
      <c r="Y13" s="69" t="s">
        <v>383</v>
      </c>
      <c r="Z13" s="69" t="s">
        <v>383</v>
      </c>
      <c r="AA13" s="69" t="s">
        <v>383</v>
      </c>
      <c r="AB13" s="69" t="s">
        <v>383</v>
      </c>
      <c r="AC13" s="69">
        <v>4</v>
      </c>
      <c r="AD13" s="69">
        <v>4</v>
      </c>
      <c r="AE13" s="155" t="s">
        <v>383</v>
      </c>
    </row>
    <row r="14" spans="1:32" ht="15" customHeight="1" thickBot="1" x14ac:dyDescent="0.3">
      <c r="A14" s="152">
        <v>14</v>
      </c>
      <c r="B14" s="15" t="s">
        <v>22</v>
      </c>
      <c r="C14" s="68">
        <v>29</v>
      </c>
      <c r="D14" s="68">
        <v>32</v>
      </c>
      <c r="E14" s="68" t="s">
        <v>383</v>
      </c>
      <c r="F14" s="68" t="s">
        <v>383</v>
      </c>
      <c r="G14" s="68" t="s">
        <v>383</v>
      </c>
      <c r="H14" s="68" t="s">
        <v>383</v>
      </c>
      <c r="I14" s="68" t="s">
        <v>383</v>
      </c>
      <c r="J14" s="68" t="s">
        <v>383</v>
      </c>
      <c r="K14" s="68">
        <v>37</v>
      </c>
      <c r="L14" s="68">
        <v>39</v>
      </c>
      <c r="M14" s="68">
        <v>42</v>
      </c>
      <c r="N14" s="68">
        <v>49</v>
      </c>
      <c r="O14" s="68" t="s">
        <v>383</v>
      </c>
      <c r="P14" s="68">
        <v>44</v>
      </c>
      <c r="Q14" s="68">
        <v>48</v>
      </c>
      <c r="R14" s="68">
        <v>44</v>
      </c>
      <c r="S14" s="68">
        <v>40</v>
      </c>
      <c r="T14" s="68">
        <v>44</v>
      </c>
      <c r="U14" s="68">
        <v>44</v>
      </c>
      <c r="V14" s="68">
        <v>43</v>
      </c>
      <c r="W14" s="68">
        <v>41</v>
      </c>
      <c r="X14" s="68">
        <v>37</v>
      </c>
      <c r="Y14" s="68" t="s">
        <v>383</v>
      </c>
      <c r="Z14" s="68" t="s">
        <v>383</v>
      </c>
      <c r="AA14" s="68" t="s">
        <v>383</v>
      </c>
      <c r="AB14" s="68" t="s">
        <v>383</v>
      </c>
      <c r="AC14" s="68">
        <v>55</v>
      </c>
      <c r="AD14" s="68">
        <v>57</v>
      </c>
      <c r="AE14" s="153" t="s">
        <v>383</v>
      </c>
    </row>
    <row r="15" spans="1:32" s="11" customFormat="1" ht="15" customHeight="1" thickBot="1" x14ac:dyDescent="0.3">
      <c r="A15" s="144" t="s">
        <v>23</v>
      </c>
      <c r="B15" s="9" t="s">
        <v>24</v>
      </c>
      <c r="C15" s="64">
        <v>15570</v>
      </c>
      <c r="D15" s="64">
        <v>15445</v>
      </c>
      <c r="E15" s="64">
        <v>15019</v>
      </c>
      <c r="F15" s="64">
        <v>15544</v>
      </c>
      <c r="G15" s="64">
        <v>14185</v>
      </c>
      <c r="H15" s="64">
        <v>13219</v>
      </c>
      <c r="I15" s="64">
        <v>12399</v>
      </c>
      <c r="J15" s="64">
        <v>13334</v>
      </c>
      <c r="K15" s="64">
        <v>14894</v>
      </c>
      <c r="L15" s="64">
        <v>15955</v>
      </c>
      <c r="M15" s="64">
        <v>16910</v>
      </c>
      <c r="N15" s="64">
        <v>17669</v>
      </c>
      <c r="O15" s="64">
        <v>17992</v>
      </c>
      <c r="P15" s="64">
        <v>17919</v>
      </c>
      <c r="Q15" s="64">
        <v>18014</v>
      </c>
      <c r="R15" s="64">
        <v>18186</v>
      </c>
      <c r="S15" s="64">
        <v>18233</v>
      </c>
      <c r="T15" s="64">
        <v>18198</v>
      </c>
      <c r="U15" s="64">
        <v>18113</v>
      </c>
      <c r="V15" s="64">
        <v>18239</v>
      </c>
      <c r="W15" s="64">
        <v>18061</v>
      </c>
      <c r="X15" s="64">
        <v>17791</v>
      </c>
      <c r="Y15" s="64">
        <v>17219</v>
      </c>
      <c r="Z15" s="64">
        <v>16632</v>
      </c>
      <c r="AA15" s="64">
        <v>16313</v>
      </c>
      <c r="AB15" s="64">
        <v>16483</v>
      </c>
      <c r="AC15" s="64">
        <v>17402</v>
      </c>
      <c r="AD15" s="64">
        <v>17490</v>
      </c>
      <c r="AE15" s="145">
        <v>17226</v>
      </c>
      <c r="AF15" s="10"/>
    </row>
    <row r="16" spans="1:32" ht="15" customHeight="1" x14ac:dyDescent="0.25">
      <c r="A16" s="152">
        <v>15</v>
      </c>
      <c r="B16" s="15" t="s">
        <v>25</v>
      </c>
      <c r="C16" s="68">
        <v>2270</v>
      </c>
      <c r="D16" s="68">
        <v>2220</v>
      </c>
      <c r="E16" s="68">
        <v>2077</v>
      </c>
      <c r="F16" s="68">
        <v>2104</v>
      </c>
      <c r="G16" s="68">
        <v>1873</v>
      </c>
      <c r="H16" s="68">
        <v>1787</v>
      </c>
      <c r="I16" s="68">
        <v>1692</v>
      </c>
      <c r="J16" s="68">
        <v>1797</v>
      </c>
      <c r="K16" s="68">
        <v>2065</v>
      </c>
      <c r="L16" s="68">
        <v>2127</v>
      </c>
      <c r="M16" s="68">
        <v>2230</v>
      </c>
      <c r="N16" s="68">
        <v>2301</v>
      </c>
      <c r="O16" s="68">
        <v>2372</v>
      </c>
      <c r="P16" s="68">
        <v>2403</v>
      </c>
      <c r="Q16" s="68">
        <v>2406</v>
      </c>
      <c r="R16" s="68">
        <v>2453</v>
      </c>
      <c r="S16" s="68">
        <v>2489</v>
      </c>
      <c r="T16" s="68">
        <v>2514</v>
      </c>
      <c r="U16" s="68">
        <v>2522</v>
      </c>
      <c r="V16" s="68">
        <v>2534</v>
      </c>
      <c r="W16" s="68">
        <v>2539</v>
      </c>
      <c r="X16" s="68">
        <v>2561</v>
      </c>
      <c r="Y16" s="68">
        <v>2536</v>
      </c>
      <c r="Z16" s="68">
        <v>2517</v>
      </c>
      <c r="AA16" s="68">
        <v>2468</v>
      </c>
      <c r="AB16" s="68">
        <v>2536</v>
      </c>
      <c r="AC16" s="68">
        <v>2817</v>
      </c>
      <c r="AD16" s="68">
        <v>2915</v>
      </c>
      <c r="AE16" s="153">
        <v>2922</v>
      </c>
    </row>
    <row r="17" spans="1:31" ht="15" customHeight="1" x14ac:dyDescent="0.25">
      <c r="A17" s="156">
        <v>16</v>
      </c>
      <c r="B17" s="17" t="s">
        <v>26</v>
      </c>
      <c r="C17" s="70" t="s">
        <v>383</v>
      </c>
      <c r="D17" s="70" t="s">
        <v>383</v>
      </c>
      <c r="E17" s="70" t="s">
        <v>383</v>
      </c>
      <c r="F17" s="70" t="s">
        <v>383</v>
      </c>
      <c r="G17" s="70" t="s">
        <v>383</v>
      </c>
      <c r="H17" s="70" t="s">
        <v>383</v>
      </c>
      <c r="I17" s="70">
        <v>6</v>
      </c>
      <c r="J17" s="70">
        <v>6</v>
      </c>
      <c r="K17" s="70">
        <v>7</v>
      </c>
      <c r="L17" s="70">
        <v>6</v>
      </c>
      <c r="M17" s="70">
        <v>5</v>
      </c>
      <c r="N17" s="70">
        <v>5</v>
      </c>
      <c r="O17" s="70">
        <v>4</v>
      </c>
      <c r="P17" s="70">
        <v>5</v>
      </c>
      <c r="Q17" s="70">
        <v>5</v>
      </c>
      <c r="R17" s="70">
        <v>5</v>
      </c>
      <c r="S17" s="70">
        <v>5</v>
      </c>
      <c r="T17" s="70">
        <v>4</v>
      </c>
      <c r="U17" s="70">
        <v>4</v>
      </c>
      <c r="V17" s="70">
        <v>4</v>
      </c>
      <c r="W17" s="70">
        <v>4</v>
      </c>
      <c r="X17" s="70">
        <v>5</v>
      </c>
      <c r="Y17" s="70">
        <v>5</v>
      </c>
      <c r="Z17" s="70">
        <v>6</v>
      </c>
      <c r="AA17" s="70">
        <v>6</v>
      </c>
      <c r="AB17" s="70">
        <v>7</v>
      </c>
      <c r="AC17" s="70">
        <v>7</v>
      </c>
      <c r="AD17" s="70">
        <v>7</v>
      </c>
      <c r="AE17" s="157">
        <v>7</v>
      </c>
    </row>
    <row r="18" spans="1:31" ht="15" customHeight="1" x14ac:dyDescent="0.25">
      <c r="A18" s="156">
        <v>17</v>
      </c>
      <c r="B18" s="17" t="s">
        <v>27</v>
      </c>
      <c r="C18" s="70">
        <v>954</v>
      </c>
      <c r="D18" s="70">
        <v>948</v>
      </c>
      <c r="E18" s="70">
        <v>929</v>
      </c>
      <c r="F18" s="70">
        <v>953</v>
      </c>
      <c r="G18" s="70">
        <v>818</v>
      </c>
      <c r="H18" s="70">
        <v>795</v>
      </c>
      <c r="I18" s="70">
        <v>724</v>
      </c>
      <c r="J18" s="70">
        <v>791</v>
      </c>
      <c r="K18" s="70">
        <v>876</v>
      </c>
      <c r="L18" s="70">
        <v>947</v>
      </c>
      <c r="M18" s="70">
        <v>1008</v>
      </c>
      <c r="N18" s="70">
        <v>1080</v>
      </c>
      <c r="O18" s="70">
        <v>1078</v>
      </c>
      <c r="P18" s="70">
        <v>1060</v>
      </c>
      <c r="Q18" s="70">
        <v>1079</v>
      </c>
      <c r="R18" s="70">
        <v>1088</v>
      </c>
      <c r="S18" s="70">
        <v>1102</v>
      </c>
      <c r="T18" s="70">
        <v>1110</v>
      </c>
      <c r="U18" s="70">
        <v>1111</v>
      </c>
      <c r="V18" s="70">
        <v>1111</v>
      </c>
      <c r="W18" s="70">
        <v>1118</v>
      </c>
      <c r="X18" s="70">
        <v>1096</v>
      </c>
      <c r="Y18" s="70">
        <v>1045</v>
      </c>
      <c r="Z18" s="70">
        <v>1004</v>
      </c>
      <c r="AA18" s="70">
        <v>991</v>
      </c>
      <c r="AB18" s="70">
        <v>1002</v>
      </c>
      <c r="AC18" s="70">
        <v>1071</v>
      </c>
      <c r="AD18" s="70">
        <v>1075</v>
      </c>
      <c r="AE18" s="157">
        <v>1072</v>
      </c>
    </row>
    <row r="19" spans="1:31" ht="15" customHeight="1" x14ac:dyDescent="0.25">
      <c r="A19" s="156">
        <v>18</v>
      </c>
      <c r="B19" s="17" t="s">
        <v>28</v>
      </c>
      <c r="C19" s="70">
        <v>642</v>
      </c>
      <c r="D19" s="70">
        <v>600</v>
      </c>
      <c r="E19" s="70">
        <v>615</v>
      </c>
      <c r="F19" s="70">
        <v>608</v>
      </c>
      <c r="G19" s="70">
        <v>536</v>
      </c>
      <c r="H19" s="70">
        <v>457</v>
      </c>
      <c r="I19" s="70">
        <v>395</v>
      </c>
      <c r="J19" s="70">
        <v>443</v>
      </c>
      <c r="K19" s="70">
        <v>547</v>
      </c>
      <c r="L19" s="70">
        <v>609</v>
      </c>
      <c r="M19" s="70">
        <v>710</v>
      </c>
      <c r="N19" s="70">
        <v>759</v>
      </c>
      <c r="O19" s="70">
        <v>782</v>
      </c>
      <c r="P19" s="70">
        <v>775</v>
      </c>
      <c r="Q19" s="70">
        <v>785</v>
      </c>
      <c r="R19" s="70">
        <v>806</v>
      </c>
      <c r="S19" s="70">
        <v>780</v>
      </c>
      <c r="T19" s="70">
        <v>778</v>
      </c>
      <c r="U19" s="70">
        <v>803</v>
      </c>
      <c r="V19" s="70">
        <v>816</v>
      </c>
      <c r="W19" s="70">
        <v>795</v>
      </c>
      <c r="X19" s="70">
        <v>759</v>
      </c>
      <c r="Y19" s="70">
        <v>716</v>
      </c>
      <c r="Z19" s="70">
        <v>649</v>
      </c>
      <c r="AA19" s="70">
        <v>602</v>
      </c>
      <c r="AB19" s="70">
        <v>581</v>
      </c>
      <c r="AC19" s="70">
        <v>709</v>
      </c>
      <c r="AD19" s="70">
        <v>723</v>
      </c>
      <c r="AE19" s="157">
        <v>728</v>
      </c>
    </row>
    <row r="20" spans="1:31" ht="15" customHeight="1" x14ac:dyDescent="0.25">
      <c r="A20" s="156">
        <v>19</v>
      </c>
      <c r="B20" s="17" t="s">
        <v>29</v>
      </c>
      <c r="C20" s="70">
        <v>703</v>
      </c>
      <c r="D20" s="70">
        <v>671</v>
      </c>
      <c r="E20" s="70">
        <v>616</v>
      </c>
      <c r="F20" s="70">
        <v>626</v>
      </c>
      <c r="G20" s="70">
        <v>567</v>
      </c>
      <c r="H20" s="70">
        <v>504</v>
      </c>
      <c r="I20" s="70">
        <v>472</v>
      </c>
      <c r="J20" s="70">
        <v>552</v>
      </c>
      <c r="K20" s="70">
        <v>654</v>
      </c>
      <c r="L20" s="70">
        <v>717</v>
      </c>
      <c r="M20" s="70">
        <v>779</v>
      </c>
      <c r="N20" s="70">
        <v>840</v>
      </c>
      <c r="O20" s="70">
        <v>852</v>
      </c>
      <c r="P20" s="70">
        <v>858</v>
      </c>
      <c r="Q20" s="70">
        <v>884</v>
      </c>
      <c r="R20" s="70">
        <v>919</v>
      </c>
      <c r="S20" s="70">
        <v>942</v>
      </c>
      <c r="T20" s="70">
        <v>955</v>
      </c>
      <c r="U20" s="70">
        <v>940</v>
      </c>
      <c r="V20" s="70">
        <v>960</v>
      </c>
      <c r="W20" s="70">
        <v>949</v>
      </c>
      <c r="X20" s="70">
        <v>909</v>
      </c>
      <c r="Y20" s="70">
        <v>835</v>
      </c>
      <c r="Z20" s="70">
        <v>732</v>
      </c>
      <c r="AA20" s="70">
        <v>700</v>
      </c>
      <c r="AB20" s="70">
        <v>678</v>
      </c>
      <c r="AC20" s="70">
        <v>697</v>
      </c>
      <c r="AD20" s="70">
        <v>690</v>
      </c>
      <c r="AE20" s="157">
        <v>649</v>
      </c>
    </row>
    <row r="21" spans="1:31" ht="15" customHeight="1" x14ac:dyDescent="0.25">
      <c r="A21" s="156">
        <v>20</v>
      </c>
      <c r="B21" s="17" t="s">
        <v>30</v>
      </c>
      <c r="C21" s="70">
        <v>641</v>
      </c>
      <c r="D21" s="70">
        <v>625</v>
      </c>
      <c r="E21" s="70">
        <v>596</v>
      </c>
      <c r="F21" s="70">
        <v>613</v>
      </c>
      <c r="G21" s="70">
        <v>568</v>
      </c>
      <c r="H21" s="70">
        <v>506</v>
      </c>
      <c r="I21" s="70">
        <v>448</v>
      </c>
      <c r="J21" s="70">
        <v>474</v>
      </c>
      <c r="K21" s="70">
        <v>545</v>
      </c>
      <c r="L21" s="70">
        <v>588</v>
      </c>
      <c r="M21" s="70">
        <v>630</v>
      </c>
      <c r="N21" s="70">
        <v>654</v>
      </c>
      <c r="O21" s="70">
        <v>666</v>
      </c>
      <c r="P21" s="70">
        <v>642</v>
      </c>
      <c r="Q21" s="70">
        <v>628</v>
      </c>
      <c r="R21" s="70">
        <v>625</v>
      </c>
      <c r="S21" s="70">
        <v>612</v>
      </c>
      <c r="T21" s="70">
        <v>596</v>
      </c>
      <c r="U21" s="70">
        <v>590</v>
      </c>
      <c r="V21" s="70">
        <v>567</v>
      </c>
      <c r="W21" s="70">
        <v>536</v>
      </c>
      <c r="X21" s="70">
        <v>512</v>
      </c>
      <c r="Y21" s="70">
        <v>494</v>
      </c>
      <c r="Z21" s="70">
        <v>471</v>
      </c>
      <c r="AA21" s="70">
        <v>463</v>
      </c>
      <c r="AB21" s="70">
        <v>477</v>
      </c>
      <c r="AC21" s="70">
        <v>492</v>
      </c>
      <c r="AD21" s="70">
        <v>505</v>
      </c>
      <c r="AE21" s="157">
        <v>482</v>
      </c>
    </row>
    <row r="22" spans="1:31" ht="15" customHeight="1" x14ac:dyDescent="0.25">
      <c r="A22" s="156">
        <v>21</v>
      </c>
      <c r="B22" s="17" t="s">
        <v>31</v>
      </c>
      <c r="C22" s="70">
        <v>340</v>
      </c>
      <c r="D22" s="70">
        <v>346</v>
      </c>
      <c r="E22" s="70">
        <v>338</v>
      </c>
      <c r="F22" s="70">
        <v>359</v>
      </c>
      <c r="G22" s="70">
        <v>328</v>
      </c>
      <c r="H22" s="70">
        <v>306</v>
      </c>
      <c r="I22" s="70">
        <v>305</v>
      </c>
      <c r="J22" s="70">
        <v>338</v>
      </c>
      <c r="K22" s="70">
        <v>363</v>
      </c>
      <c r="L22" s="70">
        <v>383</v>
      </c>
      <c r="M22" s="70">
        <v>406</v>
      </c>
      <c r="N22" s="70">
        <v>416</v>
      </c>
      <c r="O22" s="70">
        <v>431</v>
      </c>
      <c r="P22" s="70">
        <v>434</v>
      </c>
      <c r="Q22" s="70">
        <v>437</v>
      </c>
      <c r="R22" s="70">
        <v>439</v>
      </c>
      <c r="S22" s="70">
        <v>440</v>
      </c>
      <c r="T22" s="70">
        <v>439</v>
      </c>
      <c r="U22" s="70">
        <v>435</v>
      </c>
      <c r="V22" s="70">
        <v>445</v>
      </c>
      <c r="W22" s="70">
        <v>453</v>
      </c>
      <c r="X22" s="70">
        <v>443</v>
      </c>
      <c r="Y22" s="70">
        <v>431</v>
      </c>
      <c r="Z22" s="70">
        <v>416</v>
      </c>
      <c r="AA22" s="70">
        <v>405</v>
      </c>
      <c r="AB22" s="70">
        <v>414</v>
      </c>
      <c r="AC22" s="70">
        <v>428</v>
      </c>
      <c r="AD22" s="70">
        <v>430</v>
      </c>
      <c r="AE22" s="157">
        <v>419</v>
      </c>
    </row>
    <row r="23" spans="1:31" ht="15" customHeight="1" x14ac:dyDescent="0.25">
      <c r="A23" s="156">
        <v>22</v>
      </c>
      <c r="B23" s="17" t="s">
        <v>32</v>
      </c>
      <c r="C23" s="70">
        <v>633</v>
      </c>
      <c r="D23" s="70">
        <v>645</v>
      </c>
      <c r="E23" s="70">
        <v>688</v>
      </c>
      <c r="F23" s="70">
        <v>724</v>
      </c>
      <c r="G23" s="70">
        <v>670</v>
      </c>
      <c r="H23" s="70">
        <v>637</v>
      </c>
      <c r="I23" s="70">
        <v>597</v>
      </c>
      <c r="J23" s="70">
        <v>622</v>
      </c>
      <c r="K23" s="70">
        <v>694</v>
      </c>
      <c r="L23" s="70">
        <v>767</v>
      </c>
      <c r="M23" s="70">
        <v>822</v>
      </c>
      <c r="N23" s="70">
        <v>862</v>
      </c>
      <c r="O23" s="70">
        <v>883</v>
      </c>
      <c r="P23" s="70">
        <v>906</v>
      </c>
      <c r="Q23" s="70">
        <v>905</v>
      </c>
      <c r="R23" s="70">
        <v>886</v>
      </c>
      <c r="S23" s="70">
        <v>860</v>
      </c>
      <c r="T23" s="70">
        <v>862</v>
      </c>
      <c r="U23" s="70">
        <v>852</v>
      </c>
      <c r="V23" s="70">
        <v>842</v>
      </c>
      <c r="W23" s="70">
        <v>838</v>
      </c>
      <c r="X23" s="70">
        <v>798</v>
      </c>
      <c r="Y23" s="70">
        <v>756</v>
      </c>
      <c r="Z23" s="70">
        <v>732</v>
      </c>
      <c r="AA23" s="70">
        <v>695</v>
      </c>
      <c r="AB23" s="70">
        <v>681</v>
      </c>
      <c r="AC23" s="70">
        <v>721</v>
      </c>
      <c r="AD23" s="70">
        <v>719</v>
      </c>
      <c r="AE23" s="157">
        <v>686</v>
      </c>
    </row>
    <row r="24" spans="1:31" ht="15" customHeight="1" x14ac:dyDescent="0.25">
      <c r="A24" s="156">
        <v>23</v>
      </c>
      <c r="B24" s="17" t="s">
        <v>33</v>
      </c>
      <c r="C24" s="70">
        <v>48</v>
      </c>
      <c r="D24" s="70">
        <v>43</v>
      </c>
      <c r="E24" s="70">
        <v>41</v>
      </c>
      <c r="F24" s="70">
        <v>43</v>
      </c>
      <c r="G24" s="70">
        <v>36</v>
      </c>
      <c r="H24" s="70">
        <v>34</v>
      </c>
      <c r="I24" s="70">
        <v>28</v>
      </c>
      <c r="J24" s="70">
        <v>31</v>
      </c>
      <c r="K24" s="70">
        <v>33</v>
      </c>
      <c r="L24" s="70">
        <v>34</v>
      </c>
      <c r="M24" s="70">
        <v>31</v>
      </c>
      <c r="N24" s="70">
        <v>31</v>
      </c>
      <c r="O24" s="70">
        <v>30</v>
      </c>
      <c r="P24" s="70">
        <v>30</v>
      </c>
      <c r="Q24" s="70">
        <v>31</v>
      </c>
      <c r="R24" s="70">
        <v>32</v>
      </c>
      <c r="S24" s="70">
        <v>32</v>
      </c>
      <c r="T24" s="70">
        <v>33</v>
      </c>
      <c r="U24" s="70">
        <v>34</v>
      </c>
      <c r="V24" s="70">
        <v>35</v>
      </c>
      <c r="W24" s="70">
        <v>34</v>
      </c>
      <c r="X24" s="70">
        <v>31</v>
      </c>
      <c r="Y24" s="70">
        <v>31</v>
      </c>
      <c r="Z24" s="70">
        <v>30</v>
      </c>
      <c r="AA24" s="70">
        <v>29</v>
      </c>
      <c r="AB24" s="70">
        <v>30</v>
      </c>
      <c r="AC24" s="70">
        <v>31</v>
      </c>
      <c r="AD24" s="70">
        <v>32</v>
      </c>
      <c r="AE24" s="157">
        <v>32</v>
      </c>
    </row>
    <row r="25" spans="1:31" ht="15" customHeight="1" x14ac:dyDescent="0.25">
      <c r="A25" s="156">
        <v>24</v>
      </c>
      <c r="B25" s="17" t="s">
        <v>34</v>
      </c>
      <c r="C25" s="70">
        <v>912</v>
      </c>
      <c r="D25" s="70">
        <v>919</v>
      </c>
      <c r="E25" s="70">
        <v>912</v>
      </c>
      <c r="F25" s="70">
        <v>987</v>
      </c>
      <c r="G25" s="70">
        <v>913</v>
      </c>
      <c r="H25" s="70">
        <v>898</v>
      </c>
      <c r="I25" s="70">
        <v>886</v>
      </c>
      <c r="J25" s="70">
        <v>942</v>
      </c>
      <c r="K25" s="70">
        <v>1001</v>
      </c>
      <c r="L25" s="70">
        <v>1044</v>
      </c>
      <c r="M25" s="70">
        <v>1060</v>
      </c>
      <c r="N25" s="70">
        <v>1049</v>
      </c>
      <c r="O25" s="70">
        <v>1046</v>
      </c>
      <c r="P25" s="70">
        <v>1045</v>
      </c>
      <c r="Q25" s="70">
        <v>1046</v>
      </c>
      <c r="R25" s="70">
        <v>1042</v>
      </c>
      <c r="S25" s="70">
        <v>1050</v>
      </c>
      <c r="T25" s="70">
        <v>1049</v>
      </c>
      <c r="U25" s="70">
        <v>1054</v>
      </c>
      <c r="V25" s="70">
        <v>1067</v>
      </c>
      <c r="W25" s="70">
        <v>1045</v>
      </c>
      <c r="X25" s="70">
        <v>1054</v>
      </c>
      <c r="Y25" s="70">
        <v>1041</v>
      </c>
      <c r="Z25" s="70">
        <v>1052</v>
      </c>
      <c r="AA25" s="70">
        <v>1058</v>
      </c>
      <c r="AB25" s="70">
        <v>1073</v>
      </c>
      <c r="AC25" s="70">
        <v>1138</v>
      </c>
      <c r="AD25" s="70">
        <v>1150</v>
      </c>
      <c r="AE25" s="157">
        <v>1134</v>
      </c>
    </row>
    <row r="26" spans="1:31" ht="15" customHeight="1" x14ac:dyDescent="0.25">
      <c r="A26" s="156">
        <v>25</v>
      </c>
      <c r="B26" s="17" t="s">
        <v>35</v>
      </c>
      <c r="C26" s="70">
        <v>1312</v>
      </c>
      <c r="D26" s="70">
        <v>1307</v>
      </c>
      <c r="E26" s="70">
        <v>1303</v>
      </c>
      <c r="F26" s="70">
        <v>1401</v>
      </c>
      <c r="G26" s="70">
        <v>1337</v>
      </c>
      <c r="H26" s="70">
        <v>1254</v>
      </c>
      <c r="I26" s="70">
        <v>1195</v>
      </c>
      <c r="J26" s="70">
        <v>1270</v>
      </c>
      <c r="K26" s="70">
        <v>1348</v>
      </c>
      <c r="L26" s="70">
        <v>1433</v>
      </c>
      <c r="M26" s="70">
        <v>1494</v>
      </c>
      <c r="N26" s="70">
        <v>1525</v>
      </c>
      <c r="O26" s="70">
        <v>1552</v>
      </c>
      <c r="P26" s="70">
        <v>1558</v>
      </c>
      <c r="Q26" s="70">
        <v>1543</v>
      </c>
      <c r="R26" s="70">
        <v>1568</v>
      </c>
      <c r="S26" s="70">
        <v>1575</v>
      </c>
      <c r="T26" s="70">
        <v>1581</v>
      </c>
      <c r="U26" s="70">
        <v>1577</v>
      </c>
      <c r="V26" s="70">
        <v>1622</v>
      </c>
      <c r="W26" s="70">
        <v>1618</v>
      </c>
      <c r="X26" s="70">
        <v>1602</v>
      </c>
      <c r="Y26" s="70">
        <v>1560</v>
      </c>
      <c r="Z26" s="70">
        <v>1532</v>
      </c>
      <c r="AA26" s="70">
        <v>1532</v>
      </c>
      <c r="AB26" s="70">
        <v>1559</v>
      </c>
      <c r="AC26" s="70">
        <v>1585</v>
      </c>
      <c r="AD26" s="70">
        <v>1580</v>
      </c>
      <c r="AE26" s="157">
        <v>1555</v>
      </c>
    </row>
    <row r="27" spans="1:31" ht="15" customHeight="1" x14ac:dyDescent="0.25">
      <c r="A27" s="156">
        <v>26</v>
      </c>
      <c r="B27" s="17" t="s">
        <v>36</v>
      </c>
      <c r="C27" s="70">
        <v>491</v>
      </c>
      <c r="D27" s="70">
        <v>460</v>
      </c>
      <c r="E27" s="70">
        <v>437</v>
      </c>
      <c r="F27" s="70">
        <v>456</v>
      </c>
      <c r="G27" s="70">
        <v>422</v>
      </c>
      <c r="H27" s="70">
        <v>378</v>
      </c>
      <c r="I27" s="70">
        <v>357</v>
      </c>
      <c r="J27" s="70">
        <v>367</v>
      </c>
      <c r="K27" s="70">
        <v>399</v>
      </c>
      <c r="L27" s="70">
        <v>416</v>
      </c>
      <c r="M27" s="70">
        <v>431</v>
      </c>
      <c r="N27" s="70">
        <v>466</v>
      </c>
      <c r="O27" s="70">
        <v>460</v>
      </c>
      <c r="P27" s="70">
        <v>454</v>
      </c>
      <c r="Q27" s="70">
        <v>454</v>
      </c>
      <c r="R27" s="70">
        <v>460</v>
      </c>
      <c r="S27" s="70">
        <v>461</v>
      </c>
      <c r="T27" s="70">
        <v>459</v>
      </c>
      <c r="U27" s="70">
        <v>447</v>
      </c>
      <c r="V27" s="70">
        <v>454</v>
      </c>
      <c r="W27" s="70">
        <v>450</v>
      </c>
      <c r="X27" s="70">
        <v>441</v>
      </c>
      <c r="Y27" s="70">
        <v>439</v>
      </c>
      <c r="Z27" s="70">
        <v>427</v>
      </c>
      <c r="AA27" s="70">
        <v>424</v>
      </c>
      <c r="AB27" s="70">
        <v>438</v>
      </c>
      <c r="AC27" s="70">
        <v>466</v>
      </c>
      <c r="AD27" s="70">
        <v>468</v>
      </c>
      <c r="AE27" s="157">
        <v>461</v>
      </c>
    </row>
    <row r="28" spans="1:31" ht="15" customHeight="1" x14ac:dyDescent="0.25">
      <c r="A28" s="156">
        <v>27</v>
      </c>
      <c r="B28" s="17" t="s">
        <v>37</v>
      </c>
      <c r="C28" s="70">
        <v>475</v>
      </c>
      <c r="D28" s="70">
        <v>477</v>
      </c>
      <c r="E28" s="70">
        <v>438</v>
      </c>
      <c r="F28" s="70">
        <v>459</v>
      </c>
      <c r="G28" s="70">
        <v>434</v>
      </c>
      <c r="H28" s="70">
        <v>397</v>
      </c>
      <c r="I28" s="70">
        <v>379</v>
      </c>
      <c r="J28" s="70">
        <v>399</v>
      </c>
      <c r="K28" s="70">
        <v>447</v>
      </c>
      <c r="L28" s="70">
        <v>483</v>
      </c>
      <c r="M28" s="70">
        <v>496</v>
      </c>
      <c r="N28" s="70">
        <v>513</v>
      </c>
      <c r="O28" s="70">
        <v>524</v>
      </c>
      <c r="P28" s="70">
        <v>510</v>
      </c>
      <c r="Q28" s="70">
        <v>513</v>
      </c>
      <c r="R28" s="70">
        <v>528</v>
      </c>
      <c r="S28" s="70">
        <v>523</v>
      </c>
      <c r="T28" s="70">
        <v>511</v>
      </c>
      <c r="U28" s="70">
        <v>511</v>
      </c>
      <c r="V28" s="70">
        <v>503</v>
      </c>
      <c r="W28" s="70">
        <v>483</v>
      </c>
      <c r="X28" s="70">
        <v>468</v>
      </c>
      <c r="Y28" s="70">
        <v>448</v>
      </c>
      <c r="Z28" s="70">
        <v>442</v>
      </c>
      <c r="AA28" s="70">
        <v>442</v>
      </c>
      <c r="AB28" s="70">
        <v>454</v>
      </c>
      <c r="AC28" s="70">
        <v>452</v>
      </c>
      <c r="AD28" s="70">
        <v>439</v>
      </c>
      <c r="AE28" s="157">
        <v>431</v>
      </c>
    </row>
    <row r="29" spans="1:31" ht="15" customHeight="1" x14ac:dyDescent="0.25">
      <c r="A29" s="156">
        <v>28</v>
      </c>
      <c r="B29" s="17" t="s">
        <v>38</v>
      </c>
      <c r="C29" s="70">
        <v>2628</v>
      </c>
      <c r="D29" s="70">
        <v>2651</v>
      </c>
      <c r="E29" s="70">
        <v>2589</v>
      </c>
      <c r="F29" s="70">
        <v>2705</v>
      </c>
      <c r="G29" s="70">
        <v>2464</v>
      </c>
      <c r="H29" s="70">
        <v>2299</v>
      </c>
      <c r="I29" s="70">
        <v>2148</v>
      </c>
      <c r="J29" s="70">
        <v>2319</v>
      </c>
      <c r="K29" s="70">
        <v>2599</v>
      </c>
      <c r="L29" s="70">
        <v>2804</v>
      </c>
      <c r="M29" s="70">
        <v>2995</v>
      </c>
      <c r="N29" s="70">
        <v>3154</v>
      </c>
      <c r="O29" s="70">
        <v>3228</v>
      </c>
      <c r="P29" s="70">
        <v>3203</v>
      </c>
      <c r="Q29" s="70">
        <v>3206</v>
      </c>
      <c r="R29" s="70">
        <v>3229</v>
      </c>
      <c r="S29" s="70">
        <v>3251</v>
      </c>
      <c r="T29" s="70">
        <v>3262</v>
      </c>
      <c r="U29" s="70">
        <v>3220</v>
      </c>
      <c r="V29" s="70">
        <v>3252</v>
      </c>
      <c r="W29" s="70">
        <v>3223</v>
      </c>
      <c r="X29" s="70">
        <v>3188</v>
      </c>
      <c r="Y29" s="70">
        <v>3088</v>
      </c>
      <c r="Z29" s="70">
        <v>2961</v>
      </c>
      <c r="AA29" s="70">
        <v>2896</v>
      </c>
      <c r="AB29" s="70">
        <v>2903</v>
      </c>
      <c r="AC29" s="70">
        <v>2991</v>
      </c>
      <c r="AD29" s="70">
        <v>2966</v>
      </c>
      <c r="AE29" s="157">
        <v>2898</v>
      </c>
    </row>
    <row r="30" spans="1:31" ht="15" customHeight="1" x14ac:dyDescent="0.25">
      <c r="A30" s="156">
        <v>29</v>
      </c>
      <c r="B30" s="17" t="s">
        <v>39</v>
      </c>
      <c r="C30" s="70">
        <v>932</v>
      </c>
      <c r="D30" s="70">
        <v>952</v>
      </c>
      <c r="E30" s="70">
        <v>951</v>
      </c>
      <c r="F30" s="70">
        <v>998</v>
      </c>
      <c r="G30" s="70">
        <v>933</v>
      </c>
      <c r="H30" s="70">
        <v>856</v>
      </c>
      <c r="I30" s="70">
        <v>799</v>
      </c>
      <c r="J30" s="70">
        <v>881</v>
      </c>
      <c r="K30" s="70">
        <v>965</v>
      </c>
      <c r="L30" s="70">
        <v>1056</v>
      </c>
      <c r="M30" s="70">
        <v>1097</v>
      </c>
      <c r="N30" s="70">
        <v>1146</v>
      </c>
      <c r="O30" s="70">
        <v>1149</v>
      </c>
      <c r="P30" s="70">
        <v>1127</v>
      </c>
      <c r="Q30" s="70">
        <v>1137</v>
      </c>
      <c r="R30" s="70">
        <v>1136</v>
      </c>
      <c r="S30" s="70">
        <v>1147</v>
      </c>
      <c r="T30" s="70">
        <v>1125</v>
      </c>
      <c r="U30" s="70">
        <v>1113</v>
      </c>
      <c r="V30" s="70">
        <v>1115</v>
      </c>
      <c r="W30" s="70">
        <v>1081</v>
      </c>
      <c r="X30" s="70">
        <v>1061</v>
      </c>
      <c r="Y30" s="70">
        <v>1042</v>
      </c>
      <c r="Z30" s="70">
        <v>1028</v>
      </c>
      <c r="AA30" s="70">
        <v>1014</v>
      </c>
      <c r="AB30" s="70">
        <v>1003</v>
      </c>
      <c r="AC30" s="70">
        <v>1022</v>
      </c>
      <c r="AD30" s="70">
        <v>1017</v>
      </c>
      <c r="AE30" s="157">
        <v>1017</v>
      </c>
    </row>
    <row r="31" spans="1:31" ht="15" customHeight="1" x14ac:dyDescent="0.25">
      <c r="A31" s="156">
        <v>30</v>
      </c>
      <c r="B31" s="17" t="s">
        <v>40</v>
      </c>
      <c r="C31" s="70" t="s">
        <v>383</v>
      </c>
      <c r="D31" s="70" t="s">
        <v>383</v>
      </c>
      <c r="E31" s="70" t="s">
        <v>383</v>
      </c>
      <c r="F31" s="70" t="s">
        <v>383</v>
      </c>
      <c r="G31" s="70" t="s">
        <v>383</v>
      </c>
      <c r="H31" s="70" t="s">
        <v>383</v>
      </c>
      <c r="I31" s="70">
        <v>11</v>
      </c>
      <c r="J31" s="70">
        <v>12</v>
      </c>
      <c r="K31" s="70">
        <v>14</v>
      </c>
      <c r="L31" s="70">
        <v>15</v>
      </c>
      <c r="M31" s="70">
        <v>20</v>
      </c>
      <c r="N31" s="70">
        <v>21</v>
      </c>
      <c r="O31" s="70">
        <v>20</v>
      </c>
      <c r="P31" s="70">
        <v>20</v>
      </c>
      <c r="Q31" s="70">
        <v>19</v>
      </c>
      <c r="R31" s="70">
        <v>20</v>
      </c>
      <c r="S31" s="70">
        <v>18</v>
      </c>
      <c r="T31" s="70">
        <v>19</v>
      </c>
      <c r="U31" s="70">
        <v>20</v>
      </c>
      <c r="V31" s="70">
        <v>25</v>
      </c>
      <c r="W31" s="70">
        <v>23</v>
      </c>
      <c r="X31" s="70">
        <v>20</v>
      </c>
      <c r="Y31" s="70">
        <v>21</v>
      </c>
      <c r="Z31" s="70">
        <v>16</v>
      </c>
      <c r="AA31" s="70">
        <v>18</v>
      </c>
      <c r="AB31" s="70">
        <v>23</v>
      </c>
      <c r="AC31" s="70">
        <v>30</v>
      </c>
      <c r="AD31" s="70">
        <v>32</v>
      </c>
      <c r="AE31" s="157">
        <v>29</v>
      </c>
    </row>
    <row r="32" spans="1:31" ht="15" customHeight="1" x14ac:dyDescent="0.25">
      <c r="A32" s="156">
        <v>31</v>
      </c>
      <c r="B32" s="17" t="s">
        <v>41</v>
      </c>
      <c r="C32" s="70">
        <v>397</v>
      </c>
      <c r="D32" s="70">
        <v>401</v>
      </c>
      <c r="E32" s="70">
        <v>372</v>
      </c>
      <c r="F32" s="70">
        <v>389</v>
      </c>
      <c r="G32" s="70">
        <v>351</v>
      </c>
      <c r="H32" s="70">
        <v>324</v>
      </c>
      <c r="I32" s="70">
        <v>301</v>
      </c>
      <c r="J32" s="70">
        <v>324</v>
      </c>
      <c r="K32" s="70">
        <v>359</v>
      </c>
      <c r="L32" s="70">
        <v>379</v>
      </c>
      <c r="M32" s="70">
        <v>398</v>
      </c>
      <c r="N32" s="70">
        <v>419</v>
      </c>
      <c r="O32" s="70">
        <v>427</v>
      </c>
      <c r="P32" s="70">
        <v>441</v>
      </c>
      <c r="Q32" s="70">
        <v>453</v>
      </c>
      <c r="R32" s="70">
        <v>468</v>
      </c>
      <c r="S32" s="70">
        <v>480</v>
      </c>
      <c r="T32" s="70">
        <v>466</v>
      </c>
      <c r="U32" s="70">
        <v>473</v>
      </c>
      <c r="V32" s="70">
        <v>493</v>
      </c>
      <c r="W32" s="70">
        <v>484</v>
      </c>
      <c r="X32" s="70">
        <v>479</v>
      </c>
      <c r="Y32" s="70">
        <v>470</v>
      </c>
      <c r="Z32" s="70">
        <v>463</v>
      </c>
      <c r="AA32" s="70">
        <v>456</v>
      </c>
      <c r="AB32" s="70">
        <v>469</v>
      </c>
      <c r="AC32" s="70">
        <v>494</v>
      </c>
      <c r="AD32" s="70">
        <v>500</v>
      </c>
      <c r="AE32" s="157">
        <v>492</v>
      </c>
    </row>
    <row r="33" spans="1:32" ht="15" customHeight="1" x14ac:dyDescent="0.25">
      <c r="A33" s="156">
        <v>32</v>
      </c>
      <c r="B33" s="17" t="s">
        <v>42</v>
      </c>
      <c r="C33" s="70">
        <v>54</v>
      </c>
      <c r="D33" s="70">
        <v>53</v>
      </c>
      <c r="E33" s="70">
        <v>48</v>
      </c>
      <c r="F33" s="70">
        <v>48</v>
      </c>
      <c r="G33" s="70">
        <v>42</v>
      </c>
      <c r="H33" s="70">
        <v>37</v>
      </c>
      <c r="I33" s="70">
        <v>34</v>
      </c>
      <c r="J33" s="70">
        <v>36</v>
      </c>
      <c r="K33" s="70">
        <v>40</v>
      </c>
      <c r="L33" s="70">
        <v>42</v>
      </c>
      <c r="M33" s="70">
        <v>42</v>
      </c>
      <c r="N33" s="70">
        <v>46</v>
      </c>
      <c r="O33" s="70">
        <v>47</v>
      </c>
      <c r="P33" s="70">
        <v>48</v>
      </c>
      <c r="Q33" s="70">
        <v>49</v>
      </c>
      <c r="R33" s="70">
        <v>52</v>
      </c>
      <c r="S33" s="70">
        <v>58</v>
      </c>
      <c r="T33" s="70">
        <v>56</v>
      </c>
      <c r="U33" s="70">
        <v>58</v>
      </c>
      <c r="V33" s="70">
        <v>55</v>
      </c>
      <c r="W33" s="70">
        <v>54</v>
      </c>
      <c r="X33" s="70">
        <v>56</v>
      </c>
      <c r="Y33" s="70">
        <v>56</v>
      </c>
      <c r="Z33" s="70">
        <v>51</v>
      </c>
      <c r="AA33" s="70">
        <v>53</v>
      </c>
      <c r="AB33" s="70">
        <v>52</v>
      </c>
      <c r="AC33" s="70">
        <v>50</v>
      </c>
      <c r="AD33" s="70">
        <v>51</v>
      </c>
      <c r="AE33" s="157">
        <v>50</v>
      </c>
    </row>
    <row r="34" spans="1:32" ht="15" customHeight="1" x14ac:dyDescent="0.25">
      <c r="A34" s="156">
        <v>33</v>
      </c>
      <c r="B34" s="17" t="s">
        <v>43</v>
      </c>
      <c r="C34" s="70">
        <v>118</v>
      </c>
      <c r="D34" s="70">
        <v>125</v>
      </c>
      <c r="E34" s="70">
        <v>125</v>
      </c>
      <c r="F34" s="70">
        <v>137</v>
      </c>
      <c r="G34" s="70">
        <v>120</v>
      </c>
      <c r="H34" s="70">
        <v>115</v>
      </c>
      <c r="I34" s="70">
        <v>116</v>
      </c>
      <c r="J34" s="70">
        <v>134</v>
      </c>
      <c r="K34" s="70">
        <v>146</v>
      </c>
      <c r="L34" s="70">
        <v>152</v>
      </c>
      <c r="M34" s="70">
        <v>158</v>
      </c>
      <c r="N34" s="70">
        <v>165</v>
      </c>
      <c r="O34" s="70">
        <v>182</v>
      </c>
      <c r="P34" s="70">
        <v>180</v>
      </c>
      <c r="Q34" s="70">
        <v>191</v>
      </c>
      <c r="R34" s="70">
        <v>188</v>
      </c>
      <c r="S34" s="70">
        <v>182</v>
      </c>
      <c r="T34" s="70">
        <v>191</v>
      </c>
      <c r="U34" s="70">
        <v>184</v>
      </c>
      <c r="V34" s="70">
        <v>184</v>
      </c>
      <c r="W34" s="70">
        <v>187</v>
      </c>
      <c r="X34" s="70">
        <v>189</v>
      </c>
      <c r="Y34" s="70">
        <v>182</v>
      </c>
      <c r="Z34" s="70">
        <v>183</v>
      </c>
      <c r="AA34" s="70">
        <v>183</v>
      </c>
      <c r="AB34" s="70">
        <v>190</v>
      </c>
      <c r="AC34" s="70">
        <v>206</v>
      </c>
      <c r="AD34" s="70">
        <v>206</v>
      </c>
      <c r="AE34" s="157">
        <v>209</v>
      </c>
    </row>
    <row r="35" spans="1:32" ht="15" customHeight="1" x14ac:dyDescent="0.25">
      <c r="A35" s="156">
        <v>34</v>
      </c>
      <c r="B35" s="17" t="s">
        <v>44</v>
      </c>
      <c r="C35" s="70">
        <v>574</v>
      </c>
      <c r="D35" s="70">
        <v>585</v>
      </c>
      <c r="E35" s="70">
        <v>556</v>
      </c>
      <c r="F35" s="70">
        <v>566</v>
      </c>
      <c r="G35" s="70">
        <v>534</v>
      </c>
      <c r="H35" s="70">
        <v>518</v>
      </c>
      <c r="I35" s="70">
        <v>497</v>
      </c>
      <c r="J35" s="70">
        <v>526</v>
      </c>
      <c r="K35" s="70">
        <v>575</v>
      </c>
      <c r="L35" s="70">
        <v>614</v>
      </c>
      <c r="M35" s="70">
        <v>634</v>
      </c>
      <c r="N35" s="70">
        <v>655</v>
      </c>
      <c r="O35" s="70">
        <v>655</v>
      </c>
      <c r="P35" s="70">
        <v>636</v>
      </c>
      <c r="Q35" s="70">
        <v>640</v>
      </c>
      <c r="R35" s="70">
        <v>638</v>
      </c>
      <c r="S35" s="70">
        <v>631</v>
      </c>
      <c r="T35" s="70">
        <v>610</v>
      </c>
      <c r="U35" s="70">
        <v>601</v>
      </c>
      <c r="V35" s="70">
        <v>600</v>
      </c>
      <c r="W35" s="70">
        <v>592</v>
      </c>
      <c r="X35" s="70">
        <v>583</v>
      </c>
      <c r="Y35" s="70">
        <v>554</v>
      </c>
      <c r="Z35" s="70">
        <v>518</v>
      </c>
      <c r="AA35" s="70">
        <v>514</v>
      </c>
      <c r="AB35" s="70">
        <v>524</v>
      </c>
      <c r="AC35" s="70">
        <v>522</v>
      </c>
      <c r="AD35" s="70">
        <v>514</v>
      </c>
      <c r="AE35" s="157">
        <v>507</v>
      </c>
    </row>
    <row r="36" spans="1:32" ht="15" customHeight="1" x14ac:dyDescent="0.25">
      <c r="A36" s="156">
        <v>35</v>
      </c>
      <c r="B36" s="17" t="s">
        <v>45</v>
      </c>
      <c r="C36" s="70">
        <v>162</v>
      </c>
      <c r="D36" s="70">
        <v>156</v>
      </c>
      <c r="E36" s="70">
        <v>156</v>
      </c>
      <c r="F36" s="70">
        <v>151</v>
      </c>
      <c r="G36" s="70">
        <v>149</v>
      </c>
      <c r="H36" s="70">
        <v>131</v>
      </c>
      <c r="I36" s="70">
        <v>124</v>
      </c>
      <c r="J36" s="70">
        <v>131</v>
      </c>
      <c r="K36" s="70">
        <v>163</v>
      </c>
      <c r="L36" s="70">
        <v>177</v>
      </c>
      <c r="M36" s="70">
        <v>202</v>
      </c>
      <c r="N36" s="70">
        <v>224</v>
      </c>
      <c r="O36" s="70">
        <v>234</v>
      </c>
      <c r="P36" s="70">
        <v>228</v>
      </c>
      <c r="Q36" s="70">
        <v>229</v>
      </c>
      <c r="R36" s="70">
        <v>227</v>
      </c>
      <c r="S36" s="70">
        <v>221</v>
      </c>
      <c r="T36" s="70">
        <v>209</v>
      </c>
      <c r="U36" s="70">
        <v>194</v>
      </c>
      <c r="V36" s="70">
        <v>192</v>
      </c>
      <c r="W36" s="70">
        <v>195</v>
      </c>
      <c r="X36" s="70">
        <v>178</v>
      </c>
      <c r="Y36" s="70">
        <v>174</v>
      </c>
      <c r="Z36" s="70">
        <v>170</v>
      </c>
      <c r="AA36" s="70">
        <v>164</v>
      </c>
      <c r="AB36" s="70">
        <v>168</v>
      </c>
      <c r="AC36" s="70">
        <v>179</v>
      </c>
      <c r="AD36" s="70">
        <v>176</v>
      </c>
      <c r="AE36" s="157">
        <v>164</v>
      </c>
    </row>
    <row r="37" spans="1:32" ht="15" customHeight="1" x14ac:dyDescent="0.25">
      <c r="A37" s="156">
        <v>36</v>
      </c>
      <c r="B37" s="17" t="s">
        <v>46</v>
      </c>
      <c r="C37" s="70">
        <v>1240</v>
      </c>
      <c r="D37" s="70">
        <v>1215</v>
      </c>
      <c r="E37" s="70">
        <v>1191</v>
      </c>
      <c r="F37" s="70">
        <v>1173</v>
      </c>
      <c r="G37" s="70">
        <v>1047</v>
      </c>
      <c r="H37" s="70">
        <v>943</v>
      </c>
      <c r="I37" s="70">
        <v>851</v>
      </c>
      <c r="J37" s="70">
        <v>900</v>
      </c>
      <c r="K37" s="70">
        <v>1015</v>
      </c>
      <c r="L37" s="70">
        <v>1115</v>
      </c>
      <c r="M37" s="70">
        <v>1207</v>
      </c>
      <c r="N37" s="70">
        <v>1263</v>
      </c>
      <c r="O37" s="70">
        <v>1286</v>
      </c>
      <c r="P37" s="70">
        <v>1278</v>
      </c>
      <c r="Q37" s="70">
        <v>1296</v>
      </c>
      <c r="R37" s="70">
        <v>1302</v>
      </c>
      <c r="S37" s="70">
        <v>1292</v>
      </c>
      <c r="T37" s="70">
        <v>1287</v>
      </c>
      <c r="U37" s="70">
        <v>1290</v>
      </c>
      <c r="V37" s="70">
        <v>1279</v>
      </c>
      <c r="W37" s="70">
        <v>1281</v>
      </c>
      <c r="X37" s="70">
        <v>1285</v>
      </c>
      <c r="Y37" s="70">
        <v>1223</v>
      </c>
      <c r="Z37" s="70">
        <v>1161</v>
      </c>
      <c r="AA37" s="70">
        <v>1129</v>
      </c>
      <c r="AB37" s="70">
        <v>1145</v>
      </c>
      <c r="AC37" s="70">
        <v>1208</v>
      </c>
      <c r="AD37" s="70">
        <v>1210</v>
      </c>
      <c r="AE37" s="157">
        <v>1200</v>
      </c>
    </row>
    <row r="38" spans="1:32" ht="15" customHeight="1" thickBot="1" x14ac:dyDescent="0.3">
      <c r="A38" s="152">
        <v>37</v>
      </c>
      <c r="B38" s="15" t="s">
        <v>47</v>
      </c>
      <c r="C38" s="68">
        <v>26</v>
      </c>
      <c r="D38" s="68">
        <v>29</v>
      </c>
      <c r="E38" s="68">
        <v>27</v>
      </c>
      <c r="F38" s="68">
        <v>29</v>
      </c>
      <c r="G38" s="68">
        <v>31</v>
      </c>
      <c r="H38" s="68">
        <v>30</v>
      </c>
      <c r="I38" s="68">
        <v>34</v>
      </c>
      <c r="J38" s="68">
        <v>39</v>
      </c>
      <c r="K38" s="68">
        <v>39</v>
      </c>
      <c r="L38" s="68">
        <v>47</v>
      </c>
      <c r="M38" s="68">
        <v>55</v>
      </c>
      <c r="N38" s="68">
        <v>75</v>
      </c>
      <c r="O38" s="68">
        <v>84</v>
      </c>
      <c r="P38" s="68">
        <v>78</v>
      </c>
      <c r="Q38" s="68">
        <v>78</v>
      </c>
      <c r="R38" s="68">
        <v>75</v>
      </c>
      <c r="S38" s="68">
        <v>82</v>
      </c>
      <c r="T38" s="68">
        <v>82</v>
      </c>
      <c r="U38" s="68">
        <v>80</v>
      </c>
      <c r="V38" s="68">
        <v>84</v>
      </c>
      <c r="W38" s="68">
        <v>79</v>
      </c>
      <c r="X38" s="68">
        <v>73</v>
      </c>
      <c r="Y38" s="68">
        <v>72</v>
      </c>
      <c r="Z38" s="68">
        <v>71</v>
      </c>
      <c r="AA38" s="68">
        <v>71</v>
      </c>
      <c r="AB38" s="68">
        <v>76</v>
      </c>
      <c r="AC38" s="68">
        <v>86</v>
      </c>
      <c r="AD38" s="68">
        <v>85</v>
      </c>
      <c r="AE38" s="153">
        <v>82</v>
      </c>
    </row>
    <row r="39" spans="1:32" s="11" customFormat="1" ht="15" customHeight="1" thickBot="1" x14ac:dyDescent="0.3">
      <c r="A39" s="144" t="s">
        <v>48</v>
      </c>
      <c r="B39" s="9" t="s">
        <v>49</v>
      </c>
      <c r="C39" s="64">
        <v>33</v>
      </c>
      <c r="D39" s="64">
        <v>27</v>
      </c>
      <c r="E39" s="64">
        <v>27</v>
      </c>
      <c r="F39" s="64">
        <v>34</v>
      </c>
      <c r="G39" s="64">
        <v>35</v>
      </c>
      <c r="H39" s="64">
        <v>34</v>
      </c>
      <c r="I39" s="64">
        <v>31</v>
      </c>
      <c r="J39" s="64">
        <v>30</v>
      </c>
      <c r="K39" s="64">
        <v>31</v>
      </c>
      <c r="L39" s="64">
        <v>34</v>
      </c>
      <c r="M39" s="64">
        <v>34</v>
      </c>
      <c r="N39" s="64">
        <v>35</v>
      </c>
      <c r="O39" s="64">
        <v>33</v>
      </c>
      <c r="P39" s="64">
        <v>33</v>
      </c>
      <c r="Q39" s="64">
        <v>35</v>
      </c>
      <c r="R39" s="64">
        <v>35</v>
      </c>
      <c r="S39" s="64">
        <v>40</v>
      </c>
      <c r="T39" s="64">
        <v>39</v>
      </c>
      <c r="U39" s="64">
        <v>36</v>
      </c>
      <c r="V39" s="64">
        <v>40</v>
      </c>
      <c r="W39" s="64">
        <v>38</v>
      </c>
      <c r="X39" s="64">
        <v>43</v>
      </c>
      <c r="Y39" s="64">
        <v>49</v>
      </c>
      <c r="Z39" s="64">
        <v>44</v>
      </c>
      <c r="AA39" s="64">
        <v>41</v>
      </c>
      <c r="AB39" s="64">
        <v>48</v>
      </c>
      <c r="AC39" s="64">
        <v>66</v>
      </c>
      <c r="AD39" s="64">
        <v>54</v>
      </c>
      <c r="AE39" s="145">
        <v>64</v>
      </c>
      <c r="AF39" s="10"/>
    </row>
    <row r="40" spans="1:32" ht="15" customHeight="1" x14ac:dyDescent="0.25">
      <c r="A40" s="146">
        <v>40</v>
      </c>
      <c r="B40" s="12" t="s">
        <v>50</v>
      </c>
      <c r="C40" s="65">
        <v>21</v>
      </c>
      <c r="D40" s="65">
        <v>14</v>
      </c>
      <c r="E40" s="65">
        <v>16</v>
      </c>
      <c r="F40" s="65">
        <v>21</v>
      </c>
      <c r="G40" s="65">
        <v>22</v>
      </c>
      <c r="H40" s="65">
        <v>20</v>
      </c>
      <c r="I40" s="65">
        <v>18</v>
      </c>
      <c r="J40" s="65">
        <v>18</v>
      </c>
      <c r="K40" s="65">
        <v>18</v>
      </c>
      <c r="L40" s="65">
        <v>20</v>
      </c>
      <c r="M40" s="65">
        <v>18</v>
      </c>
      <c r="N40" s="65">
        <v>20</v>
      </c>
      <c r="O40" s="65">
        <v>19</v>
      </c>
      <c r="P40" s="65">
        <v>20</v>
      </c>
      <c r="Q40" s="65">
        <v>23</v>
      </c>
      <c r="R40" s="65">
        <v>23</v>
      </c>
      <c r="S40" s="65">
        <v>28</v>
      </c>
      <c r="T40" s="65">
        <v>27</v>
      </c>
      <c r="U40" s="65">
        <v>24</v>
      </c>
      <c r="V40" s="65">
        <v>27</v>
      </c>
      <c r="W40" s="65">
        <v>25</v>
      </c>
      <c r="X40" s="65">
        <v>31</v>
      </c>
      <c r="Y40" s="65">
        <v>36</v>
      </c>
      <c r="Z40" s="65">
        <v>31</v>
      </c>
      <c r="AA40" s="65">
        <v>28</v>
      </c>
      <c r="AB40" s="65">
        <v>34</v>
      </c>
      <c r="AC40" s="65">
        <v>45</v>
      </c>
      <c r="AD40" s="65">
        <v>35</v>
      </c>
      <c r="AE40" s="147">
        <v>46</v>
      </c>
    </row>
    <row r="41" spans="1:32" ht="15" customHeight="1" thickBot="1" x14ac:dyDescent="0.3">
      <c r="A41" s="158">
        <v>41</v>
      </c>
      <c r="B41" s="18" t="s">
        <v>51</v>
      </c>
      <c r="C41" s="71">
        <v>12</v>
      </c>
      <c r="D41" s="71">
        <v>13</v>
      </c>
      <c r="E41" s="71">
        <v>11</v>
      </c>
      <c r="F41" s="71">
        <v>13</v>
      </c>
      <c r="G41" s="71">
        <v>13</v>
      </c>
      <c r="H41" s="71">
        <v>14</v>
      </c>
      <c r="I41" s="71">
        <v>13</v>
      </c>
      <c r="J41" s="71">
        <v>12</v>
      </c>
      <c r="K41" s="71">
        <v>13</v>
      </c>
      <c r="L41" s="71">
        <v>14</v>
      </c>
      <c r="M41" s="71">
        <v>16</v>
      </c>
      <c r="N41" s="71">
        <v>15</v>
      </c>
      <c r="O41" s="71">
        <v>14</v>
      </c>
      <c r="P41" s="71">
        <v>13</v>
      </c>
      <c r="Q41" s="71">
        <v>12</v>
      </c>
      <c r="R41" s="71">
        <v>12</v>
      </c>
      <c r="S41" s="71">
        <v>12</v>
      </c>
      <c r="T41" s="71">
        <v>12</v>
      </c>
      <c r="U41" s="71">
        <v>12</v>
      </c>
      <c r="V41" s="71">
        <v>13</v>
      </c>
      <c r="W41" s="71">
        <v>13</v>
      </c>
      <c r="X41" s="71">
        <v>12</v>
      </c>
      <c r="Y41" s="71">
        <v>13</v>
      </c>
      <c r="Z41" s="71">
        <v>13</v>
      </c>
      <c r="AA41" s="71">
        <v>13</v>
      </c>
      <c r="AB41" s="71">
        <v>14</v>
      </c>
      <c r="AC41" s="71">
        <v>21</v>
      </c>
      <c r="AD41" s="71">
        <v>19</v>
      </c>
      <c r="AE41" s="159">
        <v>18</v>
      </c>
    </row>
    <row r="42" spans="1:32" s="11" customFormat="1" ht="15" customHeight="1" thickBot="1" x14ac:dyDescent="0.3">
      <c r="A42" s="160" t="s">
        <v>52</v>
      </c>
      <c r="B42" s="19" t="s">
        <v>53</v>
      </c>
      <c r="C42" s="64">
        <v>2916</v>
      </c>
      <c r="D42" s="64">
        <v>3073</v>
      </c>
      <c r="E42" s="64">
        <v>3261</v>
      </c>
      <c r="F42" s="64">
        <v>3359</v>
      </c>
      <c r="G42" s="64">
        <v>3039</v>
      </c>
      <c r="H42" s="64">
        <v>2539</v>
      </c>
      <c r="I42" s="64">
        <v>2079</v>
      </c>
      <c r="J42" s="64">
        <v>2487</v>
      </c>
      <c r="K42" s="64">
        <v>3079</v>
      </c>
      <c r="L42" s="64">
        <v>3622</v>
      </c>
      <c r="M42" s="64">
        <v>4213</v>
      </c>
      <c r="N42" s="64">
        <v>4732</v>
      </c>
      <c r="O42" s="64">
        <v>4992</v>
      </c>
      <c r="P42" s="64">
        <v>4898</v>
      </c>
      <c r="Q42" s="64">
        <v>5018</v>
      </c>
      <c r="R42" s="64">
        <v>5261</v>
      </c>
      <c r="S42" s="64">
        <v>5243</v>
      </c>
      <c r="T42" s="64">
        <v>5300</v>
      </c>
      <c r="U42" s="64">
        <v>5218</v>
      </c>
      <c r="V42" s="64">
        <v>5279</v>
      </c>
      <c r="W42" s="64">
        <v>5192</v>
      </c>
      <c r="X42" s="64">
        <v>5197</v>
      </c>
      <c r="Y42" s="64">
        <v>5173</v>
      </c>
      <c r="Z42" s="64">
        <v>5206</v>
      </c>
      <c r="AA42" s="64">
        <v>4795</v>
      </c>
      <c r="AB42" s="64">
        <v>4910</v>
      </c>
      <c r="AC42" s="64">
        <v>5404</v>
      </c>
      <c r="AD42" s="64">
        <v>5316</v>
      </c>
      <c r="AE42" s="145">
        <v>4958</v>
      </c>
      <c r="AF42" s="10"/>
    </row>
    <row r="43" spans="1:32" ht="15" customHeight="1" thickBot="1" x14ac:dyDescent="0.3">
      <c r="A43" s="150">
        <v>45</v>
      </c>
      <c r="B43" s="14" t="s">
        <v>54</v>
      </c>
      <c r="C43" s="67">
        <v>2916</v>
      </c>
      <c r="D43" s="67">
        <v>3073</v>
      </c>
      <c r="E43" s="67">
        <v>3261</v>
      </c>
      <c r="F43" s="67">
        <v>3359</v>
      </c>
      <c r="G43" s="67">
        <v>3039</v>
      </c>
      <c r="H43" s="67">
        <v>2539</v>
      </c>
      <c r="I43" s="67">
        <v>2079</v>
      </c>
      <c r="J43" s="67">
        <v>2487</v>
      </c>
      <c r="K43" s="67">
        <v>3079</v>
      </c>
      <c r="L43" s="67">
        <v>3622</v>
      </c>
      <c r="M43" s="67">
        <v>4213</v>
      </c>
      <c r="N43" s="67">
        <v>4732</v>
      </c>
      <c r="O43" s="67">
        <v>4992</v>
      </c>
      <c r="P43" s="67">
        <v>4898</v>
      </c>
      <c r="Q43" s="67">
        <v>5018</v>
      </c>
      <c r="R43" s="67">
        <v>5261</v>
      </c>
      <c r="S43" s="67">
        <v>5243</v>
      </c>
      <c r="T43" s="67">
        <v>5300</v>
      </c>
      <c r="U43" s="67">
        <v>5218</v>
      </c>
      <c r="V43" s="67">
        <v>5279</v>
      </c>
      <c r="W43" s="67">
        <v>5192</v>
      </c>
      <c r="X43" s="67">
        <v>5197</v>
      </c>
      <c r="Y43" s="67">
        <v>5173</v>
      </c>
      <c r="Z43" s="67">
        <v>5206</v>
      </c>
      <c r="AA43" s="67">
        <v>4795</v>
      </c>
      <c r="AB43" s="67">
        <v>4910</v>
      </c>
      <c r="AC43" s="67">
        <v>5404</v>
      </c>
      <c r="AD43" s="67">
        <v>5316</v>
      </c>
      <c r="AE43" s="151">
        <v>4958</v>
      </c>
    </row>
    <row r="44" spans="1:32" s="11" customFormat="1" ht="15" customHeight="1" thickBot="1" x14ac:dyDescent="0.3">
      <c r="A44" s="144" t="s">
        <v>55</v>
      </c>
      <c r="B44" s="9" t="s">
        <v>56</v>
      </c>
      <c r="C44" s="64">
        <v>16547</v>
      </c>
      <c r="D44" s="64">
        <v>16463</v>
      </c>
      <c r="E44" s="64">
        <v>16158</v>
      </c>
      <c r="F44" s="64">
        <v>16367</v>
      </c>
      <c r="G44" s="64">
        <v>15421</v>
      </c>
      <c r="H44" s="64">
        <v>14717</v>
      </c>
      <c r="I44" s="64">
        <v>13715</v>
      </c>
      <c r="J44" s="64">
        <v>14873</v>
      </c>
      <c r="K44" s="64">
        <v>18619</v>
      </c>
      <c r="L44" s="64">
        <v>20620</v>
      </c>
      <c r="M44" s="64">
        <v>23178</v>
      </c>
      <c r="N44" s="64">
        <v>24668</v>
      </c>
      <c r="O44" s="64">
        <v>26188</v>
      </c>
      <c r="P44" s="64">
        <v>27170</v>
      </c>
      <c r="Q44" s="64">
        <v>28105</v>
      </c>
      <c r="R44" s="64">
        <v>28671</v>
      </c>
      <c r="S44" s="64">
        <v>28970</v>
      </c>
      <c r="T44" s="64">
        <v>29507</v>
      </c>
      <c r="U44" s="64">
        <v>29590</v>
      </c>
      <c r="V44" s="64">
        <v>30139</v>
      </c>
      <c r="W44" s="64">
        <v>30545</v>
      </c>
      <c r="X44" s="64">
        <v>31170</v>
      </c>
      <c r="Y44" s="64">
        <v>30682</v>
      </c>
      <c r="Z44" s="64">
        <v>30127</v>
      </c>
      <c r="AA44" s="64">
        <v>28832</v>
      </c>
      <c r="AB44" s="64">
        <v>29068</v>
      </c>
      <c r="AC44" s="64">
        <v>32908</v>
      </c>
      <c r="AD44" s="64">
        <v>33852</v>
      </c>
      <c r="AE44" s="145">
        <v>34017</v>
      </c>
      <c r="AF44" s="10"/>
    </row>
    <row r="45" spans="1:32" ht="15" customHeight="1" x14ac:dyDescent="0.25">
      <c r="A45" s="146">
        <v>50</v>
      </c>
      <c r="B45" s="12" t="s">
        <v>57</v>
      </c>
      <c r="C45" s="65">
        <v>2819</v>
      </c>
      <c r="D45" s="65">
        <v>2843</v>
      </c>
      <c r="E45" s="65">
        <v>2777</v>
      </c>
      <c r="F45" s="65">
        <v>2771</v>
      </c>
      <c r="G45" s="65">
        <v>2547</v>
      </c>
      <c r="H45" s="65">
        <v>2433</v>
      </c>
      <c r="I45" s="65">
        <v>2267</v>
      </c>
      <c r="J45" s="65">
        <v>2443</v>
      </c>
      <c r="K45" s="65">
        <v>2946</v>
      </c>
      <c r="L45" s="65">
        <v>3164</v>
      </c>
      <c r="M45" s="65">
        <v>3430</v>
      </c>
      <c r="N45" s="65">
        <v>3607</v>
      </c>
      <c r="O45" s="65">
        <v>3754</v>
      </c>
      <c r="P45" s="65">
        <v>3824</v>
      </c>
      <c r="Q45" s="65">
        <v>3884</v>
      </c>
      <c r="R45" s="65">
        <v>3887</v>
      </c>
      <c r="S45" s="65">
        <v>3886</v>
      </c>
      <c r="T45" s="65">
        <v>3911</v>
      </c>
      <c r="U45" s="65">
        <v>3888</v>
      </c>
      <c r="V45" s="65">
        <v>3923</v>
      </c>
      <c r="W45" s="65">
        <v>3908</v>
      </c>
      <c r="X45" s="65">
        <v>3928</v>
      </c>
      <c r="Y45" s="65">
        <v>3885</v>
      </c>
      <c r="Z45" s="65">
        <v>3844</v>
      </c>
      <c r="AA45" s="65">
        <v>3724</v>
      </c>
      <c r="AB45" s="65">
        <v>3774</v>
      </c>
      <c r="AC45" s="65">
        <v>4090</v>
      </c>
      <c r="AD45" s="65">
        <v>4140</v>
      </c>
      <c r="AE45" s="147">
        <v>4149</v>
      </c>
    </row>
    <row r="46" spans="1:32" ht="15" customHeight="1" x14ac:dyDescent="0.25">
      <c r="A46" s="156">
        <v>51</v>
      </c>
      <c r="B46" s="17" t="s">
        <v>58</v>
      </c>
      <c r="C46" s="70">
        <v>4063</v>
      </c>
      <c r="D46" s="70">
        <v>4065</v>
      </c>
      <c r="E46" s="70">
        <v>3964</v>
      </c>
      <c r="F46" s="70">
        <v>4264</v>
      </c>
      <c r="G46" s="70">
        <v>3882</v>
      </c>
      <c r="H46" s="70">
        <v>3684</v>
      </c>
      <c r="I46" s="70">
        <v>3458</v>
      </c>
      <c r="J46" s="70">
        <v>3680</v>
      </c>
      <c r="K46" s="70">
        <v>4143</v>
      </c>
      <c r="L46" s="70">
        <v>4520</v>
      </c>
      <c r="M46" s="70">
        <v>4951</v>
      </c>
      <c r="N46" s="70">
        <v>5158</v>
      </c>
      <c r="O46" s="70">
        <v>5421</v>
      </c>
      <c r="P46" s="70">
        <v>5572</v>
      </c>
      <c r="Q46" s="70">
        <v>5711</v>
      </c>
      <c r="R46" s="70">
        <v>5835</v>
      </c>
      <c r="S46" s="70">
        <v>5952</v>
      </c>
      <c r="T46" s="70">
        <v>6126</v>
      </c>
      <c r="U46" s="70">
        <v>6147</v>
      </c>
      <c r="V46" s="70">
        <v>6250</v>
      </c>
      <c r="W46" s="70">
        <v>6279</v>
      </c>
      <c r="X46" s="70">
        <v>6362</v>
      </c>
      <c r="Y46" s="70">
        <v>6335</v>
      </c>
      <c r="Z46" s="70">
        <v>6338</v>
      </c>
      <c r="AA46" s="70">
        <v>6355</v>
      </c>
      <c r="AB46" s="70">
        <v>6571</v>
      </c>
      <c r="AC46" s="70">
        <v>7264</v>
      </c>
      <c r="AD46" s="70">
        <v>7480</v>
      </c>
      <c r="AE46" s="157">
        <v>7510</v>
      </c>
    </row>
    <row r="47" spans="1:32" ht="15" customHeight="1" thickBot="1" x14ac:dyDescent="0.3">
      <c r="A47" s="158">
        <v>52</v>
      </c>
      <c r="B47" s="18" t="s">
        <v>59</v>
      </c>
      <c r="C47" s="71">
        <v>9665</v>
      </c>
      <c r="D47" s="71">
        <v>9555</v>
      </c>
      <c r="E47" s="71">
        <v>9417</v>
      </c>
      <c r="F47" s="71">
        <v>9332</v>
      </c>
      <c r="G47" s="71">
        <v>8992</v>
      </c>
      <c r="H47" s="71">
        <v>8600</v>
      </c>
      <c r="I47" s="71">
        <v>7990</v>
      </c>
      <c r="J47" s="71">
        <v>8750</v>
      </c>
      <c r="K47" s="71">
        <v>11530</v>
      </c>
      <c r="L47" s="71">
        <v>12936</v>
      </c>
      <c r="M47" s="71">
        <v>14797</v>
      </c>
      <c r="N47" s="71">
        <v>15903</v>
      </c>
      <c r="O47" s="71">
        <v>17013</v>
      </c>
      <c r="P47" s="71">
        <v>17774</v>
      </c>
      <c r="Q47" s="71">
        <v>18510</v>
      </c>
      <c r="R47" s="71">
        <v>18949</v>
      </c>
      <c r="S47" s="71">
        <v>19132</v>
      </c>
      <c r="T47" s="71">
        <v>19470</v>
      </c>
      <c r="U47" s="71">
        <v>19555</v>
      </c>
      <c r="V47" s="71">
        <v>19966</v>
      </c>
      <c r="W47" s="71">
        <v>20358</v>
      </c>
      <c r="X47" s="71">
        <v>20880</v>
      </c>
      <c r="Y47" s="71">
        <v>20462</v>
      </c>
      <c r="Z47" s="71">
        <v>19945</v>
      </c>
      <c r="AA47" s="71">
        <v>18753</v>
      </c>
      <c r="AB47" s="71">
        <v>18723</v>
      </c>
      <c r="AC47" s="71">
        <v>21554</v>
      </c>
      <c r="AD47" s="71">
        <v>22232</v>
      </c>
      <c r="AE47" s="159">
        <v>22358</v>
      </c>
    </row>
    <row r="48" spans="1:32" s="11" customFormat="1" ht="15" customHeight="1" thickBot="1" x14ac:dyDescent="0.3">
      <c r="A48" s="160" t="s">
        <v>60</v>
      </c>
      <c r="B48" s="19" t="s">
        <v>61</v>
      </c>
      <c r="C48" s="64">
        <v>1754</v>
      </c>
      <c r="D48" s="64">
        <v>1734</v>
      </c>
      <c r="E48" s="64">
        <v>1783</v>
      </c>
      <c r="F48" s="64">
        <v>1653</v>
      </c>
      <c r="G48" s="64">
        <v>1371</v>
      </c>
      <c r="H48" s="64">
        <v>1280</v>
      </c>
      <c r="I48" s="64">
        <v>1178</v>
      </c>
      <c r="J48" s="64">
        <v>1311</v>
      </c>
      <c r="K48" s="64">
        <v>1789</v>
      </c>
      <c r="L48" s="64">
        <v>2039</v>
      </c>
      <c r="M48" s="64">
        <v>2337</v>
      </c>
      <c r="N48" s="64">
        <v>2580</v>
      </c>
      <c r="O48" s="64">
        <v>2822</v>
      </c>
      <c r="P48" s="64">
        <v>3005</v>
      </c>
      <c r="Q48" s="64">
        <v>3073</v>
      </c>
      <c r="R48" s="64">
        <v>3201</v>
      </c>
      <c r="S48" s="64">
        <v>3298</v>
      </c>
      <c r="T48" s="64">
        <v>3397</v>
      </c>
      <c r="U48" s="64">
        <v>3431</v>
      </c>
      <c r="V48" s="64">
        <v>3602</v>
      </c>
      <c r="W48" s="64">
        <v>3732</v>
      </c>
      <c r="X48" s="64">
        <v>3968</v>
      </c>
      <c r="Y48" s="64">
        <v>4033</v>
      </c>
      <c r="Z48" s="64">
        <v>3961</v>
      </c>
      <c r="AA48" s="64">
        <v>3501</v>
      </c>
      <c r="AB48" s="64">
        <v>3623</v>
      </c>
      <c r="AC48" s="64">
        <v>4599</v>
      </c>
      <c r="AD48" s="64">
        <v>4873</v>
      </c>
      <c r="AE48" s="145">
        <v>4877</v>
      </c>
      <c r="AF48" s="10"/>
    </row>
    <row r="49" spans="1:32" ht="15" customHeight="1" thickBot="1" x14ac:dyDescent="0.3">
      <c r="A49" s="150">
        <v>55</v>
      </c>
      <c r="B49" s="14" t="s">
        <v>62</v>
      </c>
      <c r="C49" s="67">
        <v>1754</v>
      </c>
      <c r="D49" s="67">
        <v>1734</v>
      </c>
      <c r="E49" s="67">
        <v>1783</v>
      </c>
      <c r="F49" s="67">
        <v>1653</v>
      </c>
      <c r="G49" s="67">
        <v>1371</v>
      </c>
      <c r="H49" s="67">
        <v>1280</v>
      </c>
      <c r="I49" s="67">
        <v>1178</v>
      </c>
      <c r="J49" s="67">
        <v>1311</v>
      </c>
      <c r="K49" s="67">
        <v>1789</v>
      </c>
      <c r="L49" s="67">
        <v>2039</v>
      </c>
      <c r="M49" s="67">
        <v>2337</v>
      </c>
      <c r="N49" s="67">
        <v>2580</v>
      </c>
      <c r="O49" s="67">
        <v>2822</v>
      </c>
      <c r="P49" s="67">
        <v>3005</v>
      </c>
      <c r="Q49" s="67">
        <v>3073</v>
      </c>
      <c r="R49" s="67">
        <v>3201</v>
      </c>
      <c r="S49" s="67">
        <v>3298</v>
      </c>
      <c r="T49" s="67">
        <v>3397</v>
      </c>
      <c r="U49" s="67">
        <v>3431</v>
      </c>
      <c r="V49" s="67">
        <v>3602</v>
      </c>
      <c r="W49" s="67">
        <v>3732</v>
      </c>
      <c r="X49" s="67">
        <v>3968</v>
      </c>
      <c r="Y49" s="67">
        <v>4033</v>
      </c>
      <c r="Z49" s="67">
        <v>3961</v>
      </c>
      <c r="AA49" s="67">
        <v>3501</v>
      </c>
      <c r="AB49" s="67">
        <v>3623</v>
      </c>
      <c r="AC49" s="67">
        <v>4599</v>
      </c>
      <c r="AD49" s="67">
        <v>4873</v>
      </c>
      <c r="AE49" s="151">
        <v>4877</v>
      </c>
    </row>
    <row r="50" spans="1:32" s="11" customFormat="1" ht="15" customHeight="1" thickBot="1" x14ac:dyDescent="0.3">
      <c r="A50" s="144" t="s">
        <v>63</v>
      </c>
      <c r="B50" s="9" t="s">
        <v>64</v>
      </c>
      <c r="C50" s="64">
        <v>3264</v>
      </c>
      <c r="D50" s="64">
        <v>3145</v>
      </c>
      <c r="E50" s="64">
        <v>3313</v>
      </c>
      <c r="F50" s="64">
        <v>3599</v>
      </c>
      <c r="G50" s="64">
        <v>3264</v>
      </c>
      <c r="H50" s="64">
        <v>3048</v>
      </c>
      <c r="I50" s="64">
        <v>2817</v>
      </c>
      <c r="J50" s="64">
        <v>3057</v>
      </c>
      <c r="K50" s="64">
        <v>3848</v>
      </c>
      <c r="L50" s="64">
        <v>4349</v>
      </c>
      <c r="M50" s="64">
        <v>4998</v>
      </c>
      <c r="N50" s="64">
        <v>5436</v>
      </c>
      <c r="O50" s="64">
        <v>5795</v>
      </c>
      <c r="P50" s="64">
        <v>5826</v>
      </c>
      <c r="Q50" s="64">
        <v>6049</v>
      </c>
      <c r="R50" s="64">
        <v>6284</v>
      </c>
      <c r="S50" s="64">
        <v>6356</v>
      </c>
      <c r="T50" s="64">
        <v>6437</v>
      </c>
      <c r="U50" s="64">
        <v>6376</v>
      </c>
      <c r="V50" s="64">
        <v>6446</v>
      </c>
      <c r="W50" s="64">
        <v>6412</v>
      </c>
      <c r="X50" s="64">
        <v>6394</v>
      </c>
      <c r="Y50" s="64">
        <v>6213</v>
      </c>
      <c r="Z50" s="64">
        <v>5872</v>
      </c>
      <c r="AA50" s="64">
        <v>5575</v>
      </c>
      <c r="AB50" s="64">
        <v>5522</v>
      </c>
      <c r="AC50" s="64">
        <v>6116</v>
      </c>
      <c r="AD50" s="64">
        <v>6129</v>
      </c>
      <c r="AE50" s="145">
        <v>6061</v>
      </c>
      <c r="AF50" s="10"/>
    </row>
    <row r="51" spans="1:32" ht="15" customHeight="1" x14ac:dyDescent="0.25">
      <c r="A51" s="152">
        <v>60</v>
      </c>
      <c r="B51" s="15" t="s">
        <v>65</v>
      </c>
      <c r="C51" s="68">
        <v>2472</v>
      </c>
      <c r="D51" s="68">
        <v>2302</v>
      </c>
      <c r="E51" s="68">
        <v>2387</v>
      </c>
      <c r="F51" s="68">
        <v>2637</v>
      </c>
      <c r="G51" s="68">
        <v>2436</v>
      </c>
      <c r="H51" s="68">
        <v>2225</v>
      </c>
      <c r="I51" s="68">
        <v>2071</v>
      </c>
      <c r="J51" s="68">
        <v>2245</v>
      </c>
      <c r="K51" s="68">
        <v>2804</v>
      </c>
      <c r="L51" s="68">
        <v>3252</v>
      </c>
      <c r="M51" s="68">
        <v>3821</v>
      </c>
      <c r="N51" s="68">
        <v>4199</v>
      </c>
      <c r="O51" s="68">
        <v>4504</v>
      </c>
      <c r="P51" s="68">
        <v>4510</v>
      </c>
      <c r="Q51" s="68">
        <v>4689</v>
      </c>
      <c r="R51" s="68">
        <v>4871</v>
      </c>
      <c r="S51" s="68">
        <v>4920</v>
      </c>
      <c r="T51" s="68">
        <v>4979</v>
      </c>
      <c r="U51" s="68">
        <v>4888</v>
      </c>
      <c r="V51" s="68">
        <v>4897</v>
      </c>
      <c r="W51" s="68">
        <v>4829</v>
      </c>
      <c r="X51" s="68">
        <v>4779</v>
      </c>
      <c r="Y51" s="68">
        <v>4635</v>
      </c>
      <c r="Z51" s="68">
        <v>4300</v>
      </c>
      <c r="AA51" s="68">
        <v>4059</v>
      </c>
      <c r="AB51" s="68">
        <v>4023</v>
      </c>
      <c r="AC51" s="68">
        <v>4332</v>
      </c>
      <c r="AD51" s="68">
        <v>4324</v>
      </c>
      <c r="AE51" s="153">
        <v>4243</v>
      </c>
    </row>
    <row r="52" spans="1:32" ht="15" customHeight="1" x14ac:dyDescent="0.25">
      <c r="A52" s="161">
        <v>61</v>
      </c>
      <c r="B52" s="20" t="s">
        <v>66</v>
      </c>
      <c r="C52" s="73">
        <v>30</v>
      </c>
      <c r="D52" s="73">
        <v>31</v>
      </c>
      <c r="E52" s="73">
        <v>31</v>
      </c>
      <c r="F52" s="73">
        <v>31</v>
      </c>
      <c r="G52" s="73">
        <v>31</v>
      </c>
      <c r="H52" s="73">
        <v>28</v>
      </c>
      <c r="I52" s="73">
        <v>27</v>
      </c>
      <c r="J52" s="73">
        <v>29</v>
      </c>
      <c r="K52" s="73">
        <v>40</v>
      </c>
      <c r="L52" s="73">
        <v>46</v>
      </c>
      <c r="M52" s="73">
        <v>46</v>
      </c>
      <c r="N52" s="73">
        <v>44</v>
      </c>
      <c r="O52" s="73">
        <v>50</v>
      </c>
      <c r="P52" s="73">
        <v>58</v>
      </c>
      <c r="Q52" s="73">
        <v>62</v>
      </c>
      <c r="R52" s="73">
        <v>67</v>
      </c>
      <c r="S52" s="73">
        <v>66</v>
      </c>
      <c r="T52" s="73">
        <v>62</v>
      </c>
      <c r="U52" s="73">
        <v>60</v>
      </c>
      <c r="V52" s="73">
        <v>61</v>
      </c>
      <c r="W52" s="73">
        <v>60</v>
      </c>
      <c r="X52" s="73">
        <v>61</v>
      </c>
      <c r="Y52" s="73">
        <v>59</v>
      </c>
      <c r="Z52" s="73">
        <v>59</v>
      </c>
      <c r="AA52" s="73">
        <v>58</v>
      </c>
      <c r="AB52" s="73">
        <v>53</v>
      </c>
      <c r="AC52" s="73">
        <v>56</v>
      </c>
      <c r="AD52" s="73">
        <v>62</v>
      </c>
      <c r="AE52" s="162">
        <v>55</v>
      </c>
    </row>
    <row r="53" spans="1:32" ht="15" customHeight="1" x14ac:dyDescent="0.25">
      <c r="A53" s="152">
        <v>62</v>
      </c>
      <c r="B53" s="15" t="s">
        <v>67</v>
      </c>
      <c r="C53" s="68">
        <v>16</v>
      </c>
      <c r="D53" s="68">
        <v>20</v>
      </c>
      <c r="E53" s="68">
        <v>22</v>
      </c>
      <c r="F53" s="68">
        <v>23</v>
      </c>
      <c r="G53" s="68">
        <v>18</v>
      </c>
      <c r="H53" s="68">
        <v>18</v>
      </c>
      <c r="I53" s="68">
        <v>18</v>
      </c>
      <c r="J53" s="68">
        <v>21</v>
      </c>
      <c r="K53" s="68">
        <v>24</v>
      </c>
      <c r="L53" s="68">
        <v>22</v>
      </c>
      <c r="M53" s="68">
        <v>23</v>
      </c>
      <c r="N53" s="68">
        <v>28</v>
      </c>
      <c r="O53" s="68">
        <v>29</v>
      </c>
      <c r="P53" s="68">
        <v>28</v>
      </c>
      <c r="Q53" s="68">
        <v>28</v>
      </c>
      <c r="R53" s="68">
        <v>33</v>
      </c>
      <c r="S53" s="68">
        <v>34</v>
      </c>
      <c r="T53" s="68">
        <v>34</v>
      </c>
      <c r="U53" s="68">
        <v>35</v>
      </c>
      <c r="V53" s="68">
        <v>34</v>
      </c>
      <c r="W53" s="68">
        <v>37</v>
      </c>
      <c r="X53" s="68">
        <v>39</v>
      </c>
      <c r="Y53" s="68">
        <v>46</v>
      </c>
      <c r="Z53" s="68">
        <v>45</v>
      </c>
      <c r="AA53" s="68">
        <v>47</v>
      </c>
      <c r="AB53" s="68">
        <v>44</v>
      </c>
      <c r="AC53" s="68">
        <v>47</v>
      </c>
      <c r="AD53" s="68">
        <v>46</v>
      </c>
      <c r="AE53" s="153">
        <v>42</v>
      </c>
    </row>
    <row r="54" spans="1:32" ht="15" customHeight="1" x14ac:dyDescent="0.25">
      <c r="A54" s="163">
        <v>63</v>
      </c>
      <c r="B54" s="21" t="s">
        <v>68</v>
      </c>
      <c r="C54" s="74">
        <v>546</v>
      </c>
      <c r="D54" s="74">
        <v>581</v>
      </c>
      <c r="E54" s="74">
        <v>653</v>
      </c>
      <c r="F54" s="74">
        <v>638</v>
      </c>
      <c r="G54" s="74">
        <v>534</v>
      </c>
      <c r="H54" s="74">
        <v>518</v>
      </c>
      <c r="I54" s="74">
        <v>473</v>
      </c>
      <c r="J54" s="74">
        <v>508</v>
      </c>
      <c r="K54" s="74">
        <v>684</v>
      </c>
      <c r="L54" s="74">
        <v>742</v>
      </c>
      <c r="M54" s="74">
        <v>813</v>
      </c>
      <c r="N54" s="74">
        <v>880</v>
      </c>
      <c r="O54" s="74">
        <v>932</v>
      </c>
      <c r="P54" s="74">
        <v>960</v>
      </c>
      <c r="Q54" s="74">
        <v>992</v>
      </c>
      <c r="R54" s="74">
        <v>1032</v>
      </c>
      <c r="S54" s="74">
        <v>1051</v>
      </c>
      <c r="T54" s="74">
        <v>1084</v>
      </c>
      <c r="U54" s="74">
        <v>1108</v>
      </c>
      <c r="V54" s="74">
        <v>1167</v>
      </c>
      <c r="W54" s="74">
        <v>1201</v>
      </c>
      <c r="X54" s="74">
        <v>1240</v>
      </c>
      <c r="Y54" s="74">
        <v>1209</v>
      </c>
      <c r="Z54" s="74">
        <v>1205</v>
      </c>
      <c r="AA54" s="74">
        <v>1165</v>
      </c>
      <c r="AB54" s="74">
        <v>1154</v>
      </c>
      <c r="AC54" s="74">
        <v>1393</v>
      </c>
      <c r="AD54" s="74">
        <v>1415</v>
      </c>
      <c r="AE54" s="164">
        <v>1431</v>
      </c>
    </row>
    <row r="55" spans="1:32" ht="15" customHeight="1" thickBot="1" x14ac:dyDescent="0.3">
      <c r="A55" s="152">
        <v>64</v>
      </c>
      <c r="B55" s="15" t="s">
        <v>69</v>
      </c>
      <c r="C55" s="68">
        <v>200</v>
      </c>
      <c r="D55" s="68">
        <v>211</v>
      </c>
      <c r="E55" s="68">
        <v>220</v>
      </c>
      <c r="F55" s="68">
        <v>270</v>
      </c>
      <c r="G55" s="68">
        <v>245</v>
      </c>
      <c r="H55" s="68">
        <v>259</v>
      </c>
      <c r="I55" s="68">
        <v>228</v>
      </c>
      <c r="J55" s="68">
        <v>254</v>
      </c>
      <c r="K55" s="68">
        <v>296</v>
      </c>
      <c r="L55" s="68">
        <v>287</v>
      </c>
      <c r="M55" s="68">
        <v>295</v>
      </c>
      <c r="N55" s="68">
        <v>285</v>
      </c>
      <c r="O55" s="68">
        <v>280</v>
      </c>
      <c r="P55" s="68">
        <v>270</v>
      </c>
      <c r="Q55" s="68">
        <v>278</v>
      </c>
      <c r="R55" s="68">
        <v>281</v>
      </c>
      <c r="S55" s="68">
        <v>285</v>
      </c>
      <c r="T55" s="68">
        <v>278</v>
      </c>
      <c r="U55" s="68">
        <v>285</v>
      </c>
      <c r="V55" s="68">
        <v>287</v>
      </c>
      <c r="W55" s="68">
        <v>285</v>
      </c>
      <c r="X55" s="68">
        <v>275</v>
      </c>
      <c r="Y55" s="68">
        <v>264</v>
      </c>
      <c r="Z55" s="68">
        <v>263</v>
      </c>
      <c r="AA55" s="68">
        <v>246</v>
      </c>
      <c r="AB55" s="68">
        <v>248</v>
      </c>
      <c r="AC55" s="68">
        <v>288</v>
      </c>
      <c r="AD55" s="68">
        <v>282</v>
      </c>
      <c r="AE55" s="153">
        <v>290</v>
      </c>
    </row>
    <row r="56" spans="1:32" s="11" customFormat="1" ht="15" customHeight="1" thickBot="1" x14ac:dyDescent="0.3">
      <c r="A56" s="144" t="s">
        <v>70</v>
      </c>
      <c r="B56" s="9" t="s">
        <v>71</v>
      </c>
      <c r="C56" s="64">
        <v>521</v>
      </c>
      <c r="D56" s="64">
        <v>549</v>
      </c>
      <c r="E56" s="64">
        <v>567</v>
      </c>
      <c r="F56" s="64">
        <v>574</v>
      </c>
      <c r="G56" s="64">
        <v>499</v>
      </c>
      <c r="H56" s="64">
        <v>490</v>
      </c>
      <c r="I56" s="64">
        <v>452</v>
      </c>
      <c r="J56" s="64">
        <v>466</v>
      </c>
      <c r="K56" s="64">
        <v>573</v>
      </c>
      <c r="L56" s="64">
        <v>623</v>
      </c>
      <c r="M56" s="64">
        <v>683</v>
      </c>
      <c r="N56" s="64">
        <v>730</v>
      </c>
      <c r="O56" s="64">
        <v>770</v>
      </c>
      <c r="P56" s="64">
        <v>788</v>
      </c>
      <c r="Q56" s="64">
        <v>821</v>
      </c>
      <c r="R56" s="64">
        <v>850</v>
      </c>
      <c r="S56" s="64">
        <v>865</v>
      </c>
      <c r="T56" s="64">
        <v>877</v>
      </c>
      <c r="U56" s="64">
        <v>877</v>
      </c>
      <c r="V56" s="64">
        <v>918</v>
      </c>
      <c r="W56" s="64">
        <v>947</v>
      </c>
      <c r="X56" s="64">
        <v>954</v>
      </c>
      <c r="Y56" s="64">
        <v>954</v>
      </c>
      <c r="Z56" s="64">
        <v>932</v>
      </c>
      <c r="AA56" s="64">
        <v>907</v>
      </c>
      <c r="AB56" s="64">
        <v>898</v>
      </c>
      <c r="AC56" s="64">
        <v>954</v>
      </c>
      <c r="AD56" s="64">
        <v>974</v>
      </c>
      <c r="AE56" s="145">
        <v>947</v>
      </c>
      <c r="AF56" s="10"/>
    </row>
    <row r="57" spans="1:32" ht="15" customHeight="1" x14ac:dyDescent="0.25">
      <c r="A57" s="152">
        <v>65</v>
      </c>
      <c r="B57" s="15" t="s">
        <v>72</v>
      </c>
      <c r="C57" s="68">
        <v>189</v>
      </c>
      <c r="D57" s="68">
        <v>194</v>
      </c>
      <c r="E57" s="68">
        <v>213</v>
      </c>
      <c r="F57" s="68">
        <v>231</v>
      </c>
      <c r="G57" s="68">
        <v>195</v>
      </c>
      <c r="H57" s="68">
        <v>199</v>
      </c>
      <c r="I57" s="68">
        <v>179</v>
      </c>
      <c r="J57" s="68">
        <v>175</v>
      </c>
      <c r="K57" s="68">
        <v>183</v>
      </c>
      <c r="L57" s="68">
        <v>190</v>
      </c>
      <c r="M57" s="68">
        <v>203</v>
      </c>
      <c r="N57" s="68">
        <v>206</v>
      </c>
      <c r="O57" s="68">
        <v>211</v>
      </c>
      <c r="P57" s="68">
        <v>219</v>
      </c>
      <c r="Q57" s="68">
        <v>220</v>
      </c>
      <c r="R57" s="68">
        <v>229</v>
      </c>
      <c r="S57" s="68">
        <v>223</v>
      </c>
      <c r="T57" s="68">
        <v>223</v>
      </c>
      <c r="U57" s="68">
        <v>219</v>
      </c>
      <c r="V57" s="68">
        <v>206</v>
      </c>
      <c r="W57" s="68">
        <v>203</v>
      </c>
      <c r="X57" s="68">
        <v>211</v>
      </c>
      <c r="Y57" s="68">
        <v>204</v>
      </c>
      <c r="Z57" s="68">
        <v>201</v>
      </c>
      <c r="AA57" s="68">
        <v>196</v>
      </c>
      <c r="AB57" s="68">
        <v>198</v>
      </c>
      <c r="AC57" s="68">
        <v>193</v>
      </c>
      <c r="AD57" s="68">
        <v>195</v>
      </c>
      <c r="AE57" s="153">
        <v>183</v>
      </c>
    </row>
    <row r="58" spans="1:32" ht="15" customHeight="1" x14ac:dyDescent="0.25">
      <c r="A58" s="156">
        <v>66</v>
      </c>
      <c r="B58" s="17" t="s">
        <v>73</v>
      </c>
      <c r="C58" s="70">
        <v>89</v>
      </c>
      <c r="D58" s="70">
        <v>93</v>
      </c>
      <c r="E58" s="70">
        <v>97</v>
      </c>
      <c r="F58" s="70">
        <v>94</v>
      </c>
      <c r="G58" s="70">
        <v>82</v>
      </c>
      <c r="H58" s="70">
        <v>76</v>
      </c>
      <c r="I58" s="70">
        <v>70</v>
      </c>
      <c r="J58" s="70">
        <v>78</v>
      </c>
      <c r="K58" s="70">
        <v>83</v>
      </c>
      <c r="L58" s="70">
        <v>91</v>
      </c>
      <c r="M58" s="70">
        <v>98</v>
      </c>
      <c r="N58" s="70">
        <v>104</v>
      </c>
      <c r="O58" s="70">
        <v>102</v>
      </c>
      <c r="P58" s="70">
        <v>94</v>
      </c>
      <c r="Q58" s="70">
        <v>101</v>
      </c>
      <c r="R58" s="70">
        <v>96</v>
      </c>
      <c r="S58" s="70">
        <v>99</v>
      </c>
      <c r="T58" s="70">
        <v>93</v>
      </c>
      <c r="U58" s="70">
        <v>94</v>
      </c>
      <c r="V58" s="70">
        <v>98</v>
      </c>
      <c r="W58" s="70">
        <v>97</v>
      </c>
      <c r="X58" s="70">
        <v>99</v>
      </c>
      <c r="Y58" s="70">
        <v>96</v>
      </c>
      <c r="Z58" s="70">
        <v>96</v>
      </c>
      <c r="AA58" s="70">
        <v>92</v>
      </c>
      <c r="AB58" s="70">
        <v>94</v>
      </c>
      <c r="AC58" s="70">
        <v>96</v>
      </c>
      <c r="AD58" s="70">
        <v>98</v>
      </c>
      <c r="AE58" s="157">
        <v>95</v>
      </c>
    </row>
    <row r="59" spans="1:32" ht="15" customHeight="1" thickBot="1" x14ac:dyDescent="0.3">
      <c r="A59" s="152">
        <v>67</v>
      </c>
      <c r="B59" s="15" t="s">
        <v>74</v>
      </c>
      <c r="C59" s="68">
        <v>243</v>
      </c>
      <c r="D59" s="68">
        <v>262</v>
      </c>
      <c r="E59" s="68">
        <v>257</v>
      </c>
      <c r="F59" s="68">
        <v>249</v>
      </c>
      <c r="G59" s="68">
        <v>222</v>
      </c>
      <c r="H59" s="68">
        <v>215</v>
      </c>
      <c r="I59" s="68">
        <v>203</v>
      </c>
      <c r="J59" s="68">
        <v>213</v>
      </c>
      <c r="K59" s="68">
        <v>307</v>
      </c>
      <c r="L59" s="68">
        <v>342</v>
      </c>
      <c r="M59" s="68">
        <v>382</v>
      </c>
      <c r="N59" s="68">
        <v>420</v>
      </c>
      <c r="O59" s="68">
        <v>457</v>
      </c>
      <c r="P59" s="68">
        <v>475</v>
      </c>
      <c r="Q59" s="68">
        <v>500</v>
      </c>
      <c r="R59" s="68">
        <v>525</v>
      </c>
      <c r="S59" s="68">
        <v>543</v>
      </c>
      <c r="T59" s="68">
        <v>561</v>
      </c>
      <c r="U59" s="68">
        <v>564</v>
      </c>
      <c r="V59" s="68">
        <v>614</v>
      </c>
      <c r="W59" s="68">
        <v>647</v>
      </c>
      <c r="X59" s="68">
        <v>644</v>
      </c>
      <c r="Y59" s="68">
        <v>654</v>
      </c>
      <c r="Z59" s="68">
        <v>635</v>
      </c>
      <c r="AA59" s="68">
        <v>619</v>
      </c>
      <c r="AB59" s="68">
        <v>606</v>
      </c>
      <c r="AC59" s="68">
        <v>665</v>
      </c>
      <c r="AD59" s="68">
        <v>681</v>
      </c>
      <c r="AE59" s="153">
        <v>669</v>
      </c>
    </row>
    <row r="60" spans="1:32" s="11" customFormat="1" ht="15" customHeight="1" thickBot="1" x14ac:dyDescent="0.3">
      <c r="A60" s="144" t="s">
        <v>75</v>
      </c>
      <c r="B60" s="9" t="s">
        <v>76</v>
      </c>
      <c r="C60" s="64">
        <v>11153</v>
      </c>
      <c r="D60" s="64">
        <v>11370</v>
      </c>
      <c r="E60" s="64">
        <v>11824</v>
      </c>
      <c r="F60" s="64">
        <v>12324</v>
      </c>
      <c r="G60" s="64">
        <v>11315</v>
      </c>
      <c r="H60" s="64">
        <v>10946</v>
      </c>
      <c r="I60" s="64">
        <v>10452</v>
      </c>
      <c r="J60" s="64">
        <v>11152</v>
      </c>
      <c r="K60" s="64">
        <v>12969</v>
      </c>
      <c r="L60" s="64">
        <v>13787</v>
      </c>
      <c r="M60" s="64">
        <v>14573</v>
      </c>
      <c r="N60" s="64">
        <v>15143</v>
      </c>
      <c r="O60" s="64">
        <v>15402</v>
      </c>
      <c r="P60" s="64">
        <v>15396</v>
      </c>
      <c r="Q60" s="64">
        <v>15482</v>
      </c>
      <c r="R60" s="64">
        <v>15535</v>
      </c>
      <c r="S60" s="64">
        <v>15285</v>
      </c>
      <c r="T60" s="64">
        <v>15165</v>
      </c>
      <c r="U60" s="64">
        <v>15060</v>
      </c>
      <c r="V60" s="64">
        <v>15034</v>
      </c>
      <c r="W60" s="64">
        <v>14973</v>
      </c>
      <c r="X60" s="64">
        <v>15030</v>
      </c>
      <c r="Y60" s="64">
        <v>14812</v>
      </c>
      <c r="Z60" s="64">
        <v>14451</v>
      </c>
      <c r="AA60" s="64">
        <v>13824</v>
      </c>
      <c r="AB60" s="64">
        <v>13547</v>
      </c>
      <c r="AC60" s="64">
        <v>14350</v>
      </c>
      <c r="AD60" s="64">
        <v>14243</v>
      </c>
      <c r="AE60" s="145">
        <v>14017</v>
      </c>
      <c r="AF60" s="10"/>
    </row>
    <row r="61" spans="1:32" ht="15" customHeight="1" x14ac:dyDescent="0.25">
      <c r="A61" s="146">
        <v>70</v>
      </c>
      <c r="B61" s="12" t="s">
        <v>77</v>
      </c>
      <c r="C61" s="65">
        <v>5617</v>
      </c>
      <c r="D61" s="65">
        <v>5628</v>
      </c>
      <c r="E61" s="65">
        <v>5815</v>
      </c>
      <c r="F61" s="65">
        <v>6033</v>
      </c>
      <c r="G61" s="65">
        <v>5658</v>
      </c>
      <c r="H61" s="65">
        <v>5497</v>
      </c>
      <c r="I61" s="65">
        <v>5378</v>
      </c>
      <c r="J61" s="65">
        <v>5577</v>
      </c>
      <c r="K61" s="65">
        <v>6306</v>
      </c>
      <c r="L61" s="65">
        <v>6568</v>
      </c>
      <c r="M61" s="65">
        <v>6773</v>
      </c>
      <c r="N61" s="65">
        <v>6901</v>
      </c>
      <c r="O61" s="65">
        <v>7038</v>
      </c>
      <c r="P61" s="65">
        <v>7144</v>
      </c>
      <c r="Q61" s="65">
        <v>7268</v>
      </c>
      <c r="R61" s="65">
        <v>7267</v>
      </c>
      <c r="S61" s="65">
        <v>7221</v>
      </c>
      <c r="T61" s="65">
        <v>7208</v>
      </c>
      <c r="U61" s="65">
        <v>7253</v>
      </c>
      <c r="V61" s="65">
        <v>7314</v>
      </c>
      <c r="W61" s="65">
        <v>7260</v>
      </c>
      <c r="X61" s="65">
        <v>7247</v>
      </c>
      <c r="Y61" s="65">
        <v>7264</v>
      </c>
      <c r="Z61" s="65">
        <v>7085</v>
      </c>
      <c r="AA61" s="65">
        <v>6854</v>
      </c>
      <c r="AB61" s="65">
        <v>6690</v>
      </c>
      <c r="AC61" s="65">
        <v>6736</v>
      </c>
      <c r="AD61" s="65">
        <v>6601</v>
      </c>
      <c r="AE61" s="147">
        <v>6591</v>
      </c>
    </row>
    <row r="62" spans="1:32" ht="15" customHeight="1" x14ac:dyDescent="0.25">
      <c r="A62" s="156">
        <v>71</v>
      </c>
      <c r="B62" s="17" t="s">
        <v>78</v>
      </c>
      <c r="C62" s="70">
        <v>156</v>
      </c>
      <c r="D62" s="70">
        <v>151</v>
      </c>
      <c r="E62" s="70">
        <v>156</v>
      </c>
      <c r="F62" s="70">
        <v>154</v>
      </c>
      <c r="G62" s="70">
        <v>131</v>
      </c>
      <c r="H62" s="70">
        <v>125</v>
      </c>
      <c r="I62" s="70">
        <v>115</v>
      </c>
      <c r="J62" s="70">
        <v>134</v>
      </c>
      <c r="K62" s="70">
        <v>162</v>
      </c>
      <c r="L62" s="70">
        <v>185</v>
      </c>
      <c r="M62" s="70">
        <v>200</v>
      </c>
      <c r="N62" s="70">
        <v>225</v>
      </c>
      <c r="O62" s="70">
        <v>235</v>
      </c>
      <c r="P62" s="70">
        <v>236</v>
      </c>
      <c r="Q62" s="70">
        <v>242</v>
      </c>
      <c r="R62" s="70">
        <v>246</v>
      </c>
      <c r="S62" s="70">
        <v>233</v>
      </c>
      <c r="T62" s="70">
        <v>229</v>
      </c>
      <c r="U62" s="70">
        <v>228</v>
      </c>
      <c r="V62" s="70">
        <v>224</v>
      </c>
      <c r="W62" s="70">
        <v>232</v>
      </c>
      <c r="X62" s="70">
        <v>242</v>
      </c>
      <c r="Y62" s="70">
        <v>232</v>
      </c>
      <c r="Z62" s="70">
        <v>231</v>
      </c>
      <c r="AA62" s="70">
        <v>213</v>
      </c>
      <c r="AB62" s="70">
        <v>204</v>
      </c>
      <c r="AC62" s="70">
        <v>237</v>
      </c>
      <c r="AD62" s="70">
        <v>257</v>
      </c>
      <c r="AE62" s="157">
        <v>247</v>
      </c>
    </row>
    <row r="63" spans="1:32" ht="15" customHeight="1" x14ac:dyDescent="0.25">
      <c r="A63" s="156">
        <v>72</v>
      </c>
      <c r="B63" s="17" t="s">
        <v>79</v>
      </c>
      <c r="C63" s="70">
        <v>121</v>
      </c>
      <c r="D63" s="70">
        <v>155</v>
      </c>
      <c r="E63" s="70">
        <v>188</v>
      </c>
      <c r="F63" s="70">
        <v>207</v>
      </c>
      <c r="G63" s="70">
        <v>186</v>
      </c>
      <c r="H63" s="70">
        <v>177</v>
      </c>
      <c r="I63" s="70">
        <v>150</v>
      </c>
      <c r="J63" s="70">
        <v>187</v>
      </c>
      <c r="K63" s="70">
        <v>248</v>
      </c>
      <c r="L63" s="70">
        <v>288</v>
      </c>
      <c r="M63" s="70">
        <v>339</v>
      </c>
      <c r="N63" s="70">
        <v>395</v>
      </c>
      <c r="O63" s="70">
        <v>418</v>
      </c>
      <c r="P63" s="70">
        <v>409</v>
      </c>
      <c r="Q63" s="70">
        <v>421</v>
      </c>
      <c r="R63" s="70">
        <v>469</v>
      </c>
      <c r="S63" s="70">
        <v>468</v>
      </c>
      <c r="T63" s="70">
        <v>490</v>
      </c>
      <c r="U63" s="70">
        <v>514</v>
      </c>
      <c r="V63" s="70">
        <v>543</v>
      </c>
      <c r="W63" s="70">
        <v>575</v>
      </c>
      <c r="X63" s="70">
        <v>603</v>
      </c>
      <c r="Y63" s="70">
        <v>627</v>
      </c>
      <c r="Z63" s="70">
        <v>652</v>
      </c>
      <c r="AA63" s="70">
        <v>654</v>
      </c>
      <c r="AB63" s="70">
        <v>697</v>
      </c>
      <c r="AC63" s="70">
        <v>880</v>
      </c>
      <c r="AD63" s="70">
        <v>899</v>
      </c>
      <c r="AE63" s="157">
        <v>909</v>
      </c>
    </row>
    <row r="64" spans="1:32" ht="15" customHeight="1" x14ac:dyDescent="0.25">
      <c r="A64" s="156">
        <v>73</v>
      </c>
      <c r="B64" s="17" t="s">
        <v>80</v>
      </c>
      <c r="C64" s="70">
        <v>6</v>
      </c>
      <c r="D64" s="70">
        <v>6</v>
      </c>
      <c r="E64" s="70">
        <v>9</v>
      </c>
      <c r="F64" s="70">
        <v>11</v>
      </c>
      <c r="G64" s="70">
        <v>14</v>
      </c>
      <c r="H64" s="70">
        <v>10</v>
      </c>
      <c r="I64" s="70">
        <v>11</v>
      </c>
      <c r="J64" s="70">
        <v>13</v>
      </c>
      <c r="K64" s="70">
        <v>18</v>
      </c>
      <c r="L64" s="70">
        <v>23</v>
      </c>
      <c r="M64" s="70">
        <v>29</v>
      </c>
      <c r="N64" s="70">
        <v>33</v>
      </c>
      <c r="O64" s="70">
        <v>32</v>
      </c>
      <c r="P64" s="70">
        <v>34</v>
      </c>
      <c r="Q64" s="70">
        <v>31</v>
      </c>
      <c r="R64" s="70">
        <v>32</v>
      </c>
      <c r="S64" s="70">
        <v>26</v>
      </c>
      <c r="T64" s="70">
        <v>30</v>
      </c>
      <c r="U64" s="70">
        <v>35</v>
      </c>
      <c r="V64" s="70">
        <v>35</v>
      </c>
      <c r="W64" s="70">
        <v>30</v>
      </c>
      <c r="X64" s="70">
        <v>33</v>
      </c>
      <c r="Y64" s="70">
        <v>28</v>
      </c>
      <c r="Z64" s="70">
        <v>26</v>
      </c>
      <c r="AA64" s="70">
        <v>26</v>
      </c>
      <c r="AB64" s="70">
        <v>32</v>
      </c>
      <c r="AC64" s="70">
        <v>47</v>
      </c>
      <c r="AD64" s="70">
        <v>55</v>
      </c>
      <c r="AE64" s="157">
        <v>54</v>
      </c>
    </row>
    <row r="65" spans="1:32" ht="15" customHeight="1" x14ac:dyDescent="0.25">
      <c r="A65" s="156">
        <v>74</v>
      </c>
      <c r="B65" s="17" t="s">
        <v>81</v>
      </c>
      <c r="C65" s="70">
        <v>5214</v>
      </c>
      <c r="D65" s="70">
        <v>5385</v>
      </c>
      <c r="E65" s="70">
        <v>5610</v>
      </c>
      <c r="F65" s="70">
        <v>5869</v>
      </c>
      <c r="G65" s="70">
        <v>5276</v>
      </c>
      <c r="H65" s="70">
        <v>5091</v>
      </c>
      <c r="I65" s="70">
        <v>4750</v>
      </c>
      <c r="J65" s="70">
        <v>5193</v>
      </c>
      <c r="K65" s="70">
        <v>6189</v>
      </c>
      <c r="L65" s="70">
        <v>6680</v>
      </c>
      <c r="M65" s="70">
        <v>7187</v>
      </c>
      <c r="N65" s="70">
        <v>7538</v>
      </c>
      <c r="O65" s="70">
        <v>7628</v>
      </c>
      <c r="P65" s="70">
        <v>7517</v>
      </c>
      <c r="Q65" s="70">
        <v>7469</v>
      </c>
      <c r="R65" s="70">
        <v>7476</v>
      </c>
      <c r="S65" s="70">
        <v>7296</v>
      </c>
      <c r="T65" s="70">
        <v>7170</v>
      </c>
      <c r="U65" s="70">
        <v>6993</v>
      </c>
      <c r="V65" s="70">
        <v>6882</v>
      </c>
      <c r="W65" s="70">
        <v>6839</v>
      </c>
      <c r="X65" s="70">
        <v>6869</v>
      </c>
      <c r="Y65" s="70">
        <v>6628</v>
      </c>
      <c r="Z65" s="70">
        <v>6428</v>
      </c>
      <c r="AA65" s="70">
        <v>6049</v>
      </c>
      <c r="AB65" s="70">
        <v>5896</v>
      </c>
      <c r="AC65" s="70">
        <v>6423</v>
      </c>
      <c r="AD65" s="70">
        <v>6404</v>
      </c>
      <c r="AE65" s="157">
        <v>6189</v>
      </c>
    </row>
    <row r="66" spans="1:32" ht="15" customHeight="1" thickBot="1" x14ac:dyDescent="0.3">
      <c r="A66" s="158">
        <v>75</v>
      </c>
      <c r="B66" s="18" t="s">
        <v>185</v>
      </c>
      <c r="C66" s="71">
        <v>39</v>
      </c>
      <c r="D66" s="71">
        <v>45</v>
      </c>
      <c r="E66" s="71">
        <v>46</v>
      </c>
      <c r="F66" s="71">
        <v>50</v>
      </c>
      <c r="G66" s="71">
        <v>50</v>
      </c>
      <c r="H66" s="71">
        <v>46</v>
      </c>
      <c r="I66" s="71">
        <v>48</v>
      </c>
      <c r="J66" s="71">
        <v>48</v>
      </c>
      <c r="K66" s="71">
        <v>46</v>
      </c>
      <c r="L66" s="71">
        <v>43</v>
      </c>
      <c r="M66" s="71">
        <v>45</v>
      </c>
      <c r="N66" s="71">
        <v>51</v>
      </c>
      <c r="O66" s="71">
        <v>51</v>
      </c>
      <c r="P66" s="71">
        <v>56</v>
      </c>
      <c r="Q66" s="71">
        <v>51</v>
      </c>
      <c r="R66" s="71">
        <v>45</v>
      </c>
      <c r="S66" s="71">
        <v>41</v>
      </c>
      <c r="T66" s="71">
        <v>38</v>
      </c>
      <c r="U66" s="71">
        <v>37</v>
      </c>
      <c r="V66" s="71">
        <v>36</v>
      </c>
      <c r="W66" s="71">
        <v>37</v>
      </c>
      <c r="X66" s="71">
        <v>36</v>
      </c>
      <c r="Y66" s="71">
        <v>33</v>
      </c>
      <c r="Z66" s="71">
        <v>29</v>
      </c>
      <c r="AA66" s="71">
        <v>28</v>
      </c>
      <c r="AB66" s="71">
        <v>28</v>
      </c>
      <c r="AC66" s="71">
        <v>27</v>
      </c>
      <c r="AD66" s="71">
        <v>27</v>
      </c>
      <c r="AE66" s="159">
        <v>27</v>
      </c>
    </row>
    <row r="67" spans="1:32" s="11" customFormat="1" ht="15" customHeight="1" thickBot="1" x14ac:dyDescent="0.3">
      <c r="A67" s="160" t="s">
        <v>83</v>
      </c>
      <c r="B67" s="19" t="s">
        <v>84</v>
      </c>
      <c r="C67" s="64">
        <v>1504</v>
      </c>
      <c r="D67" s="64">
        <v>1658</v>
      </c>
      <c r="E67" s="64">
        <v>1718</v>
      </c>
      <c r="F67" s="64">
        <v>1777</v>
      </c>
      <c r="G67" s="64">
        <v>1748</v>
      </c>
      <c r="H67" s="64">
        <v>1738</v>
      </c>
      <c r="I67" s="64">
        <v>1683</v>
      </c>
      <c r="J67" s="64">
        <v>1725</v>
      </c>
      <c r="K67" s="64">
        <v>1854</v>
      </c>
      <c r="L67" s="64">
        <v>1928</v>
      </c>
      <c r="M67" s="64">
        <v>2037</v>
      </c>
      <c r="N67" s="64">
        <v>2073</v>
      </c>
      <c r="O67" s="64">
        <v>2136</v>
      </c>
      <c r="P67" s="64">
        <v>2177</v>
      </c>
      <c r="Q67" s="64">
        <v>2183</v>
      </c>
      <c r="R67" s="64">
        <v>2209</v>
      </c>
      <c r="S67" s="64">
        <v>2191</v>
      </c>
      <c r="T67" s="64">
        <v>2171</v>
      </c>
      <c r="U67" s="64">
        <v>2174</v>
      </c>
      <c r="V67" s="64">
        <v>2177</v>
      </c>
      <c r="W67" s="64">
        <v>2172</v>
      </c>
      <c r="X67" s="64">
        <v>2191</v>
      </c>
      <c r="Y67" s="64">
        <v>2198</v>
      </c>
      <c r="Z67" s="64">
        <v>2185</v>
      </c>
      <c r="AA67" s="64">
        <v>2077</v>
      </c>
      <c r="AB67" s="64">
        <v>2012</v>
      </c>
      <c r="AC67" s="64">
        <v>2007</v>
      </c>
      <c r="AD67" s="64">
        <v>2061</v>
      </c>
      <c r="AE67" s="145">
        <v>1935</v>
      </c>
      <c r="AF67" s="10"/>
    </row>
    <row r="68" spans="1:32" ht="15" customHeight="1" thickBot="1" x14ac:dyDescent="0.3">
      <c r="A68" s="150">
        <v>80</v>
      </c>
      <c r="B68" s="14" t="s">
        <v>85</v>
      </c>
      <c r="C68" s="70">
        <v>1504</v>
      </c>
      <c r="D68" s="67">
        <v>1658</v>
      </c>
      <c r="E68" s="67">
        <v>1718</v>
      </c>
      <c r="F68" s="67">
        <v>1777</v>
      </c>
      <c r="G68" s="67">
        <v>1748</v>
      </c>
      <c r="H68" s="67">
        <v>1738</v>
      </c>
      <c r="I68" s="67">
        <v>1683</v>
      </c>
      <c r="J68" s="67">
        <v>1725</v>
      </c>
      <c r="K68" s="67">
        <v>1854</v>
      </c>
      <c r="L68" s="67">
        <v>1928</v>
      </c>
      <c r="M68" s="67">
        <v>2037</v>
      </c>
      <c r="N68" s="67">
        <v>2073</v>
      </c>
      <c r="O68" s="67">
        <v>2136</v>
      </c>
      <c r="P68" s="67">
        <v>2177</v>
      </c>
      <c r="Q68" s="67">
        <v>2183</v>
      </c>
      <c r="R68" s="67">
        <v>2209</v>
      </c>
      <c r="S68" s="67">
        <v>2191</v>
      </c>
      <c r="T68" s="67">
        <v>2171</v>
      </c>
      <c r="U68" s="67">
        <v>2174</v>
      </c>
      <c r="V68" s="67">
        <v>2177</v>
      </c>
      <c r="W68" s="67">
        <v>2172</v>
      </c>
      <c r="X68" s="67">
        <v>2191</v>
      </c>
      <c r="Y68" s="67">
        <v>2198</v>
      </c>
      <c r="Z68" s="67">
        <v>2185</v>
      </c>
      <c r="AA68" s="67">
        <v>2077</v>
      </c>
      <c r="AB68" s="67">
        <v>2012</v>
      </c>
      <c r="AC68" s="67">
        <v>2007</v>
      </c>
      <c r="AD68" s="67">
        <v>2061</v>
      </c>
      <c r="AE68" s="151">
        <v>1935</v>
      </c>
    </row>
    <row r="69" spans="1:32" s="11" customFormat="1" ht="15" customHeight="1" thickBot="1" x14ac:dyDescent="0.3">
      <c r="A69" s="144" t="s">
        <v>86</v>
      </c>
      <c r="B69" s="9" t="s">
        <v>87</v>
      </c>
      <c r="C69" s="64">
        <v>2473</v>
      </c>
      <c r="D69" s="64">
        <v>2481</v>
      </c>
      <c r="E69" s="64">
        <v>2512</v>
      </c>
      <c r="F69" s="64">
        <v>2639</v>
      </c>
      <c r="G69" s="64">
        <v>2438</v>
      </c>
      <c r="H69" s="64">
        <v>2424</v>
      </c>
      <c r="I69" s="64">
        <v>2310</v>
      </c>
      <c r="J69" s="64">
        <v>2403</v>
      </c>
      <c r="K69" s="64">
        <v>2718</v>
      </c>
      <c r="L69" s="64">
        <v>2877</v>
      </c>
      <c r="M69" s="64">
        <v>3041</v>
      </c>
      <c r="N69" s="64">
        <v>3195</v>
      </c>
      <c r="O69" s="64">
        <v>3327</v>
      </c>
      <c r="P69" s="64">
        <v>3446</v>
      </c>
      <c r="Q69" s="64">
        <v>3554</v>
      </c>
      <c r="R69" s="64">
        <v>3625</v>
      </c>
      <c r="S69" s="64">
        <v>3746</v>
      </c>
      <c r="T69" s="64">
        <v>3805</v>
      </c>
      <c r="U69" s="64">
        <v>3783</v>
      </c>
      <c r="V69" s="64">
        <v>3859</v>
      </c>
      <c r="W69" s="64">
        <v>3929</v>
      </c>
      <c r="X69" s="64">
        <v>3993</v>
      </c>
      <c r="Y69" s="64">
        <v>4046</v>
      </c>
      <c r="Z69" s="64">
        <v>4021</v>
      </c>
      <c r="AA69" s="64">
        <v>3814</v>
      </c>
      <c r="AB69" s="64">
        <v>3752</v>
      </c>
      <c r="AC69" s="64">
        <v>4106</v>
      </c>
      <c r="AD69" s="64">
        <v>4153</v>
      </c>
      <c r="AE69" s="145">
        <v>4024</v>
      </c>
      <c r="AF69" s="10"/>
    </row>
    <row r="70" spans="1:32" ht="15" customHeight="1" thickBot="1" x14ac:dyDescent="0.3">
      <c r="A70" s="150">
        <v>85</v>
      </c>
      <c r="B70" s="14" t="s">
        <v>88</v>
      </c>
      <c r="C70" s="67">
        <v>2473</v>
      </c>
      <c r="D70" s="67">
        <v>2481</v>
      </c>
      <c r="E70" s="67">
        <v>2512</v>
      </c>
      <c r="F70" s="67">
        <v>2639</v>
      </c>
      <c r="G70" s="67">
        <v>2438</v>
      </c>
      <c r="H70" s="67">
        <v>2424</v>
      </c>
      <c r="I70" s="67">
        <v>2310</v>
      </c>
      <c r="J70" s="67">
        <v>2403</v>
      </c>
      <c r="K70" s="67">
        <v>2718</v>
      </c>
      <c r="L70" s="67">
        <v>2877</v>
      </c>
      <c r="M70" s="67">
        <v>3041</v>
      </c>
      <c r="N70" s="67">
        <v>3195</v>
      </c>
      <c r="O70" s="67">
        <v>3327</v>
      </c>
      <c r="P70" s="67">
        <v>3446</v>
      </c>
      <c r="Q70" s="67">
        <v>3554</v>
      </c>
      <c r="R70" s="67">
        <v>3625</v>
      </c>
      <c r="S70" s="67">
        <v>3746</v>
      </c>
      <c r="T70" s="67">
        <v>3805</v>
      </c>
      <c r="U70" s="67">
        <v>3783</v>
      </c>
      <c r="V70" s="67">
        <v>3859</v>
      </c>
      <c r="W70" s="67">
        <v>3929</v>
      </c>
      <c r="X70" s="67">
        <v>3993</v>
      </c>
      <c r="Y70" s="67">
        <v>4046</v>
      </c>
      <c r="Z70" s="67">
        <v>4021</v>
      </c>
      <c r="AA70" s="67">
        <v>3814</v>
      </c>
      <c r="AB70" s="67">
        <v>3752</v>
      </c>
      <c r="AC70" s="67">
        <v>4106</v>
      </c>
      <c r="AD70" s="67">
        <v>4153</v>
      </c>
      <c r="AE70" s="151">
        <v>4024</v>
      </c>
    </row>
    <row r="71" spans="1:32" s="11" customFormat="1" ht="15" customHeight="1" thickBot="1" x14ac:dyDescent="0.3">
      <c r="A71" s="144" t="s">
        <v>89</v>
      </c>
      <c r="B71" s="9" t="s">
        <v>90</v>
      </c>
      <c r="C71" s="64">
        <v>4970</v>
      </c>
      <c r="D71" s="64">
        <v>4961</v>
      </c>
      <c r="E71" s="64">
        <v>4932</v>
      </c>
      <c r="F71" s="64">
        <v>4908</v>
      </c>
      <c r="G71" s="64">
        <v>4587</v>
      </c>
      <c r="H71" s="64">
        <v>4386</v>
      </c>
      <c r="I71" s="64">
        <v>4091</v>
      </c>
      <c r="J71" s="64">
        <v>4382</v>
      </c>
      <c r="K71" s="64">
        <v>6209</v>
      </c>
      <c r="L71" s="64">
        <v>6819</v>
      </c>
      <c r="M71" s="64">
        <v>7296</v>
      </c>
      <c r="N71" s="64">
        <v>7355</v>
      </c>
      <c r="O71" s="64">
        <v>7244</v>
      </c>
      <c r="P71" s="64">
        <v>7309</v>
      </c>
      <c r="Q71" s="64">
        <v>7225</v>
      </c>
      <c r="R71" s="64">
        <v>7232</v>
      </c>
      <c r="S71" s="64">
        <v>7036</v>
      </c>
      <c r="T71" s="64">
        <v>6850</v>
      </c>
      <c r="U71" s="64">
        <v>6686</v>
      </c>
      <c r="V71" s="64">
        <v>6730</v>
      </c>
      <c r="W71" s="64">
        <v>6657</v>
      </c>
      <c r="X71" s="64">
        <v>6585</v>
      </c>
      <c r="Y71" s="64">
        <v>6305</v>
      </c>
      <c r="Z71" s="64">
        <v>6046</v>
      </c>
      <c r="AA71" s="64">
        <v>5458</v>
      </c>
      <c r="AB71" s="64">
        <v>5196</v>
      </c>
      <c r="AC71" s="64">
        <v>5698</v>
      </c>
      <c r="AD71" s="64">
        <v>5778</v>
      </c>
      <c r="AE71" s="145">
        <v>5476</v>
      </c>
      <c r="AF71" s="10"/>
    </row>
    <row r="72" spans="1:32" ht="15" customHeight="1" x14ac:dyDescent="0.25">
      <c r="A72" s="146">
        <v>90</v>
      </c>
      <c r="B72" s="12" t="s">
        <v>91</v>
      </c>
      <c r="C72" s="65">
        <v>128</v>
      </c>
      <c r="D72" s="65">
        <v>139</v>
      </c>
      <c r="E72" s="65">
        <v>134</v>
      </c>
      <c r="F72" s="65">
        <v>134</v>
      </c>
      <c r="G72" s="65">
        <v>113</v>
      </c>
      <c r="H72" s="65">
        <v>104</v>
      </c>
      <c r="I72" s="65">
        <v>92</v>
      </c>
      <c r="J72" s="65">
        <v>86</v>
      </c>
      <c r="K72" s="65">
        <v>115</v>
      </c>
      <c r="L72" s="65">
        <v>112</v>
      </c>
      <c r="M72" s="65">
        <v>130</v>
      </c>
      <c r="N72" s="65">
        <v>132</v>
      </c>
      <c r="O72" s="65">
        <v>124</v>
      </c>
      <c r="P72" s="65">
        <v>135</v>
      </c>
      <c r="Q72" s="65">
        <v>131</v>
      </c>
      <c r="R72" s="65">
        <v>135</v>
      </c>
      <c r="S72" s="65">
        <v>131</v>
      </c>
      <c r="T72" s="65">
        <v>138</v>
      </c>
      <c r="U72" s="65">
        <v>147</v>
      </c>
      <c r="V72" s="65">
        <v>149</v>
      </c>
      <c r="W72" s="65">
        <v>156</v>
      </c>
      <c r="X72" s="65">
        <v>153</v>
      </c>
      <c r="Y72" s="65">
        <v>155</v>
      </c>
      <c r="Z72" s="65">
        <v>155</v>
      </c>
      <c r="AA72" s="65">
        <v>155</v>
      </c>
      <c r="AB72" s="65">
        <v>157</v>
      </c>
      <c r="AC72" s="65">
        <v>175</v>
      </c>
      <c r="AD72" s="65">
        <v>178</v>
      </c>
      <c r="AE72" s="147">
        <v>175</v>
      </c>
    </row>
    <row r="73" spans="1:32" ht="15" customHeight="1" x14ac:dyDescent="0.25">
      <c r="A73" s="156">
        <v>91</v>
      </c>
      <c r="B73" s="17" t="s">
        <v>92</v>
      </c>
      <c r="C73" s="70">
        <v>1160</v>
      </c>
      <c r="D73" s="70">
        <v>1211</v>
      </c>
      <c r="E73" s="70">
        <v>1234</v>
      </c>
      <c r="F73" s="70">
        <v>1348</v>
      </c>
      <c r="G73" s="70">
        <v>1294</v>
      </c>
      <c r="H73" s="70">
        <v>1293</v>
      </c>
      <c r="I73" s="70">
        <v>1296</v>
      </c>
      <c r="J73" s="70">
        <v>1358</v>
      </c>
      <c r="K73" s="70">
        <v>1420</v>
      </c>
      <c r="L73" s="70">
        <v>1456</v>
      </c>
      <c r="M73" s="70">
        <v>1484</v>
      </c>
      <c r="N73" s="70">
        <v>1513</v>
      </c>
      <c r="O73" s="70">
        <v>1508</v>
      </c>
      <c r="P73" s="70">
        <v>1530</v>
      </c>
      <c r="Q73" s="70">
        <v>1551</v>
      </c>
      <c r="R73" s="70">
        <v>1578</v>
      </c>
      <c r="S73" s="70">
        <v>1603</v>
      </c>
      <c r="T73" s="70">
        <v>1594</v>
      </c>
      <c r="U73" s="70">
        <v>1585</v>
      </c>
      <c r="V73" s="70">
        <v>1595</v>
      </c>
      <c r="W73" s="70">
        <v>1614</v>
      </c>
      <c r="X73" s="70">
        <v>1626</v>
      </c>
      <c r="Y73" s="70">
        <v>1613</v>
      </c>
      <c r="Z73" s="70">
        <v>1623</v>
      </c>
      <c r="AA73" s="70">
        <v>1586</v>
      </c>
      <c r="AB73" s="70">
        <v>1548</v>
      </c>
      <c r="AC73" s="70">
        <v>1710</v>
      </c>
      <c r="AD73" s="70">
        <v>1716</v>
      </c>
      <c r="AE73" s="157">
        <v>1699</v>
      </c>
    </row>
    <row r="74" spans="1:32" ht="15" customHeight="1" x14ac:dyDescent="0.25">
      <c r="A74" s="156">
        <v>92</v>
      </c>
      <c r="B74" s="17" t="s">
        <v>93</v>
      </c>
      <c r="C74" s="70">
        <v>742</v>
      </c>
      <c r="D74" s="70">
        <v>765</v>
      </c>
      <c r="E74" s="70">
        <v>793</v>
      </c>
      <c r="F74" s="70">
        <v>817</v>
      </c>
      <c r="G74" s="70">
        <v>776</v>
      </c>
      <c r="H74" s="70">
        <v>767</v>
      </c>
      <c r="I74" s="70">
        <v>725</v>
      </c>
      <c r="J74" s="70">
        <v>782</v>
      </c>
      <c r="K74" s="70">
        <v>1003</v>
      </c>
      <c r="L74" s="70">
        <v>1203</v>
      </c>
      <c r="M74" s="70">
        <v>1332</v>
      </c>
      <c r="N74" s="70">
        <v>1437</v>
      </c>
      <c r="O74" s="70">
        <v>1557</v>
      </c>
      <c r="P74" s="70">
        <v>1675</v>
      </c>
      <c r="Q74" s="70">
        <v>1745</v>
      </c>
      <c r="R74" s="70">
        <v>1809</v>
      </c>
      <c r="S74" s="70">
        <v>1834</v>
      </c>
      <c r="T74" s="70">
        <v>1844</v>
      </c>
      <c r="U74" s="70">
        <v>1866</v>
      </c>
      <c r="V74" s="70">
        <v>1914</v>
      </c>
      <c r="W74" s="70">
        <v>1938</v>
      </c>
      <c r="X74" s="70">
        <v>1961</v>
      </c>
      <c r="Y74" s="70">
        <v>1938</v>
      </c>
      <c r="Z74" s="70">
        <v>1914</v>
      </c>
      <c r="AA74" s="70">
        <v>1747</v>
      </c>
      <c r="AB74" s="70">
        <v>1719</v>
      </c>
      <c r="AC74" s="70">
        <v>1920</v>
      </c>
      <c r="AD74" s="70">
        <v>1982</v>
      </c>
      <c r="AE74" s="157">
        <v>1883</v>
      </c>
    </row>
    <row r="75" spans="1:32" ht="15" customHeight="1" thickBot="1" x14ac:dyDescent="0.3">
      <c r="A75" s="158">
        <v>93</v>
      </c>
      <c r="B75" s="18" t="s">
        <v>94</v>
      </c>
      <c r="C75" s="76">
        <v>2940</v>
      </c>
      <c r="D75" s="76">
        <v>2846</v>
      </c>
      <c r="E75" s="76">
        <v>2771</v>
      </c>
      <c r="F75" s="76">
        <v>2609</v>
      </c>
      <c r="G75" s="76">
        <v>2404</v>
      </c>
      <c r="H75" s="76">
        <v>2222</v>
      </c>
      <c r="I75" s="76">
        <v>1978</v>
      </c>
      <c r="J75" s="76">
        <v>2156</v>
      </c>
      <c r="K75" s="76">
        <v>3671</v>
      </c>
      <c r="L75" s="76">
        <v>4048</v>
      </c>
      <c r="M75" s="76">
        <v>4350</v>
      </c>
      <c r="N75" s="76">
        <v>4273</v>
      </c>
      <c r="O75" s="76">
        <v>4055</v>
      </c>
      <c r="P75" s="76">
        <v>3969</v>
      </c>
      <c r="Q75" s="76">
        <v>3798</v>
      </c>
      <c r="R75" s="76">
        <v>3710</v>
      </c>
      <c r="S75" s="76">
        <v>3468</v>
      </c>
      <c r="T75" s="76">
        <v>3274</v>
      </c>
      <c r="U75" s="76">
        <v>3088</v>
      </c>
      <c r="V75" s="76">
        <v>3072</v>
      </c>
      <c r="W75" s="76">
        <v>2949</v>
      </c>
      <c r="X75" s="76">
        <v>2845</v>
      </c>
      <c r="Y75" s="76">
        <v>2599</v>
      </c>
      <c r="Z75" s="76">
        <v>2354</v>
      </c>
      <c r="AA75" s="76">
        <v>1970</v>
      </c>
      <c r="AB75" s="76">
        <v>1772</v>
      </c>
      <c r="AC75" s="76">
        <v>1893</v>
      </c>
      <c r="AD75" s="76">
        <v>1902</v>
      </c>
      <c r="AE75" s="165">
        <v>1719</v>
      </c>
    </row>
    <row r="76" spans="1:32" s="23" customFormat="1" ht="15" customHeight="1" thickBot="1" x14ac:dyDescent="0.3">
      <c r="A76" s="166"/>
      <c r="B76" s="167" t="s">
        <v>95</v>
      </c>
      <c r="C76" s="168">
        <v>62032</v>
      </c>
      <c r="D76" s="168">
        <v>62235</v>
      </c>
      <c r="E76" s="168">
        <v>62442</v>
      </c>
      <c r="F76" s="168">
        <v>64175</v>
      </c>
      <c r="G76" s="168">
        <v>58964</v>
      </c>
      <c r="H76" s="168">
        <v>55883</v>
      </c>
      <c r="I76" s="168">
        <v>52251</v>
      </c>
      <c r="J76" s="168">
        <v>56379</v>
      </c>
      <c r="K76" s="168">
        <v>67905</v>
      </c>
      <c r="L76" s="168">
        <v>74064</v>
      </c>
      <c r="M76" s="168">
        <v>80811</v>
      </c>
      <c r="N76" s="168">
        <v>85239</v>
      </c>
      <c r="O76" s="168">
        <v>88291</v>
      </c>
      <c r="P76" s="168">
        <v>89534</v>
      </c>
      <c r="Q76" s="168">
        <v>91106</v>
      </c>
      <c r="R76" s="168">
        <v>92641</v>
      </c>
      <c r="S76" s="168">
        <v>92769</v>
      </c>
      <c r="T76" s="168">
        <v>93215</v>
      </c>
      <c r="U76" s="168">
        <v>92780</v>
      </c>
      <c r="V76" s="168">
        <v>93920</v>
      </c>
      <c r="W76" s="168">
        <v>94128</v>
      </c>
      <c r="X76" s="168">
        <v>94798</v>
      </c>
      <c r="Y76" s="168">
        <v>93191</v>
      </c>
      <c r="Z76" s="168">
        <v>91004</v>
      </c>
      <c r="AA76" s="168">
        <v>86689</v>
      </c>
      <c r="AB76" s="168">
        <v>86692</v>
      </c>
      <c r="AC76" s="168">
        <v>95866</v>
      </c>
      <c r="AD76" s="168">
        <v>97353</v>
      </c>
      <c r="AE76" s="169">
        <v>96000</v>
      </c>
      <c r="AF76" s="22"/>
    </row>
    <row r="77" spans="1:32" ht="12" customHeight="1" x14ac:dyDescent="0.25">
      <c r="A77" s="7"/>
      <c r="B77" s="7"/>
      <c r="C77" s="7"/>
      <c r="D77" s="7"/>
      <c r="E77" s="24"/>
      <c r="F77" s="7"/>
      <c r="G77" s="25"/>
      <c r="H77" s="7"/>
      <c r="I77" s="7"/>
      <c r="J77" s="7"/>
      <c r="K77" s="7"/>
      <c r="L77" s="7"/>
      <c r="M77" s="7"/>
      <c r="N77" s="7"/>
      <c r="O77" s="7"/>
      <c r="P77" s="7"/>
      <c r="Q77" s="7"/>
      <c r="R77" s="7"/>
      <c r="S77" s="7"/>
      <c r="T77" s="7"/>
      <c r="U77" s="7"/>
      <c r="V77" s="7"/>
      <c r="W77" s="7"/>
      <c r="X77" s="7"/>
      <c r="Y77" s="7"/>
      <c r="Z77" s="7"/>
      <c r="AA77" s="7"/>
      <c r="AB77" s="7"/>
      <c r="AC77" s="7"/>
      <c r="AD77" s="7"/>
      <c r="AE77" s="7"/>
    </row>
    <row r="78" spans="1:32" ht="11.25" x14ac:dyDescent="0.25">
      <c r="A78" s="307" t="s">
        <v>96</v>
      </c>
      <c r="B78" s="307"/>
      <c r="C78" s="277"/>
      <c r="D78" s="277"/>
      <c r="E78" s="277"/>
      <c r="F78" s="26"/>
      <c r="G78" s="26"/>
      <c r="H78" s="7"/>
      <c r="I78" s="7"/>
      <c r="J78" s="7"/>
      <c r="K78" s="7"/>
      <c r="L78" s="7"/>
      <c r="M78" s="7"/>
      <c r="N78" s="7"/>
      <c r="O78" s="7"/>
      <c r="P78" s="7"/>
      <c r="Q78" s="7"/>
      <c r="R78" s="7"/>
      <c r="S78" s="7"/>
      <c r="T78" s="7"/>
      <c r="U78" s="7"/>
      <c r="V78" s="7"/>
      <c r="W78" s="7"/>
      <c r="X78" s="7"/>
      <c r="Y78" s="7"/>
      <c r="Z78" s="7"/>
      <c r="AA78" s="7"/>
      <c r="AB78" s="7"/>
      <c r="AC78" s="7"/>
      <c r="AD78" s="7"/>
      <c r="AE78" s="7"/>
    </row>
    <row r="79" spans="1:32" ht="26.45" customHeight="1" x14ac:dyDescent="0.25">
      <c r="A79" s="307" t="s">
        <v>381</v>
      </c>
      <c r="B79" s="307"/>
      <c r="C79" s="307"/>
      <c r="D79" s="277"/>
      <c r="E79" s="277"/>
      <c r="F79" s="277"/>
      <c r="G79" s="277"/>
      <c r="H79" s="27"/>
      <c r="I79" s="27"/>
      <c r="J79" s="27"/>
      <c r="K79" s="27"/>
      <c r="L79" s="7"/>
      <c r="M79" s="7"/>
      <c r="N79" s="7"/>
      <c r="O79" s="7"/>
      <c r="P79" s="7"/>
      <c r="Q79" s="7"/>
      <c r="R79" s="7"/>
      <c r="S79" s="7"/>
      <c r="T79" s="7"/>
      <c r="U79" s="7"/>
      <c r="V79" s="7"/>
      <c r="W79" s="7"/>
      <c r="X79" s="7"/>
      <c r="Y79" s="7"/>
      <c r="Z79" s="7"/>
      <c r="AA79" s="7"/>
      <c r="AB79" s="7"/>
      <c r="AC79" s="7"/>
      <c r="AD79" s="7"/>
      <c r="AE79" s="7"/>
    </row>
    <row r="80" spans="1:32" ht="26.45" customHeight="1" x14ac:dyDescent="0.25">
      <c r="A80" s="307" t="s">
        <v>382</v>
      </c>
      <c r="B80" s="307"/>
      <c r="C80" s="307"/>
      <c r="D80" s="277"/>
      <c r="E80" s="277"/>
      <c r="F80" s="277"/>
      <c r="G80" s="277"/>
      <c r="H80" s="27"/>
      <c r="I80" s="27"/>
      <c r="J80" s="27"/>
      <c r="K80" s="27"/>
      <c r="L80" s="7"/>
      <c r="M80" s="7"/>
      <c r="N80" s="7"/>
      <c r="O80" s="7"/>
      <c r="P80" s="7"/>
      <c r="Q80" s="7"/>
      <c r="R80" s="7"/>
      <c r="S80" s="7"/>
      <c r="T80" s="7"/>
      <c r="U80" s="7"/>
      <c r="V80" s="7"/>
      <c r="W80" s="7"/>
      <c r="X80" s="7"/>
      <c r="Y80" s="7"/>
      <c r="Z80" s="7"/>
      <c r="AA80" s="7"/>
      <c r="AB80" s="7"/>
      <c r="AC80" s="7"/>
      <c r="AD80" s="7"/>
      <c r="AE80" s="7"/>
    </row>
    <row r="81" spans="1:31" ht="26.45" customHeight="1" x14ac:dyDescent="0.25">
      <c r="A81" s="307" t="s">
        <v>151</v>
      </c>
      <c r="B81" s="307"/>
      <c r="C81" s="307"/>
      <c r="D81" s="277"/>
      <c r="E81" s="277"/>
      <c r="F81" s="277"/>
      <c r="G81" s="277"/>
      <c r="H81" s="27"/>
      <c r="I81" s="27"/>
      <c r="J81" s="27"/>
      <c r="K81" s="27"/>
      <c r="L81" s="7"/>
      <c r="M81" s="7"/>
      <c r="N81" s="7"/>
      <c r="O81" s="7"/>
      <c r="P81" s="7"/>
      <c r="Q81" s="7"/>
      <c r="R81" s="7"/>
      <c r="S81" s="7"/>
      <c r="T81" s="7"/>
      <c r="U81" s="7"/>
      <c r="V81" s="7"/>
      <c r="W81" s="7"/>
      <c r="X81" s="7"/>
      <c r="Y81" s="7"/>
      <c r="Z81" s="7"/>
      <c r="AA81" s="7"/>
      <c r="AB81" s="7"/>
      <c r="AC81" s="7"/>
      <c r="AD81" s="7"/>
      <c r="AE81" s="7"/>
    </row>
    <row r="82" spans="1:31" s="29" customFormat="1" ht="34.5" customHeight="1" x14ac:dyDescent="0.25">
      <c r="A82" s="307" t="s">
        <v>384</v>
      </c>
      <c r="B82" s="307"/>
      <c r="C82" s="307"/>
      <c r="D82" s="307"/>
      <c r="E82" s="307"/>
      <c r="F82" s="307"/>
      <c r="G82" s="307"/>
      <c r="H82" s="28"/>
      <c r="I82" s="28"/>
      <c r="J82" s="28"/>
    </row>
    <row r="83" spans="1:31" ht="16.149999999999999" customHeight="1" x14ac:dyDescent="0.25">
      <c r="A83" s="276"/>
      <c r="B83" s="276"/>
      <c r="C83" s="276"/>
      <c r="D83" s="276"/>
      <c r="E83" s="276"/>
      <c r="F83" s="276"/>
      <c r="G83" s="276"/>
      <c r="H83" s="28"/>
      <c r="I83" s="28"/>
      <c r="J83" s="28"/>
      <c r="K83" s="7"/>
      <c r="L83" s="7"/>
      <c r="M83" s="7"/>
      <c r="N83" s="7"/>
      <c r="O83" s="7"/>
      <c r="P83" s="7"/>
      <c r="Q83" s="7"/>
      <c r="R83" s="7"/>
      <c r="S83" s="7"/>
      <c r="T83" s="7"/>
      <c r="U83" s="7"/>
      <c r="V83" s="7"/>
      <c r="W83" s="7"/>
      <c r="X83" s="7"/>
      <c r="Y83" s="7"/>
      <c r="Z83" s="7"/>
      <c r="AA83" s="7"/>
      <c r="AB83" s="7"/>
      <c r="AC83" s="7"/>
      <c r="AD83" s="7"/>
      <c r="AE83" s="7"/>
    </row>
    <row r="84" spans="1:31" ht="19.899999999999999" customHeight="1" x14ac:dyDescent="0.25">
      <c r="A84" s="277"/>
      <c r="B84" s="277"/>
      <c r="C84" s="277"/>
      <c r="D84" s="277"/>
      <c r="E84" s="277"/>
      <c r="F84" s="277"/>
      <c r="G84" s="277"/>
      <c r="H84" s="28"/>
      <c r="I84" s="28"/>
      <c r="J84" s="28"/>
      <c r="K84" s="7"/>
      <c r="L84" s="7"/>
      <c r="M84" s="7"/>
      <c r="N84" s="7"/>
      <c r="O84" s="7"/>
      <c r="P84" s="7"/>
      <c r="Q84" s="7"/>
      <c r="R84" s="7"/>
      <c r="S84" s="7"/>
      <c r="T84" s="7"/>
      <c r="U84" s="7"/>
      <c r="V84" s="7"/>
      <c r="W84" s="7"/>
      <c r="X84" s="7"/>
      <c r="Y84" s="7"/>
      <c r="Z84" s="7"/>
      <c r="AA84" s="7"/>
      <c r="AB84" s="7"/>
      <c r="AC84" s="7"/>
      <c r="AD84" s="7"/>
      <c r="AE84" s="7"/>
    </row>
    <row r="85" spans="1:31" ht="6.75" customHeight="1" x14ac:dyDescent="0.25">
      <c r="A85" s="7"/>
      <c r="B85" s="7"/>
      <c r="C85" s="7"/>
      <c r="D85" s="7"/>
      <c r="E85" s="7"/>
      <c r="F85" s="7"/>
      <c r="G85" s="25"/>
      <c r="H85" s="7"/>
      <c r="I85" s="7"/>
      <c r="J85" s="7"/>
      <c r="K85" s="7"/>
      <c r="L85" s="7"/>
      <c r="M85" s="7"/>
      <c r="N85" s="7"/>
      <c r="O85" s="7"/>
      <c r="P85" s="7"/>
      <c r="Q85" s="7"/>
      <c r="R85" s="7"/>
      <c r="S85" s="7"/>
      <c r="T85" s="7"/>
      <c r="U85" s="7"/>
      <c r="V85" s="7"/>
      <c r="W85" s="7"/>
      <c r="X85" s="7"/>
      <c r="Y85" s="7"/>
      <c r="Z85" s="7"/>
      <c r="AA85" s="7"/>
      <c r="AB85" s="7"/>
      <c r="AC85" s="7"/>
      <c r="AD85" s="7"/>
      <c r="AE85" s="7"/>
    </row>
    <row r="86" spans="1:31" ht="0" hidden="1" customHeight="1" x14ac:dyDescent="0.25"/>
    <row r="87" spans="1:31" ht="0" hidden="1" customHeight="1" x14ac:dyDescent="0.25"/>
    <row r="88" spans="1:31" ht="0" hidden="1" customHeight="1" x14ac:dyDescent="0.25"/>
    <row r="89" spans="1:31" ht="0" hidden="1" customHeight="1" x14ac:dyDescent="0.25"/>
    <row r="90" spans="1:31" ht="0" hidden="1" customHeight="1" x14ac:dyDescent="0.25"/>
    <row r="91" spans="1:31" ht="0" hidden="1" customHeight="1" x14ac:dyDescent="0.25"/>
    <row r="92" spans="1:31" ht="0" hidden="1" customHeight="1" x14ac:dyDescent="0.25"/>
    <row r="93" spans="1:31" ht="0" hidden="1" customHeight="1" x14ac:dyDescent="0.25"/>
    <row r="94" spans="1:31" ht="0" hidden="1" customHeight="1" x14ac:dyDescent="0.25"/>
    <row r="95" spans="1:31" ht="0" hidden="1" customHeight="1" x14ac:dyDescent="0.25"/>
  </sheetData>
  <mergeCells count="37">
    <mergeCell ref="A79:C79"/>
    <mergeCell ref="A80:C80"/>
    <mergeCell ref="A81:C81"/>
    <mergeCell ref="A78:B78"/>
    <mergeCell ref="A82:G82"/>
    <mergeCell ref="E4:E5"/>
    <mergeCell ref="Q4:Q5"/>
    <mergeCell ref="R4:R5"/>
    <mergeCell ref="Y4:Y5"/>
    <mergeCell ref="O4:O5"/>
    <mergeCell ref="P4:P5"/>
    <mergeCell ref="I4:I5"/>
    <mergeCell ref="N4:N5"/>
    <mergeCell ref="F4:F5"/>
    <mergeCell ref="G4:G5"/>
    <mergeCell ref="H4:H5"/>
    <mergeCell ref="K4:K5"/>
    <mergeCell ref="L4:L5"/>
    <mergeCell ref="J4:J5"/>
    <mergeCell ref="A2:C2"/>
    <mergeCell ref="A4:A5"/>
    <mergeCell ref="B4:B5"/>
    <mergeCell ref="C4:C5"/>
    <mergeCell ref="D4:D5"/>
    <mergeCell ref="AE4:AE5"/>
    <mergeCell ref="M4:M5"/>
    <mergeCell ref="V4:V5"/>
    <mergeCell ref="T4:T5"/>
    <mergeCell ref="S4:S5"/>
    <mergeCell ref="AB4:AB5"/>
    <mergeCell ref="W4:W5"/>
    <mergeCell ref="AA4:AA5"/>
    <mergeCell ref="X4:X5"/>
    <mergeCell ref="Z4:Z5"/>
    <mergeCell ref="U4:U5"/>
    <mergeCell ref="AC4:AC5"/>
    <mergeCell ref="AD4:AD5"/>
  </mergeCells>
  <pageMargins left="0.74803149606299213" right="0.74803149606299213" top="0.98425196850393704" bottom="0.98425196850393704" header="0" footer="0"/>
  <pageSetup paperSize="9" scale="65" fitToWidth="19" orientation="portrait" r:id="rId1"/>
  <headerFooter alignWithMargins="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7"/>
  <dimension ref="A1:DW87"/>
  <sheetViews>
    <sheetView zoomScale="85" zoomScaleNormal="85" workbookViewId="0">
      <pane xSplit="2" ySplit="5" topLeftCell="C6" activePane="bottomRight" state="frozen"/>
      <selection activeCell="C6" sqref="C6"/>
      <selection pane="topRight" activeCell="C6" sqref="C6"/>
      <selection pane="bottomLeft" activeCell="C6" sqref="C6"/>
      <selection pane="bottomRight" activeCell="C6" sqref="C6"/>
    </sheetView>
  </sheetViews>
  <sheetFormatPr baseColWidth="10" defaultColWidth="0" defaultRowHeight="0" customHeight="1" zeroHeight="1" x14ac:dyDescent="0.25"/>
  <cols>
    <col min="1" max="1" width="5.7109375" style="8" customWidth="1"/>
    <col min="2" max="2" width="62.7109375" style="8" customWidth="1"/>
    <col min="3" max="4" width="11.140625" style="30" customWidth="1"/>
    <col min="5" max="6" width="11.140625" style="8" customWidth="1"/>
    <col min="7" max="7" width="11.140625" style="31" customWidth="1"/>
    <col min="8" max="31" width="11.140625" style="8" customWidth="1"/>
    <col min="32" max="32" width="6.42578125" style="7" customWidth="1"/>
    <col min="33" max="127" width="0" style="8" hidden="1" customWidth="1"/>
    <col min="128" max="16384" width="6.42578125" style="8" hidden="1"/>
  </cols>
  <sheetData>
    <row r="1" spans="1:32" s="5" customFormat="1" ht="25.5" customHeight="1" thickBot="1" x14ac:dyDescent="0.25">
      <c r="A1" s="1"/>
      <c r="B1" s="2"/>
      <c r="C1" s="3"/>
      <c r="D1" s="172" t="s">
        <v>0</v>
      </c>
      <c r="E1" s="171"/>
      <c r="F1" s="171"/>
      <c r="G1" s="173"/>
      <c r="H1" s="171"/>
      <c r="I1" s="171"/>
      <c r="J1" s="171"/>
      <c r="K1" s="171"/>
      <c r="L1" s="171"/>
      <c r="M1" s="171"/>
      <c r="N1" s="171"/>
      <c r="O1" s="171"/>
      <c r="P1" s="171"/>
      <c r="Q1" s="171"/>
      <c r="R1" s="171"/>
      <c r="S1" s="171"/>
      <c r="T1" s="171"/>
      <c r="U1" s="171"/>
      <c r="V1" s="171"/>
      <c r="W1" s="171"/>
      <c r="X1" s="171"/>
      <c r="Y1" s="171"/>
      <c r="Z1" s="171"/>
      <c r="AA1" s="171"/>
      <c r="AB1" s="171"/>
      <c r="AC1" s="171"/>
      <c r="AD1" s="171"/>
      <c r="AE1" s="171"/>
      <c r="AF1" s="2"/>
    </row>
    <row r="2" spans="1:32" ht="22.5" customHeight="1" thickBot="1" x14ac:dyDescent="0.3">
      <c r="A2" s="303" t="s">
        <v>114</v>
      </c>
      <c r="B2" s="304"/>
      <c r="C2" s="304"/>
      <c r="D2" s="140"/>
      <c r="E2" s="140"/>
      <c r="F2" s="140"/>
      <c r="G2" s="140"/>
      <c r="H2" s="140"/>
      <c r="I2" s="140"/>
      <c r="J2" s="140"/>
      <c r="K2" s="140"/>
      <c r="L2" s="140"/>
      <c r="M2" s="140"/>
      <c r="N2" s="140"/>
      <c r="O2" s="140"/>
      <c r="P2" s="140"/>
      <c r="Q2" s="140"/>
      <c r="R2" s="140"/>
      <c r="S2" s="140"/>
      <c r="T2" s="140"/>
      <c r="U2" s="140"/>
      <c r="V2" s="140"/>
      <c r="W2" s="140"/>
      <c r="X2" s="140"/>
      <c r="Y2" s="140"/>
      <c r="Z2" s="140"/>
      <c r="AA2" s="140"/>
      <c r="AB2" s="140"/>
      <c r="AC2" s="140"/>
      <c r="AD2" s="140"/>
      <c r="AE2" s="141"/>
    </row>
    <row r="3" spans="1:32" ht="16.5" customHeight="1" thickBot="1" x14ac:dyDescent="0.25">
      <c r="A3" s="142" t="s">
        <v>299</v>
      </c>
      <c r="B3" s="57"/>
      <c r="C3" s="57"/>
      <c r="D3" s="58"/>
      <c r="E3" s="58"/>
      <c r="F3" s="58"/>
      <c r="G3" s="58"/>
      <c r="H3" s="59"/>
      <c r="I3" s="59"/>
      <c r="J3" s="59"/>
      <c r="K3" s="59"/>
      <c r="L3" s="59"/>
      <c r="M3" s="59"/>
      <c r="N3" s="59"/>
      <c r="O3" s="59"/>
      <c r="P3" s="59"/>
      <c r="Q3" s="59"/>
      <c r="R3" s="59"/>
      <c r="S3" s="59"/>
      <c r="T3" s="59"/>
      <c r="U3" s="59"/>
      <c r="V3" s="59"/>
      <c r="W3" s="59"/>
      <c r="X3" s="59"/>
      <c r="Y3" s="59"/>
      <c r="Z3" s="59"/>
      <c r="AA3" s="59"/>
      <c r="AB3" s="59"/>
      <c r="AC3" s="59"/>
      <c r="AD3" s="59"/>
      <c r="AE3" s="143"/>
    </row>
    <row r="4" spans="1:32" ht="15.75" customHeight="1" x14ac:dyDescent="0.25">
      <c r="A4" s="305"/>
      <c r="B4" s="308" t="s">
        <v>2</v>
      </c>
      <c r="C4" s="301">
        <v>1996</v>
      </c>
      <c r="D4" s="301">
        <v>1997</v>
      </c>
      <c r="E4" s="301">
        <v>1998</v>
      </c>
      <c r="F4" s="301">
        <v>1999</v>
      </c>
      <c r="G4" s="301">
        <v>2000</v>
      </c>
      <c r="H4" s="301">
        <v>2001</v>
      </c>
      <c r="I4" s="301">
        <v>2002</v>
      </c>
      <c r="J4" s="301">
        <v>2003</v>
      </c>
      <c r="K4" s="301">
        <v>2004</v>
      </c>
      <c r="L4" s="301">
        <v>2005</v>
      </c>
      <c r="M4" s="301">
        <v>2006</v>
      </c>
      <c r="N4" s="301">
        <v>2007</v>
      </c>
      <c r="O4" s="301">
        <v>2008</v>
      </c>
      <c r="P4" s="301">
        <v>2009</v>
      </c>
      <c r="Q4" s="301">
        <v>2010</v>
      </c>
      <c r="R4" s="301">
        <v>2011</v>
      </c>
      <c r="S4" s="301">
        <v>2012</v>
      </c>
      <c r="T4" s="301">
        <v>2013</v>
      </c>
      <c r="U4" s="301">
        <v>2014</v>
      </c>
      <c r="V4" s="301">
        <v>2015</v>
      </c>
      <c r="W4" s="301">
        <v>2016</v>
      </c>
      <c r="X4" s="301">
        <v>2017</v>
      </c>
      <c r="Y4" s="301">
        <v>2018</v>
      </c>
      <c r="Z4" s="301">
        <v>2019</v>
      </c>
      <c r="AA4" s="301">
        <v>2020</v>
      </c>
      <c r="AB4" s="301">
        <v>2021</v>
      </c>
      <c r="AC4" s="301">
        <v>2022</v>
      </c>
      <c r="AD4" s="301">
        <v>2023</v>
      </c>
      <c r="AE4" s="299">
        <v>2024</v>
      </c>
    </row>
    <row r="5" spans="1:32" ht="15.75" customHeight="1" thickBot="1" x14ac:dyDescent="0.3">
      <c r="A5" s="306"/>
      <c r="B5" s="309"/>
      <c r="C5" s="302"/>
      <c r="D5" s="302" t="s">
        <v>3</v>
      </c>
      <c r="E5" s="302"/>
      <c r="F5" s="302" t="s">
        <v>4</v>
      </c>
      <c r="G5" s="302"/>
      <c r="H5" s="302" t="s">
        <v>5</v>
      </c>
      <c r="I5" s="302"/>
      <c r="J5" s="302" t="s">
        <v>6</v>
      </c>
      <c r="K5" s="302"/>
      <c r="L5" s="302" t="s">
        <v>7</v>
      </c>
      <c r="M5" s="302"/>
      <c r="N5" s="302" t="s">
        <v>8</v>
      </c>
      <c r="O5" s="302"/>
      <c r="P5" s="302" t="s">
        <v>9</v>
      </c>
      <c r="Q5" s="302"/>
      <c r="R5" s="302" t="s">
        <v>10</v>
      </c>
      <c r="S5" s="302"/>
      <c r="T5" s="302"/>
      <c r="U5" s="302"/>
      <c r="V5" s="302"/>
      <c r="W5" s="302"/>
      <c r="X5" s="302"/>
      <c r="Y5" s="302"/>
      <c r="Z5" s="302"/>
      <c r="AA5" s="302"/>
      <c r="AB5" s="302"/>
      <c r="AC5" s="302"/>
      <c r="AD5" s="302"/>
      <c r="AE5" s="300"/>
    </row>
    <row r="6" spans="1:32" s="11" customFormat="1" ht="15" customHeight="1" thickBot="1" x14ac:dyDescent="0.3">
      <c r="A6" s="144" t="s">
        <v>11</v>
      </c>
      <c r="B6" s="9" t="s">
        <v>12</v>
      </c>
      <c r="C6" s="64">
        <v>2417</v>
      </c>
      <c r="D6" s="64">
        <v>2401</v>
      </c>
      <c r="E6" s="64">
        <v>2239</v>
      </c>
      <c r="F6" s="64">
        <v>2175</v>
      </c>
      <c r="G6" s="64">
        <v>1443</v>
      </c>
      <c r="H6" s="64">
        <v>1443</v>
      </c>
      <c r="I6" s="64">
        <v>1445</v>
      </c>
      <c r="J6" s="64">
        <v>1510</v>
      </c>
      <c r="K6" s="64">
        <v>1687</v>
      </c>
      <c r="L6" s="64">
        <v>1799</v>
      </c>
      <c r="M6" s="64">
        <v>1909</v>
      </c>
      <c r="N6" s="64">
        <v>1984</v>
      </c>
      <c r="O6" s="64">
        <v>1967</v>
      </c>
      <c r="P6" s="64">
        <v>1913</v>
      </c>
      <c r="Q6" s="64">
        <v>1931</v>
      </c>
      <c r="R6" s="64">
        <v>1959</v>
      </c>
      <c r="S6" s="64">
        <v>1969</v>
      </c>
      <c r="T6" s="64">
        <v>1956</v>
      </c>
      <c r="U6" s="64">
        <v>1933</v>
      </c>
      <c r="V6" s="64">
        <v>1950</v>
      </c>
      <c r="W6" s="64">
        <v>1934</v>
      </c>
      <c r="X6" s="64">
        <v>1937</v>
      </c>
      <c r="Y6" s="64">
        <v>1923</v>
      </c>
      <c r="Z6" s="64">
        <v>1900</v>
      </c>
      <c r="AA6" s="64">
        <v>1896</v>
      </c>
      <c r="AB6" s="64">
        <v>1958</v>
      </c>
      <c r="AC6" s="64">
        <v>2410</v>
      </c>
      <c r="AD6" s="64">
        <v>2501</v>
      </c>
      <c r="AE6" s="145">
        <v>2487</v>
      </c>
      <c r="AF6" s="10"/>
    </row>
    <row r="7" spans="1:32" ht="15" customHeight="1" x14ac:dyDescent="0.25">
      <c r="A7" s="146">
        <v>1</v>
      </c>
      <c r="B7" s="12" t="s">
        <v>13</v>
      </c>
      <c r="C7" s="68">
        <v>2373</v>
      </c>
      <c r="D7" s="68">
        <v>2363</v>
      </c>
      <c r="E7" s="68">
        <v>2197</v>
      </c>
      <c r="F7" s="68">
        <v>2130</v>
      </c>
      <c r="G7" s="68">
        <v>1411</v>
      </c>
      <c r="H7" s="68">
        <v>1410</v>
      </c>
      <c r="I7" s="68">
        <v>1409</v>
      </c>
      <c r="J7" s="68">
        <v>1473</v>
      </c>
      <c r="K7" s="68">
        <v>1649</v>
      </c>
      <c r="L7" s="68">
        <v>1759</v>
      </c>
      <c r="M7" s="68">
        <v>1868</v>
      </c>
      <c r="N7" s="68">
        <v>1941</v>
      </c>
      <c r="O7" s="68">
        <v>1928</v>
      </c>
      <c r="P7" s="68">
        <v>1868</v>
      </c>
      <c r="Q7" s="68">
        <v>1888</v>
      </c>
      <c r="R7" s="68">
        <v>1921</v>
      </c>
      <c r="S7" s="68">
        <v>1932</v>
      </c>
      <c r="T7" s="68">
        <v>1919</v>
      </c>
      <c r="U7" s="68">
        <v>1893</v>
      </c>
      <c r="V7" s="68">
        <v>1908</v>
      </c>
      <c r="W7" s="68">
        <v>1888</v>
      </c>
      <c r="X7" s="68">
        <v>1894</v>
      </c>
      <c r="Y7" s="68">
        <v>1883</v>
      </c>
      <c r="Z7" s="68">
        <v>1862</v>
      </c>
      <c r="AA7" s="68">
        <v>1860</v>
      </c>
      <c r="AB7" s="68">
        <v>1920</v>
      </c>
      <c r="AC7" s="68">
        <v>2360</v>
      </c>
      <c r="AD7" s="68">
        <v>2454</v>
      </c>
      <c r="AE7" s="147">
        <v>2447</v>
      </c>
    </row>
    <row r="8" spans="1:32" ht="15" customHeight="1" thickBot="1" x14ac:dyDescent="0.3">
      <c r="A8" s="148">
        <v>2</v>
      </c>
      <c r="B8" s="13" t="s">
        <v>14</v>
      </c>
      <c r="C8" s="69">
        <v>44</v>
      </c>
      <c r="D8" s="69">
        <v>38</v>
      </c>
      <c r="E8" s="69">
        <v>42</v>
      </c>
      <c r="F8" s="69">
        <v>45</v>
      </c>
      <c r="G8" s="69">
        <v>32</v>
      </c>
      <c r="H8" s="69">
        <v>33</v>
      </c>
      <c r="I8" s="69">
        <v>36</v>
      </c>
      <c r="J8" s="69">
        <v>37</v>
      </c>
      <c r="K8" s="69">
        <v>38</v>
      </c>
      <c r="L8" s="69">
        <v>40</v>
      </c>
      <c r="M8" s="69">
        <v>41</v>
      </c>
      <c r="N8" s="69">
        <v>43</v>
      </c>
      <c r="O8" s="69">
        <v>39</v>
      </c>
      <c r="P8" s="69">
        <v>45</v>
      </c>
      <c r="Q8" s="69">
        <v>43</v>
      </c>
      <c r="R8" s="69">
        <v>38</v>
      </c>
      <c r="S8" s="69">
        <v>37</v>
      </c>
      <c r="T8" s="69">
        <v>37</v>
      </c>
      <c r="U8" s="69">
        <v>40</v>
      </c>
      <c r="V8" s="69">
        <v>42</v>
      </c>
      <c r="W8" s="69">
        <v>46</v>
      </c>
      <c r="X8" s="69">
        <v>43</v>
      </c>
      <c r="Y8" s="69">
        <v>40</v>
      </c>
      <c r="Z8" s="69">
        <v>38</v>
      </c>
      <c r="AA8" s="69">
        <v>36</v>
      </c>
      <c r="AB8" s="69">
        <v>38</v>
      </c>
      <c r="AC8" s="69">
        <v>50</v>
      </c>
      <c r="AD8" s="69">
        <v>47</v>
      </c>
      <c r="AE8" s="149">
        <v>40</v>
      </c>
    </row>
    <row r="9" spans="1:32" s="11" customFormat="1" ht="15" customHeight="1" thickBot="1" x14ac:dyDescent="0.3">
      <c r="A9" s="144" t="s">
        <v>15</v>
      </c>
      <c r="B9" s="9" t="s">
        <v>16</v>
      </c>
      <c r="C9" s="64">
        <v>74</v>
      </c>
      <c r="D9" s="64">
        <v>78</v>
      </c>
      <c r="E9" s="64">
        <v>75</v>
      </c>
      <c r="F9" s="64">
        <v>61</v>
      </c>
      <c r="G9" s="64">
        <v>49</v>
      </c>
      <c r="H9" s="64">
        <v>50</v>
      </c>
      <c r="I9" s="64">
        <v>57</v>
      </c>
      <c r="J9" s="64">
        <v>61</v>
      </c>
      <c r="K9" s="64">
        <v>63</v>
      </c>
      <c r="L9" s="64">
        <v>59</v>
      </c>
      <c r="M9" s="64">
        <v>62</v>
      </c>
      <c r="N9" s="64">
        <v>61</v>
      </c>
      <c r="O9" s="64">
        <v>56</v>
      </c>
      <c r="P9" s="64">
        <v>54</v>
      </c>
      <c r="Q9" s="64">
        <v>52</v>
      </c>
      <c r="R9" s="64">
        <v>48</v>
      </c>
      <c r="S9" s="64">
        <v>45</v>
      </c>
      <c r="T9" s="64">
        <v>41</v>
      </c>
      <c r="U9" s="64">
        <v>38</v>
      </c>
      <c r="V9" s="64">
        <v>37</v>
      </c>
      <c r="W9" s="64">
        <v>41</v>
      </c>
      <c r="X9" s="64">
        <v>40</v>
      </c>
      <c r="Y9" s="64">
        <v>42</v>
      </c>
      <c r="Z9" s="64">
        <v>43</v>
      </c>
      <c r="AA9" s="64">
        <v>41</v>
      </c>
      <c r="AB9" s="64">
        <v>40</v>
      </c>
      <c r="AC9" s="64">
        <v>39</v>
      </c>
      <c r="AD9" s="64">
        <v>42</v>
      </c>
      <c r="AE9" s="145">
        <v>45</v>
      </c>
      <c r="AF9" s="10"/>
    </row>
    <row r="10" spans="1:32" ht="15" customHeight="1" thickBot="1" x14ac:dyDescent="0.3">
      <c r="A10" s="150">
        <v>5</v>
      </c>
      <c r="B10" s="14" t="s">
        <v>17</v>
      </c>
      <c r="C10" s="67">
        <v>74</v>
      </c>
      <c r="D10" s="67">
        <v>78</v>
      </c>
      <c r="E10" s="67">
        <v>75</v>
      </c>
      <c r="F10" s="67">
        <v>61</v>
      </c>
      <c r="G10" s="67">
        <v>49</v>
      </c>
      <c r="H10" s="67">
        <v>50</v>
      </c>
      <c r="I10" s="67">
        <v>57</v>
      </c>
      <c r="J10" s="67">
        <v>61</v>
      </c>
      <c r="K10" s="67">
        <v>63</v>
      </c>
      <c r="L10" s="67">
        <v>59</v>
      </c>
      <c r="M10" s="67">
        <v>62</v>
      </c>
      <c r="N10" s="67">
        <v>61</v>
      </c>
      <c r="O10" s="67">
        <v>56</v>
      </c>
      <c r="P10" s="67">
        <v>54</v>
      </c>
      <c r="Q10" s="67">
        <v>52</v>
      </c>
      <c r="R10" s="67">
        <v>48</v>
      </c>
      <c r="S10" s="67">
        <v>45</v>
      </c>
      <c r="T10" s="67">
        <v>41</v>
      </c>
      <c r="U10" s="67">
        <v>38</v>
      </c>
      <c r="V10" s="67">
        <v>37</v>
      </c>
      <c r="W10" s="67">
        <v>41</v>
      </c>
      <c r="X10" s="67">
        <v>40</v>
      </c>
      <c r="Y10" s="67">
        <v>42</v>
      </c>
      <c r="Z10" s="67">
        <v>43</v>
      </c>
      <c r="AA10" s="67">
        <v>41</v>
      </c>
      <c r="AB10" s="67">
        <v>40</v>
      </c>
      <c r="AC10" s="67">
        <v>39</v>
      </c>
      <c r="AD10" s="67">
        <v>42</v>
      </c>
      <c r="AE10" s="151">
        <v>45</v>
      </c>
    </row>
    <row r="11" spans="1:32" s="11" customFormat="1" ht="15" customHeight="1" thickBot="1" x14ac:dyDescent="0.3">
      <c r="A11" s="144" t="s">
        <v>18</v>
      </c>
      <c r="B11" s="9" t="s">
        <v>19</v>
      </c>
      <c r="C11" s="64">
        <v>159</v>
      </c>
      <c r="D11" s="64">
        <v>175</v>
      </c>
      <c r="E11" s="64">
        <v>163</v>
      </c>
      <c r="F11" s="64">
        <v>163</v>
      </c>
      <c r="G11" s="64">
        <v>139</v>
      </c>
      <c r="H11" s="64">
        <v>136</v>
      </c>
      <c r="I11" s="64">
        <v>116</v>
      </c>
      <c r="J11" s="64">
        <v>125</v>
      </c>
      <c r="K11" s="64">
        <v>137</v>
      </c>
      <c r="L11" s="64">
        <v>144</v>
      </c>
      <c r="M11" s="64">
        <v>164</v>
      </c>
      <c r="N11" s="64">
        <v>176</v>
      </c>
      <c r="O11" s="64">
        <v>187</v>
      </c>
      <c r="P11" s="64">
        <v>194</v>
      </c>
      <c r="Q11" s="64">
        <v>199</v>
      </c>
      <c r="R11" s="64">
        <v>206</v>
      </c>
      <c r="S11" s="64">
        <v>210</v>
      </c>
      <c r="T11" s="64">
        <v>201</v>
      </c>
      <c r="U11" s="64">
        <v>196</v>
      </c>
      <c r="V11" s="64">
        <v>195</v>
      </c>
      <c r="W11" s="64">
        <v>199</v>
      </c>
      <c r="X11" s="64">
        <v>196</v>
      </c>
      <c r="Y11" s="64">
        <v>202</v>
      </c>
      <c r="Z11" s="64">
        <v>199</v>
      </c>
      <c r="AA11" s="64">
        <v>196</v>
      </c>
      <c r="AB11" s="64">
        <v>207</v>
      </c>
      <c r="AC11" s="64">
        <v>203</v>
      </c>
      <c r="AD11" s="64">
        <v>192</v>
      </c>
      <c r="AE11" s="145">
        <v>191</v>
      </c>
      <c r="AF11" s="10"/>
    </row>
    <row r="12" spans="1:32" ht="15" customHeight="1" x14ac:dyDescent="0.25">
      <c r="A12" s="152">
        <v>11</v>
      </c>
      <c r="B12" s="15" t="s">
        <v>20</v>
      </c>
      <c r="C12" s="68">
        <v>88</v>
      </c>
      <c r="D12" s="68">
        <v>100</v>
      </c>
      <c r="E12" s="68">
        <v>85</v>
      </c>
      <c r="F12" s="68">
        <v>89</v>
      </c>
      <c r="G12" s="68">
        <v>88</v>
      </c>
      <c r="H12" s="68">
        <v>86</v>
      </c>
      <c r="I12" s="68">
        <v>72</v>
      </c>
      <c r="J12" s="68">
        <v>75</v>
      </c>
      <c r="K12" s="68">
        <v>78</v>
      </c>
      <c r="L12" s="68">
        <v>85</v>
      </c>
      <c r="M12" s="68">
        <v>97</v>
      </c>
      <c r="N12" s="68">
        <v>110</v>
      </c>
      <c r="O12" s="68">
        <v>121</v>
      </c>
      <c r="P12" s="68">
        <v>126</v>
      </c>
      <c r="Q12" s="68">
        <v>126</v>
      </c>
      <c r="R12" s="68">
        <v>131</v>
      </c>
      <c r="S12" s="68">
        <v>130</v>
      </c>
      <c r="T12" s="68">
        <v>123</v>
      </c>
      <c r="U12" s="68">
        <v>122</v>
      </c>
      <c r="V12" s="68">
        <v>122</v>
      </c>
      <c r="W12" s="68">
        <v>123</v>
      </c>
      <c r="X12" s="68">
        <v>118</v>
      </c>
      <c r="Y12" s="68">
        <v>123</v>
      </c>
      <c r="Z12" s="68">
        <v>118</v>
      </c>
      <c r="AA12" s="68">
        <v>117</v>
      </c>
      <c r="AB12" s="68">
        <v>118</v>
      </c>
      <c r="AC12" s="68">
        <v>107</v>
      </c>
      <c r="AD12" s="68">
        <v>103</v>
      </c>
      <c r="AE12" s="153">
        <v>103</v>
      </c>
    </row>
    <row r="13" spans="1:32" ht="15" customHeight="1" x14ac:dyDescent="0.25">
      <c r="A13" s="154">
        <v>13</v>
      </c>
      <c r="B13" s="16" t="s">
        <v>21</v>
      </c>
      <c r="C13" s="69">
        <v>10</v>
      </c>
      <c r="D13" s="69">
        <v>10</v>
      </c>
      <c r="E13" s="69">
        <v>11</v>
      </c>
      <c r="F13" s="69">
        <v>10</v>
      </c>
      <c r="G13" s="69">
        <v>7</v>
      </c>
      <c r="H13" s="69">
        <v>7</v>
      </c>
      <c r="I13" s="69">
        <v>5</v>
      </c>
      <c r="J13" s="69">
        <v>5</v>
      </c>
      <c r="K13" s="69">
        <v>6</v>
      </c>
      <c r="L13" s="69">
        <v>7</v>
      </c>
      <c r="M13" s="69">
        <v>12</v>
      </c>
      <c r="N13" s="69">
        <v>14</v>
      </c>
      <c r="O13" s="69">
        <v>15</v>
      </c>
      <c r="P13" s="69">
        <v>16</v>
      </c>
      <c r="Q13" s="69">
        <v>17</v>
      </c>
      <c r="R13" s="69">
        <v>18</v>
      </c>
      <c r="S13" s="69">
        <v>19</v>
      </c>
      <c r="T13" s="69">
        <v>16</v>
      </c>
      <c r="U13" s="69">
        <v>14</v>
      </c>
      <c r="V13" s="69">
        <v>16</v>
      </c>
      <c r="W13" s="69">
        <v>14</v>
      </c>
      <c r="X13" s="69">
        <v>13</v>
      </c>
      <c r="Y13" s="69">
        <v>15</v>
      </c>
      <c r="Z13" s="69">
        <v>15</v>
      </c>
      <c r="AA13" s="69">
        <v>13</v>
      </c>
      <c r="AB13" s="69">
        <v>15</v>
      </c>
      <c r="AC13" s="69">
        <v>15</v>
      </c>
      <c r="AD13" s="69">
        <v>17</v>
      </c>
      <c r="AE13" s="155">
        <v>15</v>
      </c>
    </row>
    <row r="14" spans="1:32" ht="15" customHeight="1" thickBot="1" x14ac:dyDescent="0.3">
      <c r="A14" s="152">
        <v>14</v>
      </c>
      <c r="B14" s="15" t="s">
        <v>22</v>
      </c>
      <c r="C14" s="68">
        <v>61</v>
      </c>
      <c r="D14" s="68">
        <v>65</v>
      </c>
      <c r="E14" s="68">
        <v>67</v>
      </c>
      <c r="F14" s="68">
        <v>64</v>
      </c>
      <c r="G14" s="68">
        <v>44</v>
      </c>
      <c r="H14" s="68">
        <v>43</v>
      </c>
      <c r="I14" s="68">
        <v>39</v>
      </c>
      <c r="J14" s="68">
        <v>45</v>
      </c>
      <c r="K14" s="68">
        <v>53</v>
      </c>
      <c r="L14" s="68">
        <v>52</v>
      </c>
      <c r="M14" s="68">
        <v>55</v>
      </c>
      <c r="N14" s="68">
        <v>52</v>
      </c>
      <c r="O14" s="68">
        <v>51</v>
      </c>
      <c r="P14" s="68">
        <v>52</v>
      </c>
      <c r="Q14" s="68">
        <v>56</v>
      </c>
      <c r="R14" s="68">
        <v>57</v>
      </c>
      <c r="S14" s="68">
        <v>61</v>
      </c>
      <c r="T14" s="68">
        <v>62</v>
      </c>
      <c r="U14" s="68">
        <v>60</v>
      </c>
      <c r="V14" s="68">
        <v>57</v>
      </c>
      <c r="W14" s="68">
        <v>62</v>
      </c>
      <c r="X14" s="68">
        <v>65</v>
      </c>
      <c r="Y14" s="68">
        <v>64</v>
      </c>
      <c r="Z14" s="68">
        <v>66</v>
      </c>
      <c r="AA14" s="68">
        <v>66</v>
      </c>
      <c r="AB14" s="68">
        <v>74</v>
      </c>
      <c r="AC14" s="68">
        <v>81</v>
      </c>
      <c r="AD14" s="68">
        <v>72</v>
      </c>
      <c r="AE14" s="153">
        <v>73</v>
      </c>
    </row>
    <row r="15" spans="1:32" s="11" customFormat="1" ht="15" customHeight="1" thickBot="1" x14ac:dyDescent="0.3">
      <c r="A15" s="144" t="s">
        <v>23</v>
      </c>
      <c r="B15" s="9" t="s">
        <v>24</v>
      </c>
      <c r="C15" s="64">
        <v>13269</v>
      </c>
      <c r="D15" s="64">
        <v>13381</v>
      </c>
      <c r="E15" s="64">
        <v>13293</v>
      </c>
      <c r="F15" s="64">
        <v>13034</v>
      </c>
      <c r="G15" s="64">
        <v>10941</v>
      </c>
      <c r="H15" s="64">
        <v>10178</v>
      </c>
      <c r="I15" s="64">
        <v>9474</v>
      </c>
      <c r="J15" s="64">
        <v>10109</v>
      </c>
      <c r="K15" s="64">
        <v>11119</v>
      </c>
      <c r="L15" s="64">
        <v>11645</v>
      </c>
      <c r="M15" s="64">
        <v>12459</v>
      </c>
      <c r="N15" s="64">
        <v>12951</v>
      </c>
      <c r="O15" s="64">
        <v>13073</v>
      </c>
      <c r="P15" s="64">
        <v>12831</v>
      </c>
      <c r="Q15" s="64">
        <v>12749</v>
      </c>
      <c r="R15" s="64">
        <v>12720</v>
      </c>
      <c r="S15" s="64">
        <v>12501</v>
      </c>
      <c r="T15" s="64">
        <v>12416</v>
      </c>
      <c r="U15" s="64">
        <v>12287</v>
      </c>
      <c r="V15" s="64">
        <v>12319</v>
      </c>
      <c r="W15" s="64">
        <v>12013</v>
      </c>
      <c r="X15" s="64">
        <v>11750</v>
      </c>
      <c r="Y15" s="64">
        <v>11314</v>
      </c>
      <c r="Z15" s="64">
        <v>10856</v>
      </c>
      <c r="AA15" s="64">
        <v>10656</v>
      </c>
      <c r="AB15" s="64">
        <v>10648</v>
      </c>
      <c r="AC15" s="64">
        <v>11150</v>
      </c>
      <c r="AD15" s="64">
        <v>10995</v>
      </c>
      <c r="AE15" s="145">
        <v>10891</v>
      </c>
      <c r="AF15" s="10"/>
    </row>
    <row r="16" spans="1:32" ht="15" customHeight="1" x14ac:dyDescent="0.25">
      <c r="A16" s="152">
        <v>15</v>
      </c>
      <c r="B16" s="15" t="s">
        <v>25</v>
      </c>
      <c r="C16" s="68">
        <v>1992</v>
      </c>
      <c r="D16" s="68">
        <v>1992</v>
      </c>
      <c r="E16" s="68">
        <v>1956</v>
      </c>
      <c r="F16" s="68">
        <v>1811</v>
      </c>
      <c r="G16" s="68">
        <v>1536</v>
      </c>
      <c r="H16" s="68">
        <v>1435</v>
      </c>
      <c r="I16" s="68">
        <v>1383</v>
      </c>
      <c r="J16" s="68">
        <v>1427</v>
      </c>
      <c r="K16" s="68">
        <v>1605</v>
      </c>
      <c r="L16" s="68">
        <v>1622</v>
      </c>
      <c r="M16" s="68">
        <v>1654</v>
      </c>
      <c r="N16" s="68">
        <v>1719</v>
      </c>
      <c r="O16" s="68">
        <v>1728</v>
      </c>
      <c r="P16" s="68">
        <v>1719</v>
      </c>
      <c r="Q16" s="68">
        <v>1745</v>
      </c>
      <c r="R16" s="68">
        <v>1767</v>
      </c>
      <c r="S16" s="68">
        <v>1738</v>
      </c>
      <c r="T16" s="68">
        <v>1727</v>
      </c>
      <c r="U16" s="68">
        <v>1731</v>
      </c>
      <c r="V16" s="68">
        <v>1737</v>
      </c>
      <c r="W16" s="68">
        <v>1734</v>
      </c>
      <c r="X16" s="68">
        <v>1750</v>
      </c>
      <c r="Y16" s="68">
        <v>1742</v>
      </c>
      <c r="Z16" s="68">
        <v>1713</v>
      </c>
      <c r="AA16" s="68">
        <v>1747</v>
      </c>
      <c r="AB16" s="68">
        <v>1787</v>
      </c>
      <c r="AC16" s="68">
        <v>1970</v>
      </c>
      <c r="AD16" s="68">
        <v>1990</v>
      </c>
      <c r="AE16" s="153">
        <v>2053</v>
      </c>
    </row>
    <row r="17" spans="1:31" ht="15" customHeight="1" x14ac:dyDescent="0.25">
      <c r="A17" s="156">
        <v>16</v>
      </c>
      <c r="B17" s="17" t="s">
        <v>26</v>
      </c>
      <c r="C17" s="70">
        <v>6</v>
      </c>
      <c r="D17" s="70">
        <v>6</v>
      </c>
      <c r="E17" s="70">
        <v>7</v>
      </c>
      <c r="F17" s="70">
        <v>6</v>
      </c>
      <c r="G17" s="70">
        <v>6</v>
      </c>
      <c r="H17" s="70">
        <v>6</v>
      </c>
      <c r="I17" s="70">
        <v>7</v>
      </c>
      <c r="J17" s="70">
        <v>8</v>
      </c>
      <c r="K17" s="70">
        <v>9</v>
      </c>
      <c r="L17" s="70">
        <v>9</v>
      </c>
      <c r="M17" s="70">
        <v>7</v>
      </c>
      <c r="N17" s="70">
        <v>7</v>
      </c>
      <c r="O17" s="70">
        <v>6</v>
      </c>
      <c r="P17" s="70">
        <v>6</v>
      </c>
      <c r="Q17" s="70">
        <v>7</v>
      </c>
      <c r="R17" s="70">
        <v>10</v>
      </c>
      <c r="S17" s="70">
        <v>9</v>
      </c>
      <c r="T17" s="70">
        <v>8</v>
      </c>
      <c r="U17" s="70">
        <v>11</v>
      </c>
      <c r="V17" s="70">
        <v>9</v>
      </c>
      <c r="W17" s="70">
        <v>9</v>
      </c>
      <c r="X17" s="70">
        <v>9</v>
      </c>
      <c r="Y17" s="70">
        <v>10</v>
      </c>
      <c r="Z17" s="70">
        <v>11</v>
      </c>
      <c r="AA17" s="70">
        <v>9</v>
      </c>
      <c r="AB17" s="70">
        <v>9</v>
      </c>
      <c r="AC17" s="70">
        <v>9</v>
      </c>
      <c r="AD17" s="70">
        <v>10</v>
      </c>
      <c r="AE17" s="157">
        <v>10</v>
      </c>
    </row>
    <row r="18" spans="1:31" ht="15" customHeight="1" x14ac:dyDescent="0.25">
      <c r="A18" s="156">
        <v>17</v>
      </c>
      <c r="B18" s="17" t="s">
        <v>27</v>
      </c>
      <c r="C18" s="70">
        <v>1089</v>
      </c>
      <c r="D18" s="70">
        <v>1156</v>
      </c>
      <c r="E18" s="70">
        <v>1117</v>
      </c>
      <c r="F18" s="70">
        <v>1106</v>
      </c>
      <c r="G18" s="70">
        <v>972</v>
      </c>
      <c r="H18" s="70">
        <v>866</v>
      </c>
      <c r="I18" s="70">
        <v>813</v>
      </c>
      <c r="J18" s="70">
        <v>876</v>
      </c>
      <c r="K18" s="70">
        <v>983</v>
      </c>
      <c r="L18" s="70">
        <v>1030</v>
      </c>
      <c r="M18" s="70">
        <v>1134</v>
      </c>
      <c r="N18" s="70">
        <v>1175</v>
      </c>
      <c r="O18" s="70">
        <v>1208</v>
      </c>
      <c r="P18" s="70">
        <v>1198</v>
      </c>
      <c r="Q18" s="70">
        <v>1190</v>
      </c>
      <c r="R18" s="70">
        <v>1230</v>
      </c>
      <c r="S18" s="70">
        <v>1224</v>
      </c>
      <c r="T18" s="70">
        <v>1215</v>
      </c>
      <c r="U18" s="70">
        <v>1186</v>
      </c>
      <c r="V18" s="70">
        <v>1211</v>
      </c>
      <c r="W18" s="70">
        <v>1178</v>
      </c>
      <c r="X18" s="70">
        <v>1141</v>
      </c>
      <c r="Y18" s="70">
        <v>1092</v>
      </c>
      <c r="Z18" s="70">
        <v>1043</v>
      </c>
      <c r="AA18" s="70">
        <v>1036</v>
      </c>
      <c r="AB18" s="70">
        <v>1056</v>
      </c>
      <c r="AC18" s="70">
        <v>1087</v>
      </c>
      <c r="AD18" s="70">
        <v>1074</v>
      </c>
      <c r="AE18" s="157">
        <v>1063</v>
      </c>
    </row>
    <row r="19" spans="1:31" ht="15" customHeight="1" x14ac:dyDescent="0.25">
      <c r="A19" s="156">
        <v>18</v>
      </c>
      <c r="B19" s="17" t="s">
        <v>28</v>
      </c>
      <c r="C19" s="70">
        <v>1613</v>
      </c>
      <c r="D19" s="70">
        <v>1589</v>
      </c>
      <c r="E19" s="70">
        <v>1555</v>
      </c>
      <c r="F19" s="70">
        <v>1535</v>
      </c>
      <c r="G19" s="70">
        <v>1439</v>
      </c>
      <c r="H19" s="70">
        <v>1317</v>
      </c>
      <c r="I19" s="70">
        <v>1196</v>
      </c>
      <c r="J19" s="70">
        <v>1381</v>
      </c>
      <c r="K19" s="70">
        <v>1575</v>
      </c>
      <c r="L19" s="70">
        <v>1663</v>
      </c>
      <c r="M19" s="70">
        <v>1933</v>
      </c>
      <c r="N19" s="70">
        <v>2030</v>
      </c>
      <c r="O19" s="70">
        <v>2095</v>
      </c>
      <c r="P19" s="70">
        <v>2069</v>
      </c>
      <c r="Q19" s="70">
        <v>2037</v>
      </c>
      <c r="R19" s="70">
        <v>2004</v>
      </c>
      <c r="S19" s="70">
        <v>1975</v>
      </c>
      <c r="T19" s="70">
        <v>1959</v>
      </c>
      <c r="U19" s="70">
        <v>1985</v>
      </c>
      <c r="V19" s="70">
        <v>2013</v>
      </c>
      <c r="W19" s="70">
        <v>1947</v>
      </c>
      <c r="X19" s="70">
        <v>1884</v>
      </c>
      <c r="Y19" s="70">
        <v>1758</v>
      </c>
      <c r="Z19" s="70">
        <v>1639</v>
      </c>
      <c r="AA19" s="70">
        <v>1525</v>
      </c>
      <c r="AB19" s="70">
        <v>1482</v>
      </c>
      <c r="AC19" s="70">
        <v>1603</v>
      </c>
      <c r="AD19" s="70">
        <v>1596</v>
      </c>
      <c r="AE19" s="157">
        <v>1535</v>
      </c>
    </row>
    <row r="20" spans="1:31" ht="15" customHeight="1" x14ac:dyDescent="0.25">
      <c r="A20" s="156">
        <v>19</v>
      </c>
      <c r="B20" s="17" t="s">
        <v>115</v>
      </c>
      <c r="C20" s="70">
        <v>529</v>
      </c>
      <c r="D20" s="70">
        <v>521</v>
      </c>
      <c r="E20" s="70">
        <v>500</v>
      </c>
      <c r="F20" s="70">
        <v>481</v>
      </c>
      <c r="G20" s="70">
        <v>376</v>
      </c>
      <c r="H20" s="70">
        <v>343</v>
      </c>
      <c r="I20" s="70">
        <v>319</v>
      </c>
      <c r="J20" s="70">
        <v>370</v>
      </c>
      <c r="K20" s="70">
        <v>421</v>
      </c>
      <c r="L20" s="70">
        <v>454</v>
      </c>
      <c r="M20" s="70">
        <v>503</v>
      </c>
      <c r="N20" s="70">
        <v>529</v>
      </c>
      <c r="O20" s="70">
        <v>528</v>
      </c>
      <c r="P20" s="70">
        <v>506</v>
      </c>
      <c r="Q20" s="70">
        <v>516</v>
      </c>
      <c r="R20" s="70">
        <v>507</v>
      </c>
      <c r="S20" s="70">
        <v>492</v>
      </c>
      <c r="T20" s="70">
        <v>485</v>
      </c>
      <c r="U20" s="70">
        <v>483</v>
      </c>
      <c r="V20" s="70">
        <v>478</v>
      </c>
      <c r="W20" s="70">
        <v>456</v>
      </c>
      <c r="X20" s="70">
        <v>424</v>
      </c>
      <c r="Y20" s="70">
        <v>381</v>
      </c>
      <c r="Z20" s="70">
        <v>355</v>
      </c>
      <c r="AA20" s="70">
        <v>348</v>
      </c>
      <c r="AB20" s="70">
        <v>335</v>
      </c>
      <c r="AC20" s="70">
        <v>359</v>
      </c>
      <c r="AD20" s="70">
        <v>354</v>
      </c>
      <c r="AE20" s="157">
        <v>348</v>
      </c>
    </row>
    <row r="21" spans="1:31" ht="15" customHeight="1" x14ac:dyDescent="0.25">
      <c r="A21" s="156">
        <v>20</v>
      </c>
      <c r="B21" s="17" t="s">
        <v>30</v>
      </c>
      <c r="C21" s="70">
        <v>247</v>
      </c>
      <c r="D21" s="70">
        <v>251</v>
      </c>
      <c r="E21" s="70">
        <v>241</v>
      </c>
      <c r="F21" s="70">
        <v>246</v>
      </c>
      <c r="G21" s="70">
        <v>183</v>
      </c>
      <c r="H21" s="70">
        <v>174</v>
      </c>
      <c r="I21" s="70">
        <v>156</v>
      </c>
      <c r="J21" s="70">
        <v>163</v>
      </c>
      <c r="K21" s="70">
        <v>185</v>
      </c>
      <c r="L21" s="70">
        <v>201</v>
      </c>
      <c r="M21" s="70">
        <v>210</v>
      </c>
      <c r="N21" s="70">
        <v>208</v>
      </c>
      <c r="O21" s="70">
        <v>215</v>
      </c>
      <c r="P21" s="70">
        <v>196</v>
      </c>
      <c r="Q21" s="70">
        <v>194</v>
      </c>
      <c r="R21" s="70">
        <v>180</v>
      </c>
      <c r="S21" s="70">
        <v>172</v>
      </c>
      <c r="T21" s="70">
        <v>155</v>
      </c>
      <c r="U21" s="70">
        <v>147</v>
      </c>
      <c r="V21" s="70">
        <v>152</v>
      </c>
      <c r="W21" s="70">
        <v>145</v>
      </c>
      <c r="X21" s="70">
        <v>142</v>
      </c>
      <c r="Y21" s="70">
        <v>136</v>
      </c>
      <c r="Z21" s="70">
        <v>138</v>
      </c>
      <c r="AA21" s="70">
        <v>128</v>
      </c>
      <c r="AB21" s="70">
        <v>131</v>
      </c>
      <c r="AC21" s="70">
        <v>146</v>
      </c>
      <c r="AD21" s="70">
        <v>146</v>
      </c>
      <c r="AE21" s="157">
        <v>154</v>
      </c>
    </row>
    <row r="22" spans="1:31" ht="15" customHeight="1" x14ac:dyDescent="0.25">
      <c r="A22" s="156">
        <v>21</v>
      </c>
      <c r="B22" s="17" t="s">
        <v>31</v>
      </c>
      <c r="C22" s="70">
        <v>306</v>
      </c>
      <c r="D22" s="70">
        <v>318</v>
      </c>
      <c r="E22" s="70">
        <v>306</v>
      </c>
      <c r="F22" s="70">
        <v>311</v>
      </c>
      <c r="G22" s="70">
        <v>272</v>
      </c>
      <c r="H22" s="70">
        <v>262</v>
      </c>
      <c r="I22" s="70">
        <v>256</v>
      </c>
      <c r="J22" s="70">
        <v>271</v>
      </c>
      <c r="K22" s="70">
        <v>283</v>
      </c>
      <c r="L22" s="70">
        <v>299</v>
      </c>
      <c r="M22" s="70">
        <v>296</v>
      </c>
      <c r="N22" s="70">
        <v>301</v>
      </c>
      <c r="O22" s="70">
        <v>298</v>
      </c>
      <c r="P22" s="70">
        <v>288</v>
      </c>
      <c r="Q22" s="70">
        <v>285</v>
      </c>
      <c r="R22" s="70">
        <v>277</v>
      </c>
      <c r="S22" s="70">
        <v>275</v>
      </c>
      <c r="T22" s="70">
        <v>281</v>
      </c>
      <c r="U22" s="70">
        <v>278</v>
      </c>
      <c r="V22" s="70">
        <v>269</v>
      </c>
      <c r="W22" s="70">
        <v>257</v>
      </c>
      <c r="X22" s="70">
        <v>247</v>
      </c>
      <c r="Y22" s="70">
        <v>237</v>
      </c>
      <c r="Z22" s="70">
        <v>234</v>
      </c>
      <c r="AA22" s="70">
        <v>228</v>
      </c>
      <c r="AB22" s="70">
        <v>230</v>
      </c>
      <c r="AC22" s="70">
        <v>229</v>
      </c>
      <c r="AD22" s="70">
        <v>217</v>
      </c>
      <c r="AE22" s="157">
        <v>226</v>
      </c>
    </row>
    <row r="23" spans="1:31" ht="15" customHeight="1" x14ac:dyDescent="0.25">
      <c r="A23" s="156">
        <v>22</v>
      </c>
      <c r="B23" s="17" t="s">
        <v>98</v>
      </c>
      <c r="C23" s="70">
        <v>1544</v>
      </c>
      <c r="D23" s="70">
        <v>1592</v>
      </c>
      <c r="E23" s="70">
        <v>1646</v>
      </c>
      <c r="F23" s="70">
        <v>1639</v>
      </c>
      <c r="G23" s="70">
        <v>1509</v>
      </c>
      <c r="H23" s="70">
        <v>1424</v>
      </c>
      <c r="I23" s="70">
        <v>1285</v>
      </c>
      <c r="J23" s="70">
        <v>1321</v>
      </c>
      <c r="K23" s="70">
        <v>1408</v>
      </c>
      <c r="L23" s="70">
        <v>1496</v>
      </c>
      <c r="M23" s="70">
        <v>1578</v>
      </c>
      <c r="N23" s="70">
        <v>1644</v>
      </c>
      <c r="O23" s="70">
        <v>1650</v>
      </c>
      <c r="P23" s="70">
        <v>1628</v>
      </c>
      <c r="Q23" s="70">
        <v>1579</v>
      </c>
      <c r="R23" s="70">
        <v>1581</v>
      </c>
      <c r="S23" s="70">
        <v>1540</v>
      </c>
      <c r="T23" s="70">
        <v>1503</v>
      </c>
      <c r="U23" s="70">
        <v>1465</v>
      </c>
      <c r="V23" s="70">
        <v>1444</v>
      </c>
      <c r="W23" s="70">
        <v>1392</v>
      </c>
      <c r="X23" s="70">
        <v>1336</v>
      </c>
      <c r="Y23" s="70">
        <v>1276</v>
      </c>
      <c r="Z23" s="70">
        <v>1200</v>
      </c>
      <c r="AA23" s="70">
        <v>1145</v>
      </c>
      <c r="AB23" s="70">
        <v>1080</v>
      </c>
      <c r="AC23" s="70">
        <v>1060</v>
      </c>
      <c r="AD23" s="70">
        <v>1020</v>
      </c>
      <c r="AE23" s="157">
        <v>980</v>
      </c>
    </row>
    <row r="24" spans="1:31" ht="15" customHeight="1" x14ac:dyDescent="0.25">
      <c r="A24" s="156">
        <v>23</v>
      </c>
      <c r="B24" s="17" t="s">
        <v>33</v>
      </c>
      <c r="C24" s="70">
        <v>35</v>
      </c>
      <c r="D24" s="70">
        <v>33</v>
      </c>
      <c r="E24" s="70">
        <v>32</v>
      </c>
      <c r="F24" s="70">
        <v>33</v>
      </c>
      <c r="G24" s="70">
        <v>30</v>
      </c>
      <c r="H24" s="70">
        <v>27</v>
      </c>
      <c r="I24" s="70">
        <v>25</v>
      </c>
      <c r="J24" s="70">
        <v>26</v>
      </c>
      <c r="K24" s="70">
        <v>28</v>
      </c>
      <c r="L24" s="70">
        <v>26</v>
      </c>
      <c r="M24" s="70">
        <v>27</v>
      </c>
      <c r="N24" s="70">
        <v>29</v>
      </c>
      <c r="O24" s="70">
        <v>28</v>
      </c>
      <c r="P24" s="70">
        <v>28</v>
      </c>
      <c r="Q24" s="70">
        <v>28</v>
      </c>
      <c r="R24" s="70">
        <v>26</v>
      </c>
      <c r="S24" s="70">
        <v>29</v>
      </c>
      <c r="T24" s="70">
        <v>29</v>
      </c>
      <c r="U24" s="70">
        <v>29</v>
      </c>
      <c r="V24" s="70">
        <v>31</v>
      </c>
      <c r="W24" s="70">
        <v>27</v>
      </c>
      <c r="X24" s="70">
        <v>24</v>
      </c>
      <c r="Y24" s="70">
        <v>25</v>
      </c>
      <c r="Z24" s="70">
        <v>24</v>
      </c>
      <c r="AA24" s="70">
        <v>23</v>
      </c>
      <c r="AB24" s="70">
        <v>24</v>
      </c>
      <c r="AC24" s="70">
        <v>28</v>
      </c>
      <c r="AD24" s="70">
        <v>25</v>
      </c>
      <c r="AE24" s="157">
        <v>26</v>
      </c>
    </row>
    <row r="25" spans="1:31" ht="15" customHeight="1" x14ac:dyDescent="0.25">
      <c r="A25" s="156">
        <v>24</v>
      </c>
      <c r="B25" s="17" t="s">
        <v>34</v>
      </c>
      <c r="C25" s="70">
        <v>822</v>
      </c>
      <c r="D25" s="70">
        <v>850</v>
      </c>
      <c r="E25" s="70">
        <v>834</v>
      </c>
      <c r="F25" s="70">
        <v>839</v>
      </c>
      <c r="G25" s="70">
        <v>711</v>
      </c>
      <c r="H25" s="70">
        <v>692</v>
      </c>
      <c r="I25" s="70">
        <v>679</v>
      </c>
      <c r="J25" s="70">
        <v>712</v>
      </c>
      <c r="K25" s="70">
        <v>776</v>
      </c>
      <c r="L25" s="70">
        <v>811</v>
      </c>
      <c r="M25" s="70">
        <v>814</v>
      </c>
      <c r="N25" s="70">
        <v>823</v>
      </c>
      <c r="O25" s="70">
        <v>805</v>
      </c>
      <c r="P25" s="70">
        <v>806</v>
      </c>
      <c r="Q25" s="70">
        <v>807</v>
      </c>
      <c r="R25" s="70">
        <v>793</v>
      </c>
      <c r="S25" s="70">
        <v>788</v>
      </c>
      <c r="T25" s="70">
        <v>803</v>
      </c>
      <c r="U25" s="70">
        <v>793</v>
      </c>
      <c r="V25" s="70">
        <v>803</v>
      </c>
      <c r="W25" s="70">
        <v>802</v>
      </c>
      <c r="X25" s="70">
        <v>787</v>
      </c>
      <c r="Y25" s="70">
        <v>754</v>
      </c>
      <c r="Z25" s="70">
        <v>730</v>
      </c>
      <c r="AA25" s="70">
        <v>732</v>
      </c>
      <c r="AB25" s="70">
        <v>733</v>
      </c>
      <c r="AC25" s="70">
        <v>726</v>
      </c>
      <c r="AD25" s="70">
        <v>710</v>
      </c>
      <c r="AE25" s="157">
        <v>694</v>
      </c>
    </row>
    <row r="26" spans="1:31" ht="15" customHeight="1" x14ac:dyDescent="0.25">
      <c r="A26" s="156">
        <v>25</v>
      </c>
      <c r="B26" s="17" t="s">
        <v>35</v>
      </c>
      <c r="C26" s="70">
        <v>717</v>
      </c>
      <c r="D26" s="70">
        <v>731</v>
      </c>
      <c r="E26" s="70">
        <v>734</v>
      </c>
      <c r="F26" s="70">
        <v>719</v>
      </c>
      <c r="G26" s="70">
        <v>546</v>
      </c>
      <c r="H26" s="70">
        <v>511</v>
      </c>
      <c r="I26" s="70">
        <v>486</v>
      </c>
      <c r="J26" s="70">
        <v>511</v>
      </c>
      <c r="K26" s="70">
        <v>553</v>
      </c>
      <c r="L26" s="70">
        <v>587</v>
      </c>
      <c r="M26" s="70">
        <v>610</v>
      </c>
      <c r="N26" s="70">
        <v>635</v>
      </c>
      <c r="O26" s="70">
        <v>633</v>
      </c>
      <c r="P26" s="70">
        <v>629</v>
      </c>
      <c r="Q26" s="70">
        <v>634</v>
      </c>
      <c r="R26" s="70">
        <v>624</v>
      </c>
      <c r="S26" s="70">
        <v>596</v>
      </c>
      <c r="T26" s="70">
        <v>609</v>
      </c>
      <c r="U26" s="70">
        <v>593</v>
      </c>
      <c r="V26" s="70">
        <v>593</v>
      </c>
      <c r="W26" s="70">
        <v>575</v>
      </c>
      <c r="X26" s="70">
        <v>579</v>
      </c>
      <c r="Y26" s="70">
        <v>556</v>
      </c>
      <c r="Z26" s="70">
        <v>535</v>
      </c>
      <c r="AA26" s="70">
        <v>524</v>
      </c>
      <c r="AB26" s="70">
        <v>544</v>
      </c>
      <c r="AC26" s="70">
        <v>572</v>
      </c>
      <c r="AD26" s="70">
        <v>561</v>
      </c>
      <c r="AE26" s="157">
        <v>565</v>
      </c>
    </row>
    <row r="27" spans="1:31" ht="15" customHeight="1" x14ac:dyDescent="0.25">
      <c r="A27" s="156">
        <v>26</v>
      </c>
      <c r="B27" s="17" t="s">
        <v>36</v>
      </c>
      <c r="C27" s="70">
        <v>272</v>
      </c>
      <c r="D27" s="70">
        <v>281</v>
      </c>
      <c r="E27" s="70">
        <v>274</v>
      </c>
      <c r="F27" s="70">
        <v>262</v>
      </c>
      <c r="G27" s="70">
        <v>200</v>
      </c>
      <c r="H27" s="70">
        <v>202</v>
      </c>
      <c r="I27" s="70">
        <v>190</v>
      </c>
      <c r="J27" s="70">
        <v>207</v>
      </c>
      <c r="K27" s="70">
        <v>209</v>
      </c>
      <c r="L27" s="70">
        <v>228</v>
      </c>
      <c r="M27" s="70">
        <v>223</v>
      </c>
      <c r="N27" s="70">
        <v>239</v>
      </c>
      <c r="O27" s="70">
        <v>238</v>
      </c>
      <c r="P27" s="70">
        <v>231</v>
      </c>
      <c r="Q27" s="70">
        <v>230</v>
      </c>
      <c r="R27" s="70">
        <v>226</v>
      </c>
      <c r="S27" s="70">
        <v>225</v>
      </c>
      <c r="T27" s="70">
        <v>223</v>
      </c>
      <c r="U27" s="70">
        <v>222</v>
      </c>
      <c r="V27" s="70">
        <v>220</v>
      </c>
      <c r="W27" s="70">
        <v>217</v>
      </c>
      <c r="X27" s="70">
        <v>217</v>
      </c>
      <c r="Y27" s="70">
        <v>212</v>
      </c>
      <c r="Z27" s="70">
        <v>215</v>
      </c>
      <c r="AA27" s="70">
        <v>206</v>
      </c>
      <c r="AB27" s="70">
        <v>206</v>
      </c>
      <c r="AC27" s="70">
        <v>206</v>
      </c>
      <c r="AD27" s="70">
        <v>205</v>
      </c>
      <c r="AE27" s="157">
        <v>204</v>
      </c>
    </row>
    <row r="28" spans="1:31" ht="15" customHeight="1" x14ac:dyDescent="0.25">
      <c r="A28" s="156">
        <v>27</v>
      </c>
      <c r="B28" s="17" t="s">
        <v>37</v>
      </c>
      <c r="C28" s="70">
        <v>225</v>
      </c>
      <c r="D28" s="70">
        <v>211</v>
      </c>
      <c r="E28" s="70">
        <v>223</v>
      </c>
      <c r="F28" s="70">
        <v>225</v>
      </c>
      <c r="G28" s="70">
        <v>149</v>
      </c>
      <c r="H28" s="70">
        <v>133</v>
      </c>
      <c r="I28" s="70">
        <v>124</v>
      </c>
      <c r="J28" s="70">
        <v>137</v>
      </c>
      <c r="K28" s="70">
        <v>138</v>
      </c>
      <c r="L28" s="70">
        <v>153</v>
      </c>
      <c r="M28" s="70">
        <v>169</v>
      </c>
      <c r="N28" s="70">
        <v>161</v>
      </c>
      <c r="O28" s="70">
        <v>162</v>
      </c>
      <c r="P28" s="70">
        <v>154</v>
      </c>
      <c r="Q28" s="70">
        <v>155</v>
      </c>
      <c r="R28" s="70">
        <v>156</v>
      </c>
      <c r="S28" s="70">
        <v>147</v>
      </c>
      <c r="T28" s="70">
        <v>149</v>
      </c>
      <c r="U28" s="70">
        <v>143</v>
      </c>
      <c r="V28" s="70">
        <v>143</v>
      </c>
      <c r="W28" s="70">
        <v>137</v>
      </c>
      <c r="X28" s="70">
        <v>136</v>
      </c>
      <c r="Y28" s="70">
        <v>136</v>
      </c>
      <c r="Z28" s="70">
        <v>133</v>
      </c>
      <c r="AA28" s="70">
        <v>134</v>
      </c>
      <c r="AB28" s="70">
        <v>134</v>
      </c>
      <c r="AC28" s="70">
        <v>140</v>
      </c>
      <c r="AD28" s="70">
        <v>142</v>
      </c>
      <c r="AE28" s="157">
        <v>140</v>
      </c>
    </row>
    <row r="29" spans="1:31" ht="15" customHeight="1" x14ac:dyDescent="0.25">
      <c r="A29" s="156">
        <v>28</v>
      </c>
      <c r="B29" s="17" t="s">
        <v>38</v>
      </c>
      <c r="C29" s="70">
        <v>1145</v>
      </c>
      <c r="D29" s="70">
        <v>1181</v>
      </c>
      <c r="E29" s="70">
        <v>1192</v>
      </c>
      <c r="F29" s="70">
        <v>1182</v>
      </c>
      <c r="G29" s="70">
        <v>884</v>
      </c>
      <c r="H29" s="70">
        <v>794</v>
      </c>
      <c r="I29" s="70">
        <v>728</v>
      </c>
      <c r="J29" s="70">
        <v>763</v>
      </c>
      <c r="K29" s="70">
        <v>820</v>
      </c>
      <c r="L29" s="70">
        <v>873</v>
      </c>
      <c r="M29" s="70">
        <v>943</v>
      </c>
      <c r="N29" s="70">
        <v>984</v>
      </c>
      <c r="O29" s="70">
        <v>995</v>
      </c>
      <c r="P29" s="70">
        <v>985</v>
      </c>
      <c r="Q29" s="70">
        <v>975</v>
      </c>
      <c r="R29" s="70">
        <v>957</v>
      </c>
      <c r="S29" s="70">
        <v>938</v>
      </c>
      <c r="T29" s="70">
        <v>928</v>
      </c>
      <c r="U29" s="70">
        <v>908</v>
      </c>
      <c r="V29" s="70">
        <v>901</v>
      </c>
      <c r="W29" s="70">
        <v>890</v>
      </c>
      <c r="X29" s="70">
        <v>875</v>
      </c>
      <c r="Y29" s="70">
        <v>838</v>
      </c>
      <c r="Z29" s="70">
        <v>809</v>
      </c>
      <c r="AA29" s="70">
        <v>797</v>
      </c>
      <c r="AB29" s="70">
        <v>805</v>
      </c>
      <c r="AC29" s="70">
        <v>881</v>
      </c>
      <c r="AD29" s="70">
        <v>830</v>
      </c>
      <c r="AE29" s="157">
        <v>830</v>
      </c>
    </row>
    <row r="30" spans="1:31" ht="15" customHeight="1" x14ac:dyDescent="0.25">
      <c r="A30" s="156">
        <v>29</v>
      </c>
      <c r="B30" s="17" t="s">
        <v>39</v>
      </c>
      <c r="C30" s="70">
        <v>633</v>
      </c>
      <c r="D30" s="70">
        <v>647</v>
      </c>
      <c r="E30" s="70">
        <v>640</v>
      </c>
      <c r="F30" s="70">
        <v>641</v>
      </c>
      <c r="G30" s="70">
        <v>483</v>
      </c>
      <c r="H30" s="70">
        <v>450</v>
      </c>
      <c r="I30" s="70">
        <v>419</v>
      </c>
      <c r="J30" s="70">
        <v>445</v>
      </c>
      <c r="K30" s="70">
        <v>497</v>
      </c>
      <c r="L30" s="70">
        <v>494</v>
      </c>
      <c r="M30" s="70">
        <v>518</v>
      </c>
      <c r="N30" s="70">
        <v>543</v>
      </c>
      <c r="O30" s="70">
        <v>535</v>
      </c>
      <c r="P30" s="70">
        <v>511</v>
      </c>
      <c r="Q30" s="70">
        <v>507</v>
      </c>
      <c r="R30" s="70">
        <v>506</v>
      </c>
      <c r="S30" s="70">
        <v>492</v>
      </c>
      <c r="T30" s="70">
        <v>494</v>
      </c>
      <c r="U30" s="70">
        <v>499</v>
      </c>
      <c r="V30" s="70">
        <v>494</v>
      </c>
      <c r="W30" s="70">
        <v>483</v>
      </c>
      <c r="X30" s="70">
        <v>479</v>
      </c>
      <c r="Y30" s="70">
        <v>473</v>
      </c>
      <c r="Z30" s="70">
        <v>465</v>
      </c>
      <c r="AA30" s="70">
        <v>458</v>
      </c>
      <c r="AB30" s="70">
        <v>468</v>
      </c>
      <c r="AC30" s="70">
        <v>481</v>
      </c>
      <c r="AD30" s="70">
        <v>457</v>
      </c>
      <c r="AE30" s="157">
        <v>451</v>
      </c>
    </row>
    <row r="31" spans="1:31" ht="15" customHeight="1" x14ac:dyDescent="0.25">
      <c r="A31" s="156">
        <v>30</v>
      </c>
      <c r="B31" s="17" t="s">
        <v>40</v>
      </c>
      <c r="C31" s="70">
        <v>71</v>
      </c>
      <c r="D31" s="70">
        <v>67</v>
      </c>
      <c r="E31" s="70">
        <v>70</v>
      </c>
      <c r="F31" s="70">
        <v>72</v>
      </c>
      <c r="G31" s="70">
        <v>64</v>
      </c>
      <c r="H31" s="70">
        <v>54</v>
      </c>
      <c r="I31" s="70">
        <v>47</v>
      </c>
      <c r="J31" s="70">
        <v>62</v>
      </c>
      <c r="K31" s="70">
        <v>63</v>
      </c>
      <c r="L31" s="70">
        <v>66</v>
      </c>
      <c r="M31" s="70">
        <v>75</v>
      </c>
      <c r="N31" s="70">
        <v>82</v>
      </c>
      <c r="O31" s="70">
        <v>84</v>
      </c>
      <c r="P31" s="70">
        <v>76</v>
      </c>
      <c r="Q31" s="70">
        <v>76</v>
      </c>
      <c r="R31" s="70">
        <v>74</v>
      </c>
      <c r="S31" s="70">
        <v>73</v>
      </c>
      <c r="T31" s="70">
        <v>63</v>
      </c>
      <c r="U31" s="70">
        <v>66</v>
      </c>
      <c r="V31" s="70">
        <v>65</v>
      </c>
      <c r="W31" s="70">
        <v>62</v>
      </c>
      <c r="X31" s="70">
        <v>62</v>
      </c>
      <c r="Y31" s="70">
        <v>64</v>
      </c>
      <c r="Z31" s="70">
        <v>60</v>
      </c>
      <c r="AA31" s="70">
        <v>63</v>
      </c>
      <c r="AB31" s="70">
        <v>68</v>
      </c>
      <c r="AC31" s="70">
        <v>65</v>
      </c>
      <c r="AD31" s="70">
        <v>63</v>
      </c>
      <c r="AE31" s="157">
        <v>62</v>
      </c>
    </row>
    <row r="32" spans="1:31" ht="15" customHeight="1" x14ac:dyDescent="0.25">
      <c r="A32" s="156">
        <v>31</v>
      </c>
      <c r="B32" s="17" t="s">
        <v>41</v>
      </c>
      <c r="C32" s="70">
        <v>307</v>
      </c>
      <c r="D32" s="70">
        <v>306</v>
      </c>
      <c r="E32" s="70">
        <v>309</v>
      </c>
      <c r="F32" s="70">
        <v>308</v>
      </c>
      <c r="G32" s="70">
        <v>251</v>
      </c>
      <c r="H32" s="70">
        <v>253</v>
      </c>
      <c r="I32" s="70">
        <v>235</v>
      </c>
      <c r="J32" s="70">
        <v>244</v>
      </c>
      <c r="K32" s="70">
        <v>269</v>
      </c>
      <c r="L32" s="70">
        <v>269</v>
      </c>
      <c r="M32" s="70">
        <v>293</v>
      </c>
      <c r="N32" s="70">
        <v>304</v>
      </c>
      <c r="O32" s="70">
        <v>307</v>
      </c>
      <c r="P32" s="70">
        <v>301</v>
      </c>
      <c r="Q32" s="70">
        <v>303</v>
      </c>
      <c r="R32" s="70">
        <v>307</v>
      </c>
      <c r="S32" s="70">
        <v>299</v>
      </c>
      <c r="T32" s="70">
        <v>300</v>
      </c>
      <c r="U32" s="70">
        <v>297</v>
      </c>
      <c r="V32" s="70">
        <v>302</v>
      </c>
      <c r="W32" s="70">
        <v>295</v>
      </c>
      <c r="X32" s="70">
        <v>287</v>
      </c>
      <c r="Y32" s="70">
        <v>280</v>
      </c>
      <c r="Z32" s="70">
        <v>278</v>
      </c>
      <c r="AA32" s="70">
        <v>277</v>
      </c>
      <c r="AB32" s="70">
        <v>274</v>
      </c>
      <c r="AC32" s="70">
        <v>269</v>
      </c>
      <c r="AD32" s="70">
        <v>268</v>
      </c>
      <c r="AE32" s="157">
        <v>255</v>
      </c>
    </row>
    <row r="33" spans="1:32" ht="15" customHeight="1" x14ac:dyDescent="0.25">
      <c r="A33" s="156">
        <v>32</v>
      </c>
      <c r="B33" s="17" t="s">
        <v>42</v>
      </c>
      <c r="C33" s="70">
        <v>93</v>
      </c>
      <c r="D33" s="70">
        <v>91</v>
      </c>
      <c r="E33" s="70">
        <v>80</v>
      </c>
      <c r="F33" s="70">
        <v>71</v>
      </c>
      <c r="G33" s="70">
        <v>65</v>
      </c>
      <c r="H33" s="70">
        <v>64</v>
      </c>
      <c r="I33" s="70">
        <v>60</v>
      </c>
      <c r="J33" s="70">
        <v>60</v>
      </c>
      <c r="K33" s="70">
        <v>64</v>
      </c>
      <c r="L33" s="70">
        <v>64</v>
      </c>
      <c r="M33" s="70">
        <v>67</v>
      </c>
      <c r="N33" s="70">
        <v>67</v>
      </c>
      <c r="O33" s="70">
        <v>71</v>
      </c>
      <c r="P33" s="70">
        <v>73</v>
      </c>
      <c r="Q33" s="70">
        <v>70</v>
      </c>
      <c r="R33" s="70">
        <v>68</v>
      </c>
      <c r="S33" s="70">
        <v>74</v>
      </c>
      <c r="T33" s="70">
        <v>76</v>
      </c>
      <c r="U33" s="70">
        <v>76</v>
      </c>
      <c r="V33" s="70">
        <v>74</v>
      </c>
      <c r="W33" s="70">
        <v>72</v>
      </c>
      <c r="X33" s="70">
        <v>76</v>
      </c>
      <c r="Y33" s="70">
        <v>69</v>
      </c>
      <c r="Z33" s="70">
        <v>64</v>
      </c>
      <c r="AA33" s="70">
        <v>62</v>
      </c>
      <c r="AB33" s="70">
        <v>59</v>
      </c>
      <c r="AC33" s="70">
        <v>58</v>
      </c>
      <c r="AD33" s="70">
        <v>56</v>
      </c>
      <c r="AE33" s="157">
        <v>50</v>
      </c>
    </row>
    <row r="34" spans="1:32" ht="15" customHeight="1" x14ac:dyDescent="0.25">
      <c r="A34" s="156">
        <v>33</v>
      </c>
      <c r="B34" s="17" t="s">
        <v>43</v>
      </c>
      <c r="C34" s="70">
        <v>197</v>
      </c>
      <c r="D34" s="70">
        <v>197</v>
      </c>
      <c r="E34" s="70">
        <v>202</v>
      </c>
      <c r="F34" s="70">
        <v>211</v>
      </c>
      <c r="G34" s="70">
        <v>186</v>
      </c>
      <c r="H34" s="70">
        <v>185</v>
      </c>
      <c r="I34" s="70">
        <v>173</v>
      </c>
      <c r="J34" s="70">
        <v>182</v>
      </c>
      <c r="K34" s="70">
        <v>201</v>
      </c>
      <c r="L34" s="70">
        <v>209</v>
      </c>
      <c r="M34" s="70">
        <v>220</v>
      </c>
      <c r="N34" s="70">
        <v>226</v>
      </c>
      <c r="O34" s="70">
        <v>222</v>
      </c>
      <c r="P34" s="70">
        <v>220</v>
      </c>
      <c r="Q34" s="70">
        <v>224</v>
      </c>
      <c r="R34" s="70">
        <v>229</v>
      </c>
      <c r="S34" s="70">
        <v>226</v>
      </c>
      <c r="T34" s="70">
        <v>236</v>
      </c>
      <c r="U34" s="70">
        <v>225</v>
      </c>
      <c r="V34" s="70">
        <v>222</v>
      </c>
      <c r="W34" s="70">
        <v>221</v>
      </c>
      <c r="X34" s="70">
        <v>228</v>
      </c>
      <c r="Y34" s="70">
        <v>230</v>
      </c>
      <c r="Z34" s="70">
        <v>222</v>
      </c>
      <c r="AA34" s="70">
        <v>218</v>
      </c>
      <c r="AB34" s="70">
        <v>217</v>
      </c>
      <c r="AC34" s="70">
        <v>219</v>
      </c>
      <c r="AD34" s="70">
        <v>220</v>
      </c>
      <c r="AE34" s="157">
        <v>209</v>
      </c>
    </row>
    <row r="35" spans="1:32" ht="15" customHeight="1" x14ac:dyDescent="0.25">
      <c r="A35" s="156">
        <v>34</v>
      </c>
      <c r="B35" s="17" t="s">
        <v>44</v>
      </c>
      <c r="C35" s="70">
        <v>299</v>
      </c>
      <c r="D35" s="70">
        <v>296</v>
      </c>
      <c r="E35" s="70">
        <v>286</v>
      </c>
      <c r="F35" s="70">
        <v>296</v>
      </c>
      <c r="G35" s="70">
        <v>233</v>
      </c>
      <c r="H35" s="70">
        <v>226</v>
      </c>
      <c r="I35" s="70">
        <v>221</v>
      </c>
      <c r="J35" s="70">
        <v>229</v>
      </c>
      <c r="K35" s="70">
        <v>241</v>
      </c>
      <c r="L35" s="70">
        <v>248</v>
      </c>
      <c r="M35" s="70">
        <v>260</v>
      </c>
      <c r="N35" s="70">
        <v>269</v>
      </c>
      <c r="O35" s="70">
        <v>269</v>
      </c>
      <c r="P35" s="70">
        <v>253</v>
      </c>
      <c r="Q35" s="70">
        <v>240</v>
      </c>
      <c r="R35" s="70">
        <v>245</v>
      </c>
      <c r="S35" s="70">
        <v>247</v>
      </c>
      <c r="T35" s="70">
        <v>232</v>
      </c>
      <c r="U35" s="70">
        <v>226</v>
      </c>
      <c r="V35" s="70">
        <v>226</v>
      </c>
      <c r="W35" s="70">
        <v>221</v>
      </c>
      <c r="X35" s="70">
        <v>214</v>
      </c>
      <c r="Y35" s="70">
        <v>199</v>
      </c>
      <c r="Z35" s="70">
        <v>189</v>
      </c>
      <c r="AA35" s="70">
        <v>195</v>
      </c>
      <c r="AB35" s="70">
        <v>197</v>
      </c>
      <c r="AC35" s="70">
        <v>210</v>
      </c>
      <c r="AD35" s="70">
        <v>215</v>
      </c>
      <c r="AE35" s="157">
        <v>210</v>
      </c>
    </row>
    <row r="36" spans="1:32" ht="15" customHeight="1" x14ac:dyDescent="0.25">
      <c r="A36" s="156">
        <v>35</v>
      </c>
      <c r="B36" s="17" t="s">
        <v>45</v>
      </c>
      <c r="C36" s="70">
        <v>105</v>
      </c>
      <c r="D36" s="70">
        <v>97</v>
      </c>
      <c r="E36" s="70">
        <v>89</v>
      </c>
      <c r="F36" s="70">
        <v>94</v>
      </c>
      <c r="G36" s="70">
        <v>74</v>
      </c>
      <c r="H36" s="70">
        <v>67</v>
      </c>
      <c r="I36" s="70">
        <v>66</v>
      </c>
      <c r="J36" s="70">
        <v>75</v>
      </c>
      <c r="K36" s="70">
        <v>78</v>
      </c>
      <c r="L36" s="70">
        <v>86</v>
      </c>
      <c r="M36" s="70">
        <v>93</v>
      </c>
      <c r="N36" s="70">
        <v>104</v>
      </c>
      <c r="O36" s="70">
        <v>109</v>
      </c>
      <c r="P36" s="70">
        <v>99</v>
      </c>
      <c r="Q36" s="70">
        <v>93</v>
      </c>
      <c r="R36" s="70">
        <v>99</v>
      </c>
      <c r="S36" s="70">
        <v>102</v>
      </c>
      <c r="T36" s="70">
        <v>107</v>
      </c>
      <c r="U36" s="70">
        <v>107</v>
      </c>
      <c r="V36" s="70">
        <v>113</v>
      </c>
      <c r="W36" s="70">
        <v>103</v>
      </c>
      <c r="X36" s="70">
        <v>99</v>
      </c>
      <c r="Y36" s="70">
        <v>97</v>
      </c>
      <c r="Z36" s="70">
        <v>93</v>
      </c>
      <c r="AA36" s="70">
        <v>95</v>
      </c>
      <c r="AB36" s="70">
        <v>91</v>
      </c>
      <c r="AC36" s="70">
        <v>102</v>
      </c>
      <c r="AD36" s="70">
        <v>104</v>
      </c>
      <c r="AE36" s="157">
        <v>96</v>
      </c>
    </row>
    <row r="37" spans="1:32" ht="15" customHeight="1" x14ac:dyDescent="0.25">
      <c r="A37" s="156">
        <v>36</v>
      </c>
      <c r="B37" s="17" t="s">
        <v>46</v>
      </c>
      <c r="C37" s="70">
        <v>1005</v>
      </c>
      <c r="D37" s="70">
        <v>951</v>
      </c>
      <c r="E37" s="70">
        <v>988</v>
      </c>
      <c r="F37" s="70">
        <v>933</v>
      </c>
      <c r="G37" s="70">
        <v>762</v>
      </c>
      <c r="H37" s="70">
        <v>685</v>
      </c>
      <c r="I37" s="70">
        <v>596</v>
      </c>
      <c r="J37" s="70">
        <v>624</v>
      </c>
      <c r="K37" s="70">
        <v>693</v>
      </c>
      <c r="L37" s="70">
        <v>736</v>
      </c>
      <c r="M37" s="70">
        <v>804</v>
      </c>
      <c r="N37" s="70">
        <v>835</v>
      </c>
      <c r="O37" s="70">
        <v>854</v>
      </c>
      <c r="P37" s="70">
        <v>823</v>
      </c>
      <c r="Q37" s="70">
        <v>813</v>
      </c>
      <c r="R37" s="70">
        <v>819</v>
      </c>
      <c r="S37" s="70">
        <v>805</v>
      </c>
      <c r="T37" s="70">
        <v>802</v>
      </c>
      <c r="U37" s="70">
        <v>783</v>
      </c>
      <c r="V37" s="70">
        <v>785</v>
      </c>
      <c r="W37" s="70">
        <v>759</v>
      </c>
      <c r="X37" s="70">
        <v>725</v>
      </c>
      <c r="Y37" s="70">
        <v>720</v>
      </c>
      <c r="Z37" s="70">
        <v>676</v>
      </c>
      <c r="AA37" s="70">
        <v>677</v>
      </c>
      <c r="AB37" s="70">
        <v>685</v>
      </c>
      <c r="AC37" s="70">
        <v>691</v>
      </c>
      <c r="AD37" s="70">
        <v>693</v>
      </c>
      <c r="AE37" s="157">
        <v>689</v>
      </c>
    </row>
    <row r="38" spans="1:32" ht="15" customHeight="1" thickBot="1" x14ac:dyDescent="0.3">
      <c r="A38" s="152">
        <v>37</v>
      </c>
      <c r="B38" s="15" t="s">
        <v>47</v>
      </c>
      <c r="C38" s="68">
        <v>17</v>
      </c>
      <c r="D38" s="68">
        <v>17</v>
      </c>
      <c r="E38" s="68">
        <v>12</v>
      </c>
      <c r="F38" s="68">
        <v>13</v>
      </c>
      <c r="G38" s="68">
        <v>10</v>
      </c>
      <c r="H38" s="68">
        <v>8</v>
      </c>
      <c r="I38" s="68">
        <v>10</v>
      </c>
      <c r="J38" s="68">
        <v>15</v>
      </c>
      <c r="K38" s="68">
        <v>20</v>
      </c>
      <c r="L38" s="68">
        <v>21</v>
      </c>
      <c r="M38" s="68">
        <v>28</v>
      </c>
      <c r="N38" s="68">
        <v>37</v>
      </c>
      <c r="O38" s="68">
        <v>33</v>
      </c>
      <c r="P38" s="68">
        <v>32</v>
      </c>
      <c r="Q38" s="68">
        <v>41</v>
      </c>
      <c r="R38" s="68">
        <v>35</v>
      </c>
      <c r="S38" s="68">
        <v>35</v>
      </c>
      <c r="T38" s="68">
        <v>32</v>
      </c>
      <c r="U38" s="68">
        <v>34</v>
      </c>
      <c r="V38" s="68">
        <v>34</v>
      </c>
      <c r="W38" s="68">
        <v>31</v>
      </c>
      <c r="X38" s="68">
        <v>29</v>
      </c>
      <c r="Y38" s="68">
        <v>29</v>
      </c>
      <c r="Z38" s="68">
        <v>30</v>
      </c>
      <c r="AA38" s="68">
        <v>29</v>
      </c>
      <c r="AB38" s="68">
        <v>33</v>
      </c>
      <c r="AC38" s="68">
        <v>39</v>
      </c>
      <c r="AD38" s="68">
        <v>39</v>
      </c>
      <c r="AE38" s="153">
        <v>41</v>
      </c>
    </row>
    <row r="39" spans="1:32" s="11" customFormat="1" ht="15" customHeight="1" thickBot="1" x14ac:dyDescent="0.3">
      <c r="A39" s="144" t="s">
        <v>48</v>
      </c>
      <c r="B39" s="9" t="s">
        <v>49</v>
      </c>
      <c r="C39" s="64">
        <v>67</v>
      </c>
      <c r="D39" s="64">
        <v>68</v>
      </c>
      <c r="E39" s="64">
        <v>61</v>
      </c>
      <c r="F39" s="64">
        <v>64</v>
      </c>
      <c r="G39" s="64">
        <v>52</v>
      </c>
      <c r="H39" s="64">
        <v>56</v>
      </c>
      <c r="I39" s="64">
        <v>54</v>
      </c>
      <c r="J39" s="64">
        <v>52</v>
      </c>
      <c r="K39" s="64">
        <v>57</v>
      </c>
      <c r="L39" s="64">
        <v>51</v>
      </c>
      <c r="M39" s="64">
        <v>52</v>
      </c>
      <c r="N39" s="64">
        <v>57</v>
      </c>
      <c r="O39" s="64">
        <v>61</v>
      </c>
      <c r="P39" s="64">
        <v>63</v>
      </c>
      <c r="Q39" s="64">
        <v>67</v>
      </c>
      <c r="R39" s="64">
        <v>69</v>
      </c>
      <c r="S39" s="64">
        <v>79</v>
      </c>
      <c r="T39" s="64">
        <v>82</v>
      </c>
      <c r="U39" s="64">
        <v>75</v>
      </c>
      <c r="V39" s="64">
        <v>79</v>
      </c>
      <c r="W39" s="64">
        <v>77</v>
      </c>
      <c r="X39" s="64">
        <v>91</v>
      </c>
      <c r="Y39" s="64">
        <v>90</v>
      </c>
      <c r="Z39" s="64">
        <v>96</v>
      </c>
      <c r="AA39" s="64">
        <v>100</v>
      </c>
      <c r="AB39" s="64">
        <v>103</v>
      </c>
      <c r="AC39" s="64">
        <v>112</v>
      </c>
      <c r="AD39" s="64">
        <v>108</v>
      </c>
      <c r="AE39" s="145">
        <v>109</v>
      </c>
      <c r="AF39" s="10"/>
    </row>
    <row r="40" spans="1:32" ht="15" customHeight="1" x14ac:dyDescent="0.25">
      <c r="A40" s="146">
        <v>40</v>
      </c>
      <c r="B40" s="12" t="s">
        <v>50</v>
      </c>
      <c r="C40" s="65">
        <v>55</v>
      </c>
      <c r="D40" s="65">
        <v>55</v>
      </c>
      <c r="E40" s="65">
        <v>49</v>
      </c>
      <c r="F40" s="65">
        <v>52</v>
      </c>
      <c r="G40" s="65">
        <v>45</v>
      </c>
      <c r="H40" s="65">
        <v>46</v>
      </c>
      <c r="I40" s="65">
        <v>46</v>
      </c>
      <c r="J40" s="65">
        <v>44</v>
      </c>
      <c r="K40" s="65">
        <v>51</v>
      </c>
      <c r="L40" s="65">
        <v>46</v>
      </c>
      <c r="M40" s="65">
        <v>46</v>
      </c>
      <c r="N40" s="65">
        <v>50</v>
      </c>
      <c r="O40" s="65">
        <v>54</v>
      </c>
      <c r="P40" s="65">
        <v>58</v>
      </c>
      <c r="Q40" s="65">
        <v>61</v>
      </c>
      <c r="R40" s="65">
        <v>61</v>
      </c>
      <c r="S40" s="65">
        <v>73</v>
      </c>
      <c r="T40" s="65">
        <v>76</v>
      </c>
      <c r="U40" s="65">
        <v>71</v>
      </c>
      <c r="V40" s="65">
        <v>74</v>
      </c>
      <c r="W40" s="65">
        <v>72</v>
      </c>
      <c r="X40" s="65">
        <v>86</v>
      </c>
      <c r="Y40" s="65">
        <v>86</v>
      </c>
      <c r="Z40" s="65" t="s">
        <v>383</v>
      </c>
      <c r="AA40" s="65" t="s">
        <v>383</v>
      </c>
      <c r="AB40" s="65" t="s">
        <v>383</v>
      </c>
      <c r="AC40" s="65">
        <v>105</v>
      </c>
      <c r="AD40" s="65">
        <v>101</v>
      </c>
      <c r="AE40" s="147">
        <v>102</v>
      </c>
    </row>
    <row r="41" spans="1:32" ht="15" customHeight="1" thickBot="1" x14ac:dyDescent="0.3">
      <c r="A41" s="158">
        <v>41</v>
      </c>
      <c r="B41" s="18" t="s">
        <v>51</v>
      </c>
      <c r="C41" s="71">
        <v>12</v>
      </c>
      <c r="D41" s="71">
        <v>13</v>
      </c>
      <c r="E41" s="71">
        <v>12</v>
      </c>
      <c r="F41" s="71">
        <v>12</v>
      </c>
      <c r="G41" s="71">
        <v>7</v>
      </c>
      <c r="H41" s="71">
        <v>10</v>
      </c>
      <c r="I41" s="71">
        <v>8</v>
      </c>
      <c r="J41" s="71">
        <v>8</v>
      </c>
      <c r="K41" s="71">
        <v>6</v>
      </c>
      <c r="L41" s="71">
        <v>5</v>
      </c>
      <c r="M41" s="71">
        <v>6</v>
      </c>
      <c r="N41" s="71">
        <v>7</v>
      </c>
      <c r="O41" s="71">
        <v>7</v>
      </c>
      <c r="P41" s="71">
        <v>5</v>
      </c>
      <c r="Q41" s="71">
        <v>6</v>
      </c>
      <c r="R41" s="71">
        <v>8</v>
      </c>
      <c r="S41" s="71">
        <v>6</v>
      </c>
      <c r="T41" s="71">
        <v>6</v>
      </c>
      <c r="U41" s="71">
        <v>4</v>
      </c>
      <c r="V41" s="71">
        <v>5</v>
      </c>
      <c r="W41" s="71">
        <v>5</v>
      </c>
      <c r="X41" s="71">
        <v>5</v>
      </c>
      <c r="Y41" s="71">
        <v>4</v>
      </c>
      <c r="Z41" s="71" t="s">
        <v>383</v>
      </c>
      <c r="AA41" s="71" t="s">
        <v>383</v>
      </c>
      <c r="AB41" s="71" t="s">
        <v>383</v>
      </c>
      <c r="AC41" s="71">
        <v>7</v>
      </c>
      <c r="AD41" s="71">
        <v>7</v>
      </c>
      <c r="AE41" s="159">
        <v>7</v>
      </c>
    </row>
    <row r="42" spans="1:32" s="11" customFormat="1" ht="15" customHeight="1" thickBot="1" x14ac:dyDescent="0.3">
      <c r="A42" s="160" t="s">
        <v>52</v>
      </c>
      <c r="B42" s="19" t="s">
        <v>53</v>
      </c>
      <c r="C42" s="64">
        <v>3514</v>
      </c>
      <c r="D42" s="64">
        <v>3748</v>
      </c>
      <c r="E42" s="64">
        <v>3798</v>
      </c>
      <c r="F42" s="64">
        <v>3909</v>
      </c>
      <c r="G42" s="64">
        <v>3526</v>
      </c>
      <c r="H42" s="64">
        <v>3130</v>
      </c>
      <c r="I42" s="64">
        <v>2622</v>
      </c>
      <c r="J42" s="64">
        <v>3031</v>
      </c>
      <c r="K42" s="64">
        <v>3576</v>
      </c>
      <c r="L42" s="64">
        <v>4132</v>
      </c>
      <c r="M42" s="64">
        <v>4625</v>
      </c>
      <c r="N42" s="64">
        <v>5066</v>
      </c>
      <c r="O42" s="64">
        <v>5306</v>
      </c>
      <c r="P42" s="64">
        <v>5112</v>
      </c>
      <c r="Q42" s="64">
        <v>5331</v>
      </c>
      <c r="R42" s="64">
        <v>5463</v>
      </c>
      <c r="S42" s="64">
        <v>5546</v>
      </c>
      <c r="T42" s="64">
        <v>5585</v>
      </c>
      <c r="U42" s="64">
        <v>5533</v>
      </c>
      <c r="V42" s="64">
        <v>5506</v>
      </c>
      <c r="W42" s="64">
        <v>5508</v>
      </c>
      <c r="X42" s="64">
        <v>5658</v>
      </c>
      <c r="Y42" s="64">
        <v>5753</v>
      </c>
      <c r="Z42" s="64">
        <v>5634</v>
      </c>
      <c r="AA42" s="64">
        <v>5249</v>
      </c>
      <c r="AB42" s="64">
        <v>5298</v>
      </c>
      <c r="AC42" s="64">
        <v>5562</v>
      </c>
      <c r="AD42" s="64">
        <v>5635</v>
      </c>
      <c r="AE42" s="145">
        <v>5436</v>
      </c>
      <c r="AF42" s="10"/>
    </row>
    <row r="43" spans="1:32" ht="15" customHeight="1" thickBot="1" x14ac:dyDescent="0.3">
      <c r="A43" s="150">
        <v>45</v>
      </c>
      <c r="B43" s="14" t="s">
        <v>54</v>
      </c>
      <c r="C43" s="67">
        <v>3514</v>
      </c>
      <c r="D43" s="67">
        <v>3748</v>
      </c>
      <c r="E43" s="67">
        <v>3798</v>
      </c>
      <c r="F43" s="67">
        <v>3909</v>
      </c>
      <c r="G43" s="67">
        <v>3526</v>
      </c>
      <c r="H43" s="67">
        <v>3130</v>
      </c>
      <c r="I43" s="67">
        <v>2622</v>
      </c>
      <c r="J43" s="67">
        <v>3031</v>
      </c>
      <c r="K43" s="67">
        <v>3576</v>
      </c>
      <c r="L43" s="67">
        <v>4132</v>
      </c>
      <c r="M43" s="67">
        <v>4625</v>
      </c>
      <c r="N43" s="67">
        <v>5066</v>
      </c>
      <c r="O43" s="67">
        <v>5306</v>
      </c>
      <c r="P43" s="67">
        <v>5112</v>
      </c>
      <c r="Q43" s="67">
        <v>5331</v>
      </c>
      <c r="R43" s="67">
        <v>5463</v>
      </c>
      <c r="S43" s="67">
        <v>5546</v>
      </c>
      <c r="T43" s="67">
        <v>5585</v>
      </c>
      <c r="U43" s="67">
        <v>5533</v>
      </c>
      <c r="V43" s="67">
        <v>5506</v>
      </c>
      <c r="W43" s="67">
        <v>5508</v>
      </c>
      <c r="X43" s="67">
        <v>5658</v>
      </c>
      <c r="Y43" s="67">
        <v>5753</v>
      </c>
      <c r="Z43" s="67">
        <v>5634</v>
      </c>
      <c r="AA43" s="67">
        <v>5249</v>
      </c>
      <c r="AB43" s="67">
        <v>5298</v>
      </c>
      <c r="AC43" s="67">
        <v>5562</v>
      </c>
      <c r="AD43" s="67">
        <v>5635</v>
      </c>
      <c r="AE43" s="151">
        <v>5436</v>
      </c>
    </row>
    <row r="44" spans="1:32" s="11" customFormat="1" ht="15" customHeight="1" thickBot="1" x14ac:dyDescent="0.3">
      <c r="A44" s="144" t="s">
        <v>55</v>
      </c>
      <c r="B44" s="9" t="s">
        <v>56</v>
      </c>
      <c r="C44" s="64">
        <v>20403</v>
      </c>
      <c r="D44" s="64">
        <v>20608</v>
      </c>
      <c r="E44" s="64">
        <v>20282</v>
      </c>
      <c r="F44" s="64">
        <v>19261</v>
      </c>
      <c r="G44" s="64">
        <v>17242</v>
      </c>
      <c r="H44" s="64">
        <v>16272</v>
      </c>
      <c r="I44" s="64">
        <v>15272</v>
      </c>
      <c r="J44" s="64">
        <v>16971</v>
      </c>
      <c r="K44" s="64">
        <v>20743</v>
      </c>
      <c r="L44" s="64">
        <v>22307</v>
      </c>
      <c r="M44" s="64">
        <v>23791</v>
      </c>
      <c r="N44" s="64">
        <v>24663</v>
      </c>
      <c r="O44" s="64">
        <v>25389</v>
      </c>
      <c r="P44" s="64">
        <v>25566</v>
      </c>
      <c r="Q44" s="64">
        <v>26170</v>
      </c>
      <c r="R44" s="64">
        <v>26644</v>
      </c>
      <c r="S44" s="64">
        <v>26648</v>
      </c>
      <c r="T44" s="64">
        <v>26709</v>
      </c>
      <c r="U44" s="64">
        <v>26683</v>
      </c>
      <c r="V44" s="64">
        <v>27021</v>
      </c>
      <c r="W44" s="64">
        <v>27570</v>
      </c>
      <c r="X44" s="64">
        <v>27889</v>
      </c>
      <c r="Y44" s="64">
        <v>27403</v>
      </c>
      <c r="Z44" s="64">
        <v>26462</v>
      </c>
      <c r="AA44" s="64">
        <v>25283</v>
      </c>
      <c r="AB44" s="64">
        <v>25441</v>
      </c>
      <c r="AC44" s="64">
        <v>28355</v>
      </c>
      <c r="AD44" s="64">
        <v>28592</v>
      </c>
      <c r="AE44" s="145">
        <v>29236</v>
      </c>
      <c r="AF44" s="10"/>
    </row>
    <row r="45" spans="1:32" ht="15" customHeight="1" x14ac:dyDescent="0.25">
      <c r="A45" s="146">
        <v>50</v>
      </c>
      <c r="B45" s="12" t="s">
        <v>57</v>
      </c>
      <c r="C45" s="65">
        <v>2657</v>
      </c>
      <c r="D45" s="65">
        <v>2675</v>
      </c>
      <c r="E45" s="65">
        <v>2653</v>
      </c>
      <c r="F45" s="65">
        <v>2519</v>
      </c>
      <c r="G45" s="65">
        <v>2106</v>
      </c>
      <c r="H45" s="65">
        <v>2043</v>
      </c>
      <c r="I45" s="65">
        <v>1937</v>
      </c>
      <c r="J45" s="65">
        <v>2053</v>
      </c>
      <c r="K45" s="65">
        <v>2338</v>
      </c>
      <c r="L45" s="65">
        <v>2441</v>
      </c>
      <c r="M45" s="65">
        <v>2525</v>
      </c>
      <c r="N45" s="65">
        <v>2586</v>
      </c>
      <c r="O45" s="65">
        <v>2635</v>
      </c>
      <c r="P45" s="65">
        <v>2612</v>
      </c>
      <c r="Q45" s="65">
        <v>2647</v>
      </c>
      <c r="R45" s="65">
        <v>2638</v>
      </c>
      <c r="S45" s="65">
        <v>2635</v>
      </c>
      <c r="T45" s="65">
        <v>2582</v>
      </c>
      <c r="U45" s="65">
        <v>2520</v>
      </c>
      <c r="V45" s="65">
        <v>2545</v>
      </c>
      <c r="W45" s="65">
        <v>2539</v>
      </c>
      <c r="X45" s="65">
        <v>2556</v>
      </c>
      <c r="Y45" s="65">
        <v>2565</v>
      </c>
      <c r="Z45" s="65">
        <v>2488</v>
      </c>
      <c r="AA45" s="65">
        <v>2408</v>
      </c>
      <c r="AB45" s="65">
        <v>2448</v>
      </c>
      <c r="AC45" s="65">
        <v>2633</v>
      </c>
      <c r="AD45" s="65">
        <v>2644</v>
      </c>
      <c r="AE45" s="147">
        <v>2646</v>
      </c>
    </row>
    <row r="46" spans="1:32" ht="15" customHeight="1" x14ac:dyDescent="0.25">
      <c r="A46" s="156">
        <v>51</v>
      </c>
      <c r="B46" s="17" t="s">
        <v>58</v>
      </c>
      <c r="C46" s="70">
        <v>6748</v>
      </c>
      <c r="D46" s="70">
        <v>6845</v>
      </c>
      <c r="E46" s="70">
        <v>6833</v>
      </c>
      <c r="F46" s="70">
        <v>6794</v>
      </c>
      <c r="G46" s="70">
        <v>6264</v>
      </c>
      <c r="H46" s="70">
        <v>5946</v>
      </c>
      <c r="I46" s="70">
        <v>5625</v>
      </c>
      <c r="J46" s="70">
        <v>6265</v>
      </c>
      <c r="K46" s="70">
        <v>6989</v>
      </c>
      <c r="L46" s="70">
        <v>7478</v>
      </c>
      <c r="M46" s="70">
        <v>7900</v>
      </c>
      <c r="N46" s="70">
        <v>8230</v>
      </c>
      <c r="O46" s="70">
        <v>8451</v>
      </c>
      <c r="P46" s="70">
        <v>8537</v>
      </c>
      <c r="Q46" s="70">
        <v>8739</v>
      </c>
      <c r="R46" s="70">
        <v>9025</v>
      </c>
      <c r="S46" s="70">
        <v>9191</v>
      </c>
      <c r="T46" s="70">
        <v>9290</v>
      </c>
      <c r="U46" s="70">
        <v>9288</v>
      </c>
      <c r="V46" s="70">
        <v>9475</v>
      </c>
      <c r="W46" s="70">
        <v>9617</v>
      </c>
      <c r="X46" s="70">
        <v>9721</v>
      </c>
      <c r="Y46" s="70">
        <v>9559</v>
      </c>
      <c r="Z46" s="70">
        <v>9376</v>
      </c>
      <c r="AA46" s="70">
        <v>9243</v>
      </c>
      <c r="AB46" s="70">
        <v>9425</v>
      </c>
      <c r="AC46" s="70">
        <v>9983</v>
      </c>
      <c r="AD46" s="70">
        <v>9977</v>
      </c>
      <c r="AE46" s="157">
        <v>10129</v>
      </c>
    </row>
    <row r="47" spans="1:32" ht="15" customHeight="1" thickBot="1" x14ac:dyDescent="0.3">
      <c r="A47" s="158">
        <v>52</v>
      </c>
      <c r="B47" s="18" t="s">
        <v>59</v>
      </c>
      <c r="C47" s="71">
        <v>10998</v>
      </c>
      <c r="D47" s="71">
        <v>11088</v>
      </c>
      <c r="E47" s="71">
        <v>10796</v>
      </c>
      <c r="F47" s="71">
        <v>9948</v>
      </c>
      <c r="G47" s="71">
        <v>8872</v>
      </c>
      <c r="H47" s="71">
        <v>8283</v>
      </c>
      <c r="I47" s="71">
        <v>7710</v>
      </c>
      <c r="J47" s="71">
        <v>8653</v>
      </c>
      <c r="K47" s="71">
        <v>11416</v>
      </c>
      <c r="L47" s="71">
        <v>12388</v>
      </c>
      <c r="M47" s="71">
        <v>13366</v>
      </c>
      <c r="N47" s="71">
        <v>13847</v>
      </c>
      <c r="O47" s="71">
        <v>14303</v>
      </c>
      <c r="P47" s="71">
        <v>14417</v>
      </c>
      <c r="Q47" s="71">
        <v>14784</v>
      </c>
      <c r="R47" s="71">
        <v>14981</v>
      </c>
      <c r="S47" s="71">
        <v>14822</v>
      </c>
      <c r="T47" s="71">
        <v>14837</v>
      </c>
      <c r="U47" s="71">
        <v>14875</v>
      </c>
      <c r="V47" s="71">
        <v>15001</v>
      </c>
      <c r="W47" s="71">
        <v>15414</v>
      </c>
      <c r="X47" s="71">
        <v>15612</v>
      </c>
      <c r="Y47" s="71">
        <v>15279</v>
      </c>
      <c r="Z47" s="71">
        <v>14598</v>
      </c>
      <c r="AA47" s="71">
        <v>13632</v>
      </c>
      <c r="AB47" s="71">
        <v>13568</v>
      </c>
      <c r="AC47" s="71">
        <v>15739</v>
      </c>
      <c r="AD47" s="71">
        <v>15971</v>
      </c>
      <c r="AE47" s="159">
        <v>16461</v>
      </c>
    </row>
    <row r="48" spans="1:32" s="11" customFormat="1" ht="15" customHeight="1" thickBot="1" x14ac:dyDescent="0.3">
      <c r="A48" s="160" t="s">
        <v>60</v>
      </c>
      <c r="B48" s="19" t="s">
        <v>61</v>
      </c>
      <c r="C48" s="64">
        <v>4913</v>
      </c>
      <c r="D48" s="64">
        <v>4939</v>
      </c>
      <c r="E48" s="64">
        <v>4680</v>
      </c>
      <c r="F48" s="64">
        <v>4100</v>
      </c>
      <c r="G48" s="64">
        <v>3799</v>
      </c>
      <c r="H48" s="64">
        <v>3606</v>
      </c>
      <c r="I48" s="64">
        <v>3427</v>
      </c>
      <c r="J48" s="64">
        <v>3630</v>
      </c>
      <c r="K48" s="64">
        <v>4825</v>
      </c>
      <c r="L48" s="64">
        <v>5156</v>
      </c>
      <c r="M48" s="64">
        <v>5478</v>
      </c>
      <c r="N48" s="64">
        <v>5768</v>
      </c>
      <c r="O48" s="64">
        <v>5951</v>
      </c>
      <c r="P48" s="64">
        <v>6104</v>
      </c>
      <c r="Q48" s="64">
        <v>6212</v>
      </c>
      <c r="R48" s="64">
        <v>6375</v>
      </c>
      <c r="S48" s="64">
        <v>6423</v>
      </c>
      <c r="T48" s="64">
        <v>6494</v>
      </c>
      <c r="U48" s="64">
        <v>6508</v>
      </c>
      <c r="V48" s="64">
        <v>6584</v>
      </c>
      <c r="W48" s="64">
        <v>6637</v>
      </c>
      <c r="X48" s="64">
        <v>6772</v>
      </c>
      <c r="Y48" s="64">
        <v>6835</v>
      </c>
      <c r="Z48" s="64">
        <v>6731</v>
      </c>
      <c r="AA48" s="64">
        <v>6031</v>
      </c>
      <c r="AB48" s="64">
        <v>5981</v>
      </c>
      <c r="AC48" s="64">
        <v>6954</v>
      </c>
      <c r="AD48" s="64">
        <v>7224</v>
      </c>
      <c r="AE48" s="145">
        <v>7372</v>
      </c>
      <c r="AF48" s="10"/>
    </row>
    <row r="49" spans="1:32" ht="15" customHeight="1" thickBot="1" x14ac:dyDescent="0.3">
      <c r="A49" s="150">
        <v>55</v>
      </c>
      <c r="B49" s="14" t="s">
        <v>62</v>
      </c>
      <c r="C49" s="67">
        <v>4913</v>
      </c>
      <c r="D49" s="67">
        <v>4939</v>
      </c>
      <c r="E49" s="67">
        <v>4680</v>
      </c>
      <c r="F49" s="67">
        <v>4100</v>
      </c>
      <c r="G49" s="67">
        <v>3799</v>
      </c>
      <c r="H49" s="67">
        <v>3606</v>
      </c>
      <c r="I49" s="67">
        <v>3427</v>
      </c>
      <c r="J49" s="67">
        <v>3630</v>
      </c>
      <c r="K49" s="67">
        <v>4825</v>
      </c>
      <c r="L49" s="67">
        <v>5156</v>
      </c>
      <c r="M49" s="67">
        <v>5478</v>
      </c>
      <c r="N49" s="67">
        <v>5768</v>
      </c>
      <c r="O49" s="67">
        <v>5951</v>
      </c>
      <c r="P49" s="67">
        <v>6104</v>
      </c>
      <c r="Q49" s="67">
        <v>6212</v>
      </c>
      <c r="R49" s="67">
        <v>6375</v>
      </c>
      <c r="S49" s="67">
        <v>6423</v>
      </c>
      <c r="T49" s="67">
        <v>6494</v>
      </c>
      <c r="U49" s="67">
        <v>6508</v>
      </c>
      <c r="V49" s="67">
        <v>6584</v>
      </c>
      <c r="W49" s="67">
        <v>6637</v>
      </c>
      <c r="X49" s="67">
        <v>6772</v>
      </c>
      <c r="Y49" s="67">
        <v>6835</v>
      </c>
      <c r="Z49" s="67">
        <v>6731</v>
      </c>
      <c r="AA49" s="67">
        <v>6031</v>
      </c>
      <c r="AB49" s="67">
        <v>5981</v>
      </c>
      <c r="AC49" s="67">
        <v>6954</v>
      </c>
      <c r="AD49" s="67">
        <v>7224</v>
      </c>
      <c r="AE49" s="151">
        <v>7372</v>
      </c>
    </row>
    <row r="50" spans="1:32" s="11" customFormat="1" ht="15" customHeight="1" thickBot="1" x14ac:dyDescent="0.3">
      <c r="A50" s="144" t="s">
        <v>63</v>
      </c>
      <c r="B50" s="9" t="s">
        <v>64</v>
      </c>
      <c r="C50" s="64">
        <v>11200</v>
      </c>
      <c r="D50" s="64">
        <v>13265</v>
      </c>
      <c r="E50" s="64">
        <v>13735</v>
      </c>
      <c r="F50" s="64">
        <v>13845</v>
      </c>
      <c r="G50" s="64">
        <v>13123</v>
      </c>
      <c r="H50" s="64">
        <v>12264</v>
      </c>
      <c r="I50" s="64">
        <v>10971</v>
      </c>
      <c r="J50" s="64">
        <v>10963</v>
      </c>
      <c r="K50" s="64">
        <v>12092</v>
      </c>
      <c r="L50" s="64">
        <v>12492</v>
      </c>
      <c r="M50" s="64">
        <v>12592</v>
      </c>
      <c r="N50" s="64">
        <v>12850</v>
      </c>
      <c r="O50" s="64">
        <v>13038</v>
      </c>
      <c r="P50" s="64">
        <v>12988</v>
      </c>
      <c r="Q50" s="64">
        <v>12887</v>
      </c>
      <c r="R50" s="64">
        <v>12858</v>
      </c>
      <c r="S50" s="64">
        <v>12763</v>
      </c>
      <c r="T50" s="64">
        <v>12728</v>
      </c>
      <c r="U50" s="64">
        <v>12510</v>
      </c>
      <c r="V50" s="64">
        <v>12467</v>
      </c>
      <c r="W50" s="64">
        <v>12111</v>
      </c>
      <c r="X50" s="64">
        <v>11818</v>
      </c>
      <c r="Y50" s="64">
        <v>11240</v>
      </c>
      <c r="Z50" s="64">
        <v>10388</v>
      </c>
      <c r="AA50" s="64">
        <v>9113</v>
      </c>
      <c r="AB50" s="64">
        <v>8421</v>
      </c>
      <c r="AC50" s="64">
        <v>8396</v>
      </c>
      <c r="AD50" s="64">
        <v>7986</v>
      </c>
      <c r="AE50" s="145">
        <v>7609</v>
      </c>
      <c r="AF50" s="10"/>
    </row>
    <row r="51" spans="1:32" ht="15" customHeight="1" x14ac:dyDescent="0.25">
      <c r="A51" s="152">
        <v>60</v>
      </c>
      <c r="B51" s="15" t="s">
        <v>65</v>
      </c>
      <c r="C51" s="68">
        <v>8128</v>
      </c>
      <c r="D51" s="68">
        <v>9981</v>
      </c>
      <c r="E51" s="68">
        <v>10368</v>
      </c>
      <c r="F51" s="68">
        <v>10541</v>
      </c>
      <c r="G51" s="68">
        <v>9843</v>
      </c>
      <c r="H51" s="68">
        <v>9098</v>
      </c>
      <c r="I51" s="68">
        <v>7967</v>
      </c>
      <c r="J51" s="68">
        <v>7765</v>
      </c>
      <c r="K51" s="68">
        <v>8145</v>
      </c>
      <c r="L51" s="68">
        <v>8344</v>
      </c>
      <c r="M51" s="68">
        <v>8285</v>
      </c>
      <c r="N51" s="68">
        <v>8374</v>
      </c>
      <c r="O51" s="68">
        <v>8412</v>
      </c>
      <c r="P51" s="68">
        <v>8360</v>
      </c>
      <c r="Q51" s="68">
        <v>8204</v>
      </c>
      <c r="R51" s="68">
        <v>8121</v>
      </c>
      <c r="S51" s="68">
        <v>8002</v>
      </c>
      <c r="T51" s="68">
        <v>7959</v>
      </c>
      <c r="U51" s="68">
        <v>7704</v>
      </c>
      <c r="V51" s="68">
        <v>7616</v>
      </c>
      <c r="W51" s="68">
        <v>7338</v>
      </c>
      <c r="X51" s="68">
        <v>7045</v>
      </c>
      <c r="Y51" s="68">
        <v>6515</v>
      </c>
      <c r="Z51" s="68">
        <v>5745</v>
      </c>
      <c r="AA51" s="68">
        <v>4626</v>
      </c>
      <c r="AB51" s="68">
        <v>4014</v>
      </c>
      <c r="AC51" s="68">
        <v>3900</v>
      </c>
      <c r="AD51" s="68">
        <v>3571</v>
      </c>
      <c r="AE51" s="153">
        <v>3164</v>
      </c>
    </row>
    <row r="52" spans="1:32" ht="15" customHeight="1" x14ac:dyDescent="0.25">
      <c r="A52" s="161">
        <v>61</v>
      </c>
      <c r="B52" s="20" t="s">
        <v>66</v>
      </c>
      <c r="C52" s="73">
        <v>84</v>
      </c>
      <c r="D52" s="73">
        <v>86</v>
      </c>
      <c r="E52" s="73">
        <v>90</v>
      </c>
      <c r="F52" s="73">
        <v>93</v>
      </c>
      <c r="G52" s="73">
        <v>97</v>
      </c>
      <c r="H52" s="73">
        <v>96</v>
      </c>
      <c r="I52" s="73">
        <v>90</v>
      </c>
      <c r="J52" s="73">
        <v>95</v>
      </c>
      <c r="K52" s="73">
        <v>108</v>
      </c>
      <c r="L52" s="73">
        <v>109</v>
      </c>
      <c r="M52" s="73">
        <v>107</v>
      </c>
      <c r="N52" s="73">
        <v>113</v>
      </c>
      <c r="O52" s="73">
        <v>116</v>
      </c>
      <c r="P52" s="73">
        <v>109</v>
      </c>
      <c r="Q52" s="73">
        <v>107</v>
      </c>
      <c r="R52" s="73">
        <v>107</v>
      </c>
      <c r="S52" s="73">
        <v>105</v>
      </c>
      <c r="T52" s="73">
        <v>104</v>
      </c>
      <c r="U52" s="73">
        <v>104</v>
      </c>
      <c r="V52" s="73">
        <v>93</v>
      </c>
      <c r="W52" s="73">
        <v>89</v>
      </c>
      <c r="X52" s="73">
        <v>83</v>
      </c>
      <c r="Y52" s="73">
        <v>87</v>
      </c>
      <c r="Z52" s="73">
        <v>85</v>
      </c>
      <c r="AA52" s="73">
        <v>87</v>
      </c>
      <c r="AB52" s="73">
        <v>83</v>
      </c>
      <c r="AC52" s="73">
        <v>84</v>
      </c>
      <c r="AD52" s="73">
        <v>83</v>
      </c>
      <c r="AE52" s="162">
        <v>85</v>
      </c>
    </row>
    <row r="53" spans="1:32" ht="15" customHeight="1" x14ac:dyDescent="0.25">
      <c r="A53" s="152">
        <v>62</v>
      </c>
      <c r="B53" s="15" t="s">
        <v>67</v>
      </c>
      <c r="C53" s="68">
        <v>98</v>
      </c>
      <c r="D53" s="68">
        <v>108</v>
      </c>
      <c r="E53" s="68">
        <v>101</v>
      </c>
      <c r="F53" s="68">
        <v>105</v>
      </c>
      <c r="G53" s="68">
        <v>106</v>
      </c>
      <c r="H53" s="68">
        <v>102</v>
      </c>
      <c r="I53" s="68">
        <v>100</v>
      </c>
      <c r="J53" s="68">
        <v>101</v>
      </c>
      <c r="K53" s="68">
        <v>99</v>
      </c>
      <c r="L53" s="68">
        <v>100</v>
      </c>
      <c r="M53" s="68">
        <v>101</v>
      </c>
      <c r="N53" s="68">
        <v>102</v>
      </c>
      <c r="O53" s="68">
        <v>108</v>
      </c>
      <c r="P53" s="68">
        <v>112</v>
      </c>
      <c r="Q53" s="68">
        <v>114</v>
      </c>
      <c r="R53" s="68">
        <v>116</v>
      </c>
      <c r="S53" s="68">
        <v>107</v>
      </c>
      <c r="T53" s="68">
        <v>107</v>
      </c>
      <c r="U53" s="68">
        <v>106</v>
      </c>
      <c r="V53" s="68">
        <v>109</v>
      </c>
      <c r="W53" s="68">
        <v>112</v>
      </c>
      <c r="X53" s="68">
        <v>112</v>
      </c>
      <c r="Y53" s="68">
        <v>111</v>
      </c>
      <c r="Z53" s="68">
        <v>108</v>
      </c>
      <c r="AA53" s="68">
        <v>101</v>
      </c>
      <c r="AB53" s="68">
        <v>99</v>
      </c>
      <c r="AC53" s="68">
        <v>103</v>
      </c>
      <c r="AD53" s="68">
        <v>92</v>
      </c>
      <c r="AE53" s="153">
        <v>88</v>
      </c>
    </row>
    <row r="54" spans="1:32" ht="15" customHeight="1" x14ac:dyDescent="0.25">
      <c r="A54" s="163">
        <v>63</v>
      </c>
      <c r="B54" s="21" t="s">
        <v>68</v>
      </c>
      <c r="C54" s="74">
        <v>2501</v>
      </c>
      <c r="D54" s="74">
        <v>2646</v>
      </c>
      <c r="E54" s="74">
        <v>2662</v>
      </c>
      <c r="F54" s="74">
        <v>2460</v>
      </c>
      <c r="G54" s="74">
        <v>2350</v>
      </c>
      <c r="H54" s="74">
        <v>2265</v>
      </c>
      <c r="I54" s="74">
        <v>2158</v>
      </c>
      <c r="J54" s="74">
        <v>2262</v>
      </c>
      <c r="K54" s="74">
        <v>2907</v>
      </c>
      <c r="L54" s="74">
        <v>3125</v>
      </c>
      <c r="M54" s="74">
        <v>3319</v>
      </c>
      <c r="N54" s="74">
        <v>3523</v>
      </c>
      <c r="O54" s="74">
        <v>3693</v>
      </c>
      <c r="P54" s="74">
        <v>3751</v>
      </c>
      <c r="Q54" s="74">
        <v>3839</v>
      </c>
      <c r="R54" s="74">
        <v>3894</v>
      </c>
      <c r="S54" s="74">
        <v>3938</v>
      </c>
      <c r="T54" s="74">
        <v>3976</v>
      </c>
      <c r="U54" s="74">
        <v>4020</v>
      </c>
      <c r="V54" s="74">
        <v>4081</v>
      </c>
      <c r="W54" s="74">
        <v>4028</v>
      </c>
      <c r="X54" s="74">
        <v>4036</v>
      </c>
      <c r="Y54" s="74">
        <v>4004</v>
      </c>
      <c r="Z54" s="74">
        <v>3969</v>
      </c>
      <c r="AA54" s="74">
        <v>3842</v>
      </c>
      <c r="AB54" s="74">
        <v>3770</v>
      </c>
      <c r="AC54" s="74">
        <v>3848</v>
      </c>
      <c r="AD54" s="74">
        <v>3818</v>
      </c>
      <c r="AE54" s="164">
        <v>3853</v>
      </c>
    </row>
    <row r="55" spans="1:32" ht="15" customHeight="1" thickBot="1" x14ac:dyDescent="0.3">
      <c r="A55" s="152">
        <v>64</v>
      </c>
      <c r="B55" s="15" t="s">
        <v>99</v>
      </c>
      <c r="C55" s="68">
        <v>389</v>
      </c>
      <c r="D55" s="68">
        <v>444</v>
      </c>
      <c r="E55" s="68">
        <v>514</v>
      </c>
      <c r="F55" s="68">
        <v>646</v>
      </c>
      <c r="G55" s="68">
        <v>727</v>
      </c>
      <c r="H55" s="68">
        <v>703</v>
      </c>
      <c r="I55" s="68">
        <v>656</v>
      </c>
      <c r="J55" s="68">
        <v>740</v>
      </c>
      <c r="K55" s="68">
        <v>833</v>
      </c>
      <c r="L55" s="68">
        <v>814</v>
      </c>
      <c r="M55" s="68">
        <v>780</v>
      </c>
      <c r="N55" s="68">
        <v>738</v>
      </c>
      <c r="O55" s="68">
        <v>709</v>
      </c>
      <c r="P55" s="68">
        <v>656</v>
      </c>
      <c r="Q55" s="68">
        <v>623</v>
      </c>
      <c r="R55" s="68">
        <v>620</v>
      </c>
      <c r="S55" s="68">
        <v>611</v>
      </c>
      <c r="T55" s="68">
        <v>582</v>
      </c>
      <c r="U55" s="68">
        <v>576</v>
      </c>
      <c r="V55" s="68">
        <v>568</v>
      </c>
      <c r="W55" s="68">
        <v>544</v>
      </c>
      <c r="X55" s="68">
        <v>542</v>
      </c>
      <c r="Y55" s="68">
        <v>523</v>
      </c>
      <c r="Z55" s="68">
        <v>481</v>
      </c>
      <c r="AA55" s="68">
        <v>457</v>
      </c>
      <c r="AB55" s="68">
        <v>455</v>
      </c>
      <c r="AC55" s="68">
        <v>461</v>
      </c>
      <c r="AD55" s="68">
        <v>422</v>
      </c>
      <c r="AE55" s="153">
        <v>419</v>
      </c>
    </row>
    <row r="56" spans="1:32" s="11" customFormat="1" ht="15" customHeight="1" thickBot="1" x14ac:dyDescent="0.3">
      <c r="A56" s="144" t="s">
        <v>70</v>
      </c>
      <c r="B56" s="9" t="s">
        <v>71</v>
      </c>
      <c r="C56" s="64">
        <v>1571</v>
      </c>
      <c r="D56" s="64">
        <v>1604</v>
      </c>
      <c r="E56" s="64">
        <v>1581</v>
      </c>
      <c r="F56" s="64">
        <v>1564</v>
      </c>
      <c r="G56" s="64">
        <v>1498</v>
      </c>
      <c r="H56" s="64">
        <v>1440</v>
      </c>
      <c r="I56" s="64">
        <v>1403</v>
      </c>
      <c r="J56" s="64">
        <v>1472</v>
      </c>
      <c r="K56" s="64">
        <v>1648</v>
      </c>
      <c r="L56" s="64">
        <v>1709</v>
      </c>
      <c r="M56" s="64">
        <v>1763</v>
      </c>
      <c r="N56" s="64">
        <v>1841</v>
      </c>
      <c r="O56" s="64">
        <v>1871</v>
      </c>
      <c r="P56" s="64">
        <v>1885</v>
      </c>
      <c r="Q56" s="64">
        <v>1914</v>
      </c>
      <c r="R56" s="64">
        <v>1969</v>
      </c>
      <c r="S56" s="64">
        <v>1986</v>
      </c>
      <c r="T56" s="64">
        <v>1993</v>
      </c>
      <c r="U56" s="64">
        <v>1949</v>
      </c>
      <c r="V56" s="64">
        <v>1971</v>
      </c>
      <c r="W56" s="64">
        <v>1985</v>
      </c>
      <c r="X56" s="64">
        <v>1995</v>
      </c>
      <c r="Y56" s="64">
        <v>2022</v>
      </c>
      <c r="Z56" s="64">
        <v>2016</v>
      </c>
      <c r="AA56" s="64">
        <v>1956</v>
      </c>
      <c r="AB56" s="64">
        <v>1961</v>
      </c>
      <c r="AC56" s="64">
        <v>1939</v>
      </c>
      <c r="AD56" s="64">
        <v>1920</v>
      </c>
      <c r="AE56" s="145">
        <v>1943</v>
      </c>
      <c r="AF56" s="10"/>
    </row>
    <row r="57" spans="1:32" ht="15" customHeight="1" x14ac:dyDescent="0.25">
      <c r="A57" s="152">
        <v>65</v>
      </c>
      <c r="B57" s="15" t="s">
        <v>72</v>
      </c>
      <c r="C57" s="68">
        <v>628</v>
      </c>
      <c r="D57" s="68">
        <v>658</v>
      </c>
      <c r="E57" s="68">
        <v>663</v>
      </c>
      <c r="F57" s="68">
        <v>668</v>
      </c>
      <c r="G57" s="68">
        <v>649</v>
      </c>
      <c r="H57" s="68">
        <v>635</v>
      </c>
      <c r="I57" s="68">
        <v>622</v>
      </c>
      <c r="J57" s="68">
        <v>648</v>
      </c>
      <c r="K57" s="68">
        <v>699</v>
      </c>
      <c r="L57" s="68">
        <v>729</v>
      </c>
      <c r="M57" s="68">
        <v>749</v>
      </c>
      <c r="N57" s="68">
        <v>780</v>
      </c>
      <c r="O57" s="68">
        <v>783</v>
      </c>
      <c r="P57" s="68">
        <v>786</v>
      </c>
      <c r="Q57" s="68">
        <v>778</v>
      </c>
      <c r="R57" s="68">
        <v>799</v>
      </c>
      <c r="S57" s="68">
        <v>808</v>
      </c>
      <c r="T57" s="68">
        <v>796</v>
      </c>
      <c r="U57" s="68">
        <v>763</v>
      </c>
      <c r="V57" s="68">
        <v>764</v>
      </c>
      <c r="W57" s="68">
        <v>728</v>
      </c>
      <c r="X57" s="68">
        <v>740</v>
      </c>
      <c r="Y57" s="68">
        <v>745</v>
      </c>
      <c r="Z57" s="68">
        <v>715</v>
      </c>
      <c r="AA57" s="68">
        <v>685</v>
      </c>
      <c r="AB57" s="68">
        <v>692</v>
      </c>
      <c r="AC57" s="68">
        <v>652</v>
      </c>
      <c r="AD57" s="68">
        <v>627</v>
      </c>
      <c r="AE57" s="153">
        <v>598</v>
      </c>
    </row>
    <row r="58" spans="1:32" ht="15" customHeight="1" x14ac:dyDescent="0.25">
      <c r="A58" s="156">
        <v>66</v>
      </c>
      <c r="B58" s="17" t="s">
        <v>100</v>
      </c>
      <c r="C58" s="70">
        <v>294</v>
      </c>
      <c r="D58" s="70">
        <v>278</v>
      </c>
      <c r="E58" s="70">
        <v>274</v>
      </c>
      <c r="F58" s="70">
        <v>273</v>
      </c>
      <c r="G58" s="70">
        <v>267</v>
      </c>
      <c r="H58" s="70">
        <v>250</v>
      </c>
      <c r="I58" s="70">
        <v>240</v>
      </c>
      <c r="J58" s="70">
        <v>236</v>
      </c>
      <c r="K58" s="70">
        <v>242</v>
      </c>
      <c r="L58" s="70">
        <v>243</v>
      </c>
      <c r="M58" s="70">
        <v>235</v>
      </c>
      <c r="N58" s="70">
        <v>232</v>
      </c>
      <c r="O58" s="70">
        <v>228</v>
      </c>
      <c r="P58" s="70">
        <v>223</v>
      </c>
      <c r="Q58" s="70">
        <v>223</v>
      </c>
      <c r="R58" s="70">
        <v>222</v>
      </c>
      <c r="S58" s="70">
        <v>223</v>
      </c>
      <c r="T58" s="70">
        <v>226</v>
      </c>
      <c r="U58" s="70">
        <v>230</v>
      </c>
      <c r="V58" s="70">
        <v>235</v>
      </c>
      <c r="W58" s="70">
        <v>234</v>
      </c>
      <c r="X58" s="70">
        <v>230</v>
      </c>
      <c r="Y58" s="70">
        <v>230</v>
      </c>
      <c r="Z58" s="70">
        <v>226</v>
      </c>
      <c r="AA58" s="70">
        <v>227</v>
      </c>
      <c r="AB58" s="70">
        <v>224</v>
      </c>
      <c r="AC58" s="70">
        <v>223</v>
      </c>
      <c r="AD58" s="70">
        <v>225</v>
      </c>
      <c r="AE58" s="157">
        <v>222</v>
      </c>
    </row>
    <row r="59" spans="1:32" ht="15" customHeight="1" thickBot="1" x14ac:dyDescent="0.3">
      <c r="A59" s="152">
        <v>67</v>
      </c>
      <c r="B59" s="15" t="s">
        <v>74</v>
      </c>
      <c r="C59" s="68">
        <v>649</v>
      </c>
      <c r="D59" s="68">
        <v>668</v>
      </c>
      <c r="E59" s="68">
        <v>644</v>
      </c>
      <c r="F59" s="68">
        <v>623</v>
      </c>
      <c r="G59" s="68">
        <v>582</v>
      </c>
      <c r="H59" s="68">
        <v>555</v>
      </c>
      <c r="I59" s="68">
        <v>541</v>
      </c>
      <c r="J59" s="68">
        <v>588</v>
      </c>
      <c r="K59" s="68">
        <v>707</v>
      </c>
      <c r="L59" s="68">
        <v>737</v>
      </c>
      <c r="M59" s="68">
        <v>779</v>
      </c>
      <c r="N59" s="68">
        <v>829</v>
      </c>
      <c r="O59" s="68">
        <v>860</v>
      </c>
      <c r="P59" s="68">
        <v>876</v>
      </c>
      <c r="Q59" s="68">
        <v>913</v>
      </c>
      <c r="R59" s="68">
        <v>948</v>
      </c>
      <c r="S59" s="68">
        <v>955</v>
      </c>
      <c r="T59" s="68">
        <v>971</v>
      </c>
      <c r="U59" s="68">
        <v>956</v>
      </c>
      <c r="V59" s="68">
        <v>972</v>
      </c>
      <c r="W59" s="68">
        <v>1023</v>
      </c>
      <c r="X59" s="68">
        <v>1025</v>
      </c>
      <c r="Y59" s="68">
        <v>1047</v>
      </c>
      <c r="Z59" s="68">
        <v>1075</v>
      </c>
      <c r="AA59" s="68">
        <v>1044</v>
      </c>
      <c r="AB59" s="68">
        <v>1045</v>
      </c>
      <c r="AC59" s="68">
        <v>1064</v>
      </c>
      <c r="AD59" s="68">
        <v>1068</v>
      </c>
      <c r="AE59" s="153">
        <v>1123</v>
      </c>
    </row>
    <row r="60" spans="1:32" s="11" customFormat="1" ht="15" customHeight="1" thickBot="1" x14ac:dyDescent="0.3">
      <c r="A60" s="144" t="s">
        <v>75</v>
      </c>
      <c r="B60" s="9" t="s">
        <v>76</v>
      </c>
      <c r="C60" s="64">
        <v>42673</v>
      </c>
      <c r="D60" s="64">
        <v>44062</v>
      </c>
      <c r="E60" s="64">
        <v>44843</v>
      </c>
      <c r="F60" s="64">
        <v>45659</v>
      </c>
      <c r="G60" s="64">
        <v>44915</v>
      </c>
      <c r="H60" s="64">
        <v>45032</v>
      </c>
      <c r="I60" s="64">
        <v>44230</v>
      </c>
      <c r="J60" s="64">
        <v>45733</v>
      </c>
      <c r="K60" s="64">
        <v>49260</v>
      </c>
      <c r="L60" s="64">
        <v>51136</v>
      </c>
      <c r="M60" s="64">
        <v>52737</v>
      </c>
      <c r="N60" s="64">
        <v>54381</v>
      </c>
      <c r="O60" s="64">
        <v>55447</v>
      </c>
      <c r="P60" s="64">
        <v>55815</v>
      </c>
      <c r="Q60" s="64">
        <v>56650</v>
      </c>
      <c r="R60" s="64">
        <v>57155</v>
      </c>
      <c r="S60" s="64">
        <v>57498</v>
      </c>
      <c r="T60" s="64">
        <v>57847</v>
      </c>
      <c r="U60" s="64">
        <v>58098</v>
      </c>
      <c r="V60" s="64">
        <v>58610</v>
      </c>
      <c r="W60" s="64">
        <v>58581</v>
      </c>
      <c r="X60" s="64">
        <v>58775</v>
      </c>
      <c r="Y60" s="64">
        <v>58684</v>
      </c>
      <c r="Z60" s="64">
        <v>58287</v>
      </c>
      <c r="AA60" s="64">
        <v>57253</v>
      </c>
      <c r="AB60" s="64">
        <v>56862</v>
      </c>
      <c r="AC60" s="64">
        <v>57653</v>
      </c>
      <c r="AD60" s="64">
        <v>56453</v>
      </c>
      <c r="AE60" s="145">
        <v>55553</v>
      </c>
      <c r="AF60" s="10"/>
    </row>
    <row r="61" spans="1:32" ht="15" customHeight="1" x14ac:dyDescent="0.25">
      <c r="A61" s="146">
        <v>70</v>
      </c>
      <c r="B61" s="12" t="s">
        <v>77</v>
      </c>
      <c r="C61" s="65">
        <v>30104</v>
      </c>
      <c r="D61" s="65">
        <v>30802</v>
      </c>
      <c r="E61" s="65">
        <v>31281</v>
      </c>
      <c r="F61" s="65">
        <v>31659</v>
      </c>
      <c r="G61" s="65">
        <v>31354</v>
      </c>
      <c r="H61" s="65">
        <v>31732</v>
      </c>
      <c r="I61" s="65">
        <v>31704</v>
      </c>
      <c r="J61" s="65">
        <v>32265</v>
      </c>
      <c r="K61" s="65">
        <v>33470</v>
      </c>
      <c r="L61" s="65">
        <v>34168</v>
      </c>
      <c r="M61" s="65">
        <v>34773</v>
      </c>
      <c r="N61" s="65">
        <v>35407</v>
      </c>
      <c r="O61" s="65">
        <v>35962</v>
      </c>
      <c r="P61" s="65">
        <v>36401</v>
      </c>
      <c r="Q61" s="65">
        <v>36897</v>
      </c>
      <c r="R61" s="65">
        <v>37351</v>
      </c>
      <c r="S61" s="65">
        <v>37717</v>
      </c>
      <c r="T61" s="65">
        <v>38130</v>
      </c>
      <c r="U61" s="65">
        <v>38600</v>
      </c>
      <c r="V61" s="65">
        <v>39011</v>
      </c>
      <c r="W61" s="65">
        <v>39087</v>
      </c>
      <c r="X61" s="65">
        <v>39163</v>
      </c>
      <c r="Y61" s="65">
        <v>39290</v>
      </c>
      <c r="Z61" s="65">
        <v>39252</v>
      </c>
      <c r="AA61" s="65">
        <v>38877</v>
      </c>
      <c r="AB61" s="65">
        <v>38715</v>
      </c>
      <c r="AC61" s="65">
        <v>39195</v>
      </c>
      <c r="AD61" s="65">
        <v>38360</v>
      </c>
      <c r="AE61" s="147">
        <v>37727</v>
      </c>
    </row>
    <row r="62" spans="1:32" ht="15" customHeight="1" x14ac:dyDescent="0.25">
      <c r="A62" s="156">
        <v>71</v>
      </c>
      <c r="B62" s="17" t="s">
        <v>78</v>
      </c>
      <c r="C62" s="70">
        <v>236</v>
      </c>
      <c r="D62" s="70">
        <v>226</v>
      </c>
      <c r="E62" s="70">
        <v>231</v>
      </c>
      <c r="F62" s="70">
        <v>220</v>
      </c>
      <c r="G62" s="70">
        <v>200</v>
      </c>
      <c r="H62" s="70">
        <v>184</v>
      </c>
      <c r="I62" s="70">
        <v>166</v>
      </c>
      <c r="J62" s="70">
        <v>178</v>
      </c>
      <c r="K62" s="70">
        <v>213</v>
      </c>
      <c r="L62" s="70">
        <v>234</v>
      </c>
      <c r="M62" s="70">
        <v>258</v>
      </c>
      <c r="N62" s="70">
        <v>282</v>
      </c>
      <c r="O62" s="70">
        <v>307</v>
      </c>
      <c r="P62" s="70">
        <v>307</v>
      </c>
      <c r="Q62" s="70">
        <v>321</v>
      </c>
      <c r="R62" s="70">
        <v>328</v>
      </c>
      <c r="S62" s="70">
        <v>321</v>
      </c>
      <c r="T62" s="70">
        <v>335</v>
      </c>
      <c r="U62" s="70">
        <v>340</v>
      </c>
      <c r="V62" s="70">
        <v>337</v>
      </c>
      <c r="W62" s="70">
        <v>341</v>
      </c>
      <c r="X62" s="70">
        <v>330</v>
      </c>
      <c r="Y62" s="70">
        <v>342</v>
      </c>
      <c r="Z62" s="70">
        <v>349</v>
      </c>
      <c r="AA62" s="70">
        <v>329</v>
      </c>
      <c r="AB62" s="70">
        <v>335</v>
      </c>
      <c r="AC62" s="70">
        <v>349</v>
      </c>
      <c r="AD62" s="70">
        <v>350</v>
      </c>
      <c r="AE62" s="157">
        <v>351</v>
      </c>
    </row>
    <row r="63" spans="1:32" ht="15" customHeight="1" x14ac:dyDescent="0.25">
      <c r="A63" s="156">
        <v>72</v>
      </c>
      <c r="B63" s="17" t="s">
        <v>79</v>
      </c>
      <c r="C63" s="70">
        <v>858</v>
      </c>
      <c r="D63" s="70">
        <v>961</v>
      </c>
      <c r="E63" s="70">
        <v>1058</v>
      </c>
      <c r="F63" s="70">
        <v>1155</v>
      </c>
      <c r="G63" s="70">
        <v>1346</v>
      </c>
      <c r="H63" s="70">
        <v>1336</v>
      </c>
      <c r="I63" s="70">
        <v>1242</v>
      </c>
      <c r="J63" s="70">
        <v>1391</v>
      </c>
      <c r="K63" s="70">
        <v>1646</v>
      </c>
      <c r="L63" s="70">
        <v>1876</v>
      </c>
      <c r="M63" s="70">
        <v>2095</v>
      </c>
      <c r="N63" s="70">
        <v>2295</v>
      </c>
      <c r="O63" s="70">
        <v>2458</v>
      </c>
      <c r="P63" s="70">
        <v>2526</v>
      </c>
      <c r="Q63" s="70">
        <v>2706</v>
      </c>
      <c r="R63" s="70">
        <v>2825</v>
      </c>
      <c r="S63" s="70">
        <v>2972</v>
      </c>
      <c r="T63" s="70">
        <v>3015</v>
      </c>
      <c r="U63" s="70">
        <v>3080</v>
      </c>
      <c r="V63" s="70">
        <v>3180</v>
      </c>
      <c r="W63" s="70">
        <v>3281</v>
      </c>
      <c r="X63" s="70">
        <v>3381</v>
      </c>
      <c r="Y63" s="70">
        <v>3419</v>
      </c>
      <c r="Z63" s="70">
        <v>3538</v>
      </c>
      <c r="AA63" s="70">
        <v>3584</v>
      </c>
      <c r="AB63" s="70">
        <v>3683</v>
      </c>
      <c r="AC63" s="70">
        <v>3763</v>
      </c>
      <c r="AD63" s="70">
        <v>3748</v>
      </c>
      <c r="AE63" s="157">
        <v>3800</v>
      </c>
    </row>
    <row r="64" spans="1:32" ht="15" customHeight="1" x14ac:dyDescent="0.25">
      <c r="A64" s="156">
        <v>73</v>
      </c>
      <c r="B64" s="17" t="s">
        <v>80</v>
      </c>
      <c r="C64" s="70">
        <v>99</v>
      </c>
      <c r="D64" s="70">
        <v>102</v>
      </c>
      <c r="E64" s="70">
        <v>111</v>
      </c>
      <c r="F64" s="70">
        <v>107</v>
      </c>
      <c r="G64" s="70">
        <v>100</v>
      </c>
      <c r="H64" s="70">
        <v>104</v>
      </c>
      <c r="I64" s="70">
        <v>101</v>
      </c>
      <c r="J64" s="70">
        <v>106</v>
      </c>
      <c r="K64" s="70">
        <v>120</v>
      </c>
      <c r="L64" s="70">
        <v>127</v>
      </c>
      <c r="M64" s="70">
        <v>132</v>
      </c>
      <c r="N64" s="70">
        <v>147</v>
      </c>
      <c r="O64" s="70">
        <v>166</v>
      </c>
      <c r="P64" s="70">
        <v>171</v>
      </c>
      <c r="Q64" s="70">
        <v>179</v>
      </c>
      <c r="R64" s="70">
        <v>182</v>
      </c>
      <c r="S64" s="70">
        <v>176</v>
      </c>
      <c r="T64" s="70">
        <v>175</v>
      </c>
      <c r="U64" s="70">
        <v>172</v>
      </c>
      <c r="V64" s="70">
        <v>168</v>
      </c>
      <c r="W64" s="70">
        <v>165</v>
      </c>
      <c r="X64" s="70">
        <v>172</v>
      </c>
      <c r="Y64" s="70">
        <v>179</v>
      </c>
      <c r="Z64" s="70">
        <v>181</v>
      </c>
      <c r="AA64" s="70">
        <v>181</v>
      </c>
      <c r="AB64" s="70">
        <v>188</v>
      </c>
      <c r="AC64" s="70">
        <v>187</v>
      </c>
      <c r="AD64" s="70">
        <v>183</v>
      </c>
      <c r="AE64" s="157">
        <v>191</v>
      </c>
    </row>
    <row r="65" spans="1:32" ht="15" customHeight="1" x14ac:dyDescent="0.25">
      <c r="A65" s="156">
        <v>74</v>
      </c>
      <c r="B65" s="17" t="s">
        <v>81</v>
      </c>
      <c r="C65" s="70">
        <v>11306</v>
      </c>
      <c r="D65" s="70">
        <v>11900</v>
      </c>
      <c r="E65" s="70">
        <v>12091</v>
      </c>
      <c r="F65" s="70">
        <v>12441</v>
      </c>
      <c r="G65" s="70">
        <v>11839</v>
      </c>
      <c r="H65" s="70">
        <v>11603</v>
      </c>
      <c r="I65" s="70">
        <v>10946</v>
      </c>
      <c r="J65" s="70">
        <v>11718</v>
      </c>
      <c r="K65" s="70">
        <v>13737</v>
      </c>
      <c r="L65" s="70">
        <v>14656</v>
      </c>
      <c r="M65" s="70">
        <v>15410</v>
      </c>
      <c r="N65" s="70">
        <v>16184</v>
      </c>
      <c r="O65" s="70">
        <v>16488</v>
      </c>
      <c r="P65" s="70">
        <v>16346</v>
      </c>
      <c r="Q65" s="70">
        <v>16484</v>
      </c>
      <c r="R65" s="70">
        <v>16409</v>
      </c>
      <c r="S65" s="70">
        <v>16256</v>
      </c>
      <c r="T65" s="70">
        <v>16137</v>
      </c>
      <c r="U65" s="70">
        <v>15854</v>
      </c>
      <c r="V65" s="70">
        <v>15864</v>
      </c>
      <c r="W65" s="70">
        <v>15661</v>
      </c>
      <c r="X65" s="70">
        <v>15687</v>
      </c>
      <c r="Y65" s="70">
        <v>15416</v>
      </c>
      <c r="Z65" s="70">
        <v>14938</v>
      </c>
      <c r="AA65" s="70">
        <v>14253</v>
      </c>
      <c r="AB65" s="70">
        <v>13911</v>
      </c>
      <c r="AC65" s="70">
        <v>14130</v>
      </c>
      <c r="AD65" s="70">
        <v>13783</v>
      </c>
      <c r="AE65" s="157">
        <v>13456</v>
      </c>
    </row>
    <row r="66" spans="1:32" ht="15" customHeight="1" thickBot="1" x14ac:dyDescent="0.3">
      <c r="A66" s="158">
        <v>75</v>
      </c>
      <c r="B66" s="18" t="s">
        <v>185</v>
      </c>
      <c r="C66" s="71">
        <v>70</v>
      </c>
      <c r="D66" s="71">
        <v>71</v>
      </c>
      <c r="E66" s="71">
        <v>71</v>
      </c>
      <c r="F66" s="71">
        <v>77</v>
      </c>
      <c r="G66" s="71">
        <v>76</v>
      </c>
      <c r="H66" s="71">
        <v>73</v>
      </c>
      <c r="I66" s="71">
        <v>71</v>
      </c>
      <c r="J66" s="71">
        <v>75</v>
      </c>
      <c r="K66" s="71">
        <v>74</v>
      </c>
      <c r="L66" s="71">
        <v>75</v>
      </c>
      <c r="M66" s="71">
        <v>69</v>
      </c>
      <c r="N66" s="71">
        <v>66</v>
      </c>
      <c r="O66" s="71">
        <v>66</v>
      </c>
      <c r="P66" s="71">
        <v>64</v>
      </c>
      <c r="Q66" s="71">
        <v>63</v>
      </c>
      <c r="R66" s="71">
        <v>60</v>
      </c>
      <c r="S66" s="71">
        <v>56</v>
      </c>
      <c r="T66" s="71">
        <v>55</v>
      </c>
      <c r="U66" s="71">
        <v>52</v>
      </c>
      <c r="V66" s="71">
        <v>50</v>
      </c>
      <c r="W66" s="71">
        <v>46</v>
      </c>
      <c r="X66" s="71">
        <v>42</v>
      </c>
      <c r="Y66" s="71">
        <v>38</v>
      </c>
      <c r="Z66" s="71">
        <v>29</v>
      </c>
      <c r="AA66" s="71">
        <v>29</v>
      </c>
      <c r="AB66" s="71">
        <v>30</v>
      </c>
      <c r="AC66" s="71">
        <v>29</v>
      </c>
      <c r="AD66" s="71">
        <v>29</v>
      </c>
      <c r="AE66" s="159">
        <v>28</v>
      </c>
    </row>
    <row r="67" spans="1:32" s="11" customFormat="1" ht="15" customHeight="1" thickBot="1" x14ac:dyDescent="0.3">
      <c r="A67" s="160" t="s">
        <v>83</v>
      </c>
      <c r="B67" s="19" t="s">
        <v>84</v>
      </c>
      <c r="C67" s="64">
        <v>1732</v>
      </c>
      <c r="D67" s="64">
        <v>1820</v>
      </c>
      <c r="E67" s="64">
        <v>1892</v>
      </c>
      <c r="F67" s="64">
        <v>1871</v>
      </c>
      <c r="G67" s="64">
        <v>1670</v>
      </c>
      <c r="H67" s="64">
        <v>1636</v>
      </c>
      <c r="I67" s="64">
        <v>1560</v>
      </c>
      <c r="J67" s="64">
        <v>1587</v>
      </c>
      <c r="K67" s="64">
        <v>1725</v>
      </c>
      <c r="L67" s="64">
        <v>1765</v>
      </c>
      <c r="M67" s="64">
        <v>1845</v>
      </c>
      <c r="N67" s="64">
        <v>1905</v>
      </c>
      <c r="O67" s="64">
        <v>1945</v>
      </c>
      <c r="P67" s="64">
        <v>1893</v>
      </c>
      <c r="Q67" s="64">
        <v>1894</v>
      </c>
      <c r="R67" s="64">
        <v>1902</v>
      </c>
      <c r="S67" s="64">
        <v>1881</v>
      </c>
      <c r="T67" s="64">
        <v>1844</v>
      </c>
      <c r="U67" s="64">
        <v>1806</v>
      </c>
      <c r="V67" s="64">
        <v>1814</v>
      </c>
      <c r="W67" s="64">
        <v>1792</v>
      </c>
      <c r="X67" s="64">
        <v>1859</v>
      </c>
      <c r="Y67" s="64">
        <v>1865</v>
      </c>
      <c r="Z67" s="64">
        <v>1844</v>
      </c>
      <c r="AA67" s="64">
        <v>1764</v>
      </c>
      <c r="AB67" s="64">
        <v>1738</v>
      </c>
      <c r="AC67" s="64">
        <v>1753</v>
      </c>
      <c r="AD67" s="64">
        <v>1790</v>
      </c>
      <c r="AE67" s="145">
        <v>1847</v>
      </c>
      <c r="AF67" s="10"/>
    </row>
    <row r="68" spans="1:32" ht="15" customHeight="1" thickBot="1" x14ac:dyDescent="0.3">
      <c r="A68" s="150">
        <v>80</v>
      </c>
      <c r="B68" s="14" t="s">
        <v>85</v>
      </c>
      <c r="C68" s="70">
        <v>1732</v>
      </c>
      <c r="D68" s="67">
        <v>1820</v>
      </c>
      <c r="E68" s="67">
        <v>1892</v>
      </c>
      <c r="F68" s="67">
        <v>1871</v>
      </c>
      <c r="G68" s="67">
        <v>1670</v>
      </c>
      <c r="H68" s="67">
        <v>1636</v>
      </c>
      <c r="I68" s="67">
        <v>1560</v>
      </c>
      <c r="J68" s="67">
        <v>1587</v>
      </c>
      <c r="K68" s="67">
        <v>1725</v>
      </c>
      <c r="L68" s="67">
        <v>1765</v>
      </c>
      <c r="M68" s="67">
        <v>1845</v>
      </c>
      <c r="N68" s="67">
        <v>1905</v>
      </c>
      <c r="O68" s="67">
        <v>1945</v>
      </c>
      <c r="P68" s="67">
        <v>1893</v>
      </c>
      <c r="Q68" s="67">
        <v>1894</v>
      </c>
      <c r="R68" s="67">
        <v>1902</v>
      </c>
      <c r="S68" s="67">
        <v>1881</v>
      </c>
      <c r="T68" s="67">
        <v>1844</v>
      </c>
      <c r="U68" s="67">
        <v>1806</v>
      </c>
      <c r="V68" s="67">
        <v>1814</v>
      </c>
      <c r="W68" s="67">
        <v>1792</v>
      </c>
      <c r="X68" s="67">
        <v>1859</v>
      </c>
      <c r="Y68" s="67">
        <v>1865</v>
      </c>
      <c r="Z68" s="67">
        <v>1844</v>
      </c>
      <c r="AA68" s="67">
        <v>1764</v>
      </c>
      <c r="AB68" s="67">
        <v>1738</v>
      </c>
      <c r="AC68" s="67">
        <v>1753</v>
      </c>
      <c r="AD68" s="67">
        <v>1790</v>
      </c>
      <c r="AE68" s="151">
        <v>1847</v>
      </c>
    </row>
    <row r="69" spans="1:32" s="11" customFormat="1" ht="15" customHeight="1" thickBot="1" x14ac:dyDescent="0.3">
      <c r="A69" s="144" t="s">
        <v>86</v>
      </c>
      <c r="B69" s="9" t="s">
        <v>87</v>
      </c>
      <c r="C69" s="64">
        <v>3975</v>
      </c>
      <c r="D69" s="64">
        <v>4085</v>
      </c>
      <c r="E69" s="64">
        <v>4124</v>
      </c>
      <c r="F69" s="64">
        <v>4101</v>
      </c>
      <c r="G69" s="64">
        <v>3835</v>
      </c>
      <c r="H69" s="64">
        <v>3784</v>
      </c>
      <c r="I69" s="64">
        <v>3639</v>
      </c>
      <c r="J69" s="64">
        <v>3734</v>
      </c>
      <c r="K69" s="64">
        <v>4143</v>
      </c>
      <c r="L69" s="64">
        <v>4366</v>
      </c>
      <c r="M69" s="64">
        <v>4523</v>
      </c>
      <c r="N69" s="64">
        <v>4692</v>
      </c>
      <c r="O69" s="64">
        <v>4746</v>
      </c>
      <c r="P69" s="64">
        <v>4870</v>
      </c>
      <c r="Q69" s="64">
        <v>4983</v>
      </c>
      <c r="R69" s="64">
        <v>5037</v>
      </c>
      <c r="S69" s="64">
        <v>5090</v>
      </c>
      <c r="T69" s="64">
        <v>5111</v>
      </c>
      <c r="U69" s="64">
        <v>5117</v>
      </c>
      <c r="V69" s="64">
        <v>5156</v>
      </c>
      <c r="W69" s="64">
        <v>5138</v>
      </c>
      <c r="X69" s="64">
        <v>5185</v>
      </c>
      <c r="Y69" s="64">
        <v>5154</v>
      </c>
      <c r="Z69" s="64">
        <v>5074</v>
      </c>
      <c r="AA69" s="64">
        <v>4897</v>
      </c>
      <c r="AB69" s="64">
        <v>4783</v>
      </c>
      <c r="AC69" s="64">
        <v>4959</v>
      </c>
      <c r="AD69" s="64">
        <v>4888</v>
      </c>
      <c r="AE69" s="145">
        <v>4761</v>
      </c>
      <c r="AF69" s="10"/>
    </row>
    <row r="70" spans="1:32" ht="15" customHeight="1" thickBot="1" x14ac:dyDescent="0.3">
      <c r="A70" s="150">
        <v>85</v>
      </c>
      <c r="B70" s="14" t="s">
        <v>88</v>
      </c>
      <c r="C70" s="67">
        <v>3975</v>
      </c>
      <c r="D70" s="67">
        <v>4085</v>
      </c>
      <c r="E70" s="67">
        <v>4124</v>
      </c>
      <c r="F70" s="67">
        <v>4101</v>
      </c>
      <c r="G70" s="67">
        <v>3835</v>
      </c>
      <c r="H70" s="67">
        <v>3784</v>
      </c>
      <c r="I70" s="67">
        <v>3639</v>
      </c>
      <c r="J70" s="67">
        <v>3734</v>
      </c>
      <c r="K70" s="67">
        <v>4143</v>
      </c>
      <c r="L70" s="67">
        <v>4366</v>
      </c>
      <c r="M70" s="67">
        <v>4523</v>
      </c>
      <c r="N70" s="67">
        <v>4692</v>
      </c>
      <c r="O70" s="67">
        <v>4746</v>
      </c>
      <c r="P70" s="67">
        <v>4870</v>
      </c>
      <c r="Q70" s="67">
        <v>4983</v>
      </c>
      <c r="R70" s="67">
        <v>5037</v>
      </c>
      <c r="S70" s="67">
        <v>5090</v>
      </c>
      <c r="T70" s="67">
        <v>5111</v>
      </c>
      <c r="U70" s="67">
        <v>5117</v>
      </c>
      <c r="V70" s="67">
        <v>5156</v>
      </c>
      <c r="W70" s="67">
        <v>5138</v>
      </c>
      <c r="X70" s="67">
        <v>5185</v>
      </c>
      <c r="Y70" s="67">
        <v>5154</v>
      </c>
      <c r="Z70" s="67">
        <v>5074</v>
      </c>
      <c r="AA70" s="67">
        <v>4897</v>
      </c>
      <c r="AB70" s="67">
        <v>4783</v>
      </c>
      <c r="AC70" s="67">
        <v>4959</v>
      </c>
      <c r="AD70" s="67">
        <v>4888</v>
      </c>
      <c r="AE70" s="151">
        <v>4761</v>
      </c>
    </row>
    <row r="71" spans="1:32" s="11" customFormat="1" ht="15" customHeight="1" thickBot="1" x14ac:dyDescent="0.3">
      <c r="A71" s="144" t="s">
        <v>89</v>
      </c>
      <c r="B71" s="9" t="s">
        <v>90</v>
      </c>
      <c r="C71" s="64">
        <v>9185</v>
      </c>
      <c r="D71" s="64">
        <v>9304</v>
      </c>
      <c r="E71" s="64">
        <v>9128</v>
      </c>
      <c r="F71" s="64">
        <v>8494</v>
      </c>
      <c r="G71" s="64">
        <v>7729</v>
      </c>
      <c r="H71" s="64">
        <v>7428</v>
      </c>
      <c r="I71" s="64">
        <v>7060</v>
      </c>
      <c r="J71" s="64">
        <v>7555</v>
      </c>
      <c r="K71" s="64">
        <v>10142</v>
      </c>
      <c r="L71" s="64">
        <v>10662</v>
      </c>
      <c r="M71" s="64">
        <v>10900</v>
      </c>
      <c r="N71" s="64">
        <v>10883</v>
      </c>
      <c r="O71" s="64">
        <v>10587</v>
      </c>
      <c r="P71" s="64">
        <v>10341</v>
      </c>
      <c r="Q71" s="64">
        <v>10318</v>
      </c>
      <c r="R71" s="64">
        <v>10193</v>
      </c>
      <c r="S71" s="64">
        <v>9901</v>
      </c>
      <c r="T71" s="64">
        <v>9758</v>
      </c>
      <c r="U71" s="64">
        <v>9590</v>
      </c>
      <c r="V71" s="64">
        <v>9544</v>
      </c>
      <c r="W71" s="64">
        <v>9362</v>
      </c>
      <c r="X71" s="64">
        <v>9356</v>
      </c>
      <c r="Y71" s="64">
        <v>9190</v>
      </c>
      <c r="Z71" s="64">
        <v>8836</v>
      </c>
      <c r="AA71" s="64">
        <v>8125</v>
      </c>
      <c r="AB71" s="64">
        <v>7803</v>
      </c>
      <c r="AC71" s="64">
        <v>8179</v>
      </c>
      <c r="AD71" s="64">
        <v>8009</v>
      </c>
      <c r="AE71" s="145">
        <v>7756</v>
      </c>
      <c r="AF71" s="10"/>
    </row>
    <row r="72" spans="1:32" ht="15" customHeight="1" x14ac:dyDescent="0.25">
      <c r="A72" s="146">
        <v>90</v>
      </c>
      <c r="B72" s="12" t="s">
        <v>91</v>
      </c>
      <c r="C72" s="65">
        <v>226</v>
      </c>
      <c r="D72" s="65">
        <v>229</v>
      </c>
      <c r="E72" s="65">
        <v>227</v>
      </c>
      <c r="F72" s="65">
        <v>173</v>
      </c>
      <c r="G72" s="65">
        <v>139</v>
      </c>
      <c r="H72" s="65">
        <v>110</v>
      </c>
      <c r="I72" s="65">
        <v>106</v>
      </c>
      <c r="J72" s="65">
        <v>104</v>
      </c>
      <c r="K72" s="65">
        <v>127</v>
      </c>
      <c r="L72" s="65">
        <v>131</v>
      </c>
      <c r="M72" s="65">
        <v>133</v>
      </c>
      <c r="N72" s="65">
        <v>141</v>
      </c>
      <c r="O72" s="65">
        <v>153</v>
      </c>
      <c r="P72" s="65">
        <v>150</v>
      </c>
      <c r="Q72" s="65">
        <v>164</v>
      </c>
      <c r="R72" s="65">
        <v>171</v>
      </c>
      <c r="S72" s="65">
        <v>176</v>
      </c>
      <c r="T72" s="65">
        <v>183</v>
      </c>
      <c r="U72" s="65">
        <v>185</v>
      </c>
      <c r="V72" s="65">
        <v>194</v>
      </c>
      <c r="W72" s="65">
        <v>206</v>
      </c>
      <c r="X72" s="65">
        <v>208</v>
      </c>
      <c r="Y72" s="65">
        <v>209</v>
      </c>
      <c r="Z72" s="65">
        <v>201</v>
      </c>
      <c r="AA72" s="65">
        <v>196</v>
      </c>
      <c r="AB72" s="65">
        <v>206</v>
      </c>
      <c r="AC72" s="65">
        <v>198</v>
      </c>
      <c r="AD72" s="65">
        <v>201</v>
      </c>
      <c r="AE72" s="147">
        <v>201</v>
      </c>
    </row>
    <row r="73" spans="1:32" ht="15" customHeight="1" x14ac:dyDescent="0.25">
      <c r="A73" s="156">
        <v>91</v>
      </c>
      <c r="B73" s="17" t="s">
        <v>92</v>
      </c>
      <c r="C73" s="70">
        <v>2473</v>
      </c>
      <c r="D73" s="70">
        <v>2517</v>
      </c>
      <c r="E73" s="70">
        <v>2513</v>
      </c>
      <c r="F73" s="70">
        <v>2605</v>
      </c>
      <c r="G73" s="70">
        <v>2503</v>
      </c>
      <c r="H73" s="70">
        <v>2523</v>
      </c>
      <c r="I73" s="70">
        <v>2515</v>
      </c>
      <c r="J73" s="70">
        <v>2623</v>
      </c>
      <c r="K73" s="70">
        <v>2729</v>
      </c>
      <c r="L73" s="70">
        <v>2862</v>
      </c>
      <c r="M73" s="70">
        <v>2916</v>
      </c>
      <c r="N73" s="70">
        <v>2977</v>
      </c>
      <c r="O73" s="70">
        <v>2978</v>
      </c>
      <c r="P73" s="70">
        <v>3033</v>
      </c>
      <c r="Q73" s="70">
        <v>3066</v>
      </c>
      <c r="R73" s="70">
        <v>3124</v>
      </c>
      <c r="S73" s="70">
        <v>3119</v>
      </c>
      <c r="T73" s="70">
        <v>3151</v>
      </c>
      <c r="U73" s="70">
        <v>3133</v>
      </c>
      <c r="V73" s="70">
        <v>3124</v>
      </c>
      <c r="W73" s="70">
        <v>3117</v>
      </c>
      <c r="X73" s="70">
        <v>3111</v>
      </c>
      <c r="Y73" s="70">
        <v>3071</v>
      </c>
      <c r="Z73" s="70">
        <v>3057</v>
      </c>
      <c r="AA73" s="70">
        <v>3016</v>
      </c>
      <c r="AB73" s="70">
        <v>2996</v>
      </c>
      <c r="AC73" s="70">
        <v>3087</v>
      </c>
      <c r="AD73" s="70">
        <v>3023</v>
      </c>
      <c r="AE73" s="157">
        <v>2964</v>
      </c>
    </row>
    <row r="74" spans="1:32" ht="15" customHeight="1" x14ac:dyDescent="0.25">
      <c r="A74" s="156">
        <v>92</v>
      </c>
      <c r="B74" s="17" t="s">
        <v>93</v>
      </c>
      <c r="C74" s="70">
        <v>1347</v>
      </c>
      <c r="D74" s="70">
        <v>1378</v>
      </c>
      <c r="E74" s="70">
        <v>1336</v>
      </c>
      <c r="F74" s="70">
        <v>1301</v>
      </c>
      <c r="G74" s="70">
        <v>1202</v>
      </c>
      <c r="H74" s="70">
        <v>1136</v>
      </c>
      <c r="I74" s="70">
        <v>1101</v>
      </c>
      <c r="J74" s="70">
        <v>1235</v>
      </c>
      <c r="K74" s="70">
        <v>1466</v>
      </c>
      <c r="L74" s="70">
        <v>1627</v>
      </c>
      <c r="M74" s="70">
        <v>1754</v>
      </c>
      <c r="N74" s="70">
        <v>1900</v>
      </c>
      <c r="O74" s="70">
        <v>2003</v>
      </c>
      <c r="P74" s="70">
        <v>2042</v>
      </c>
      <c r="Q74" s="70">
        <v>2139</v>
      </c>
      <c r="R74" s="70">
        <v>2186</v>
      </c>
      <c r="S74" s="70">
        <v>2234</v>
      </c>
      <c r="T74" s="70">
        <v>2293</v>
      </c>
      <c r="U74" s="70">
        <v>2323</v>
      </c>
      <c r="V74" s="70">
        <v>2411</v>
      </c>
      <c r="W74" s="70">
        <v>2402</v>
      </c>
      <c r="X74" s="70">
        <v>2492</v>
      </c>
      <c r="Y74" s="70">
        <v>2532</v>
      </c>
      <c r="Z74" s="70">
        <v>2489</v>
      </c>
      <c r="AA74" s="70">
        <v>2273</v>
      </c>
      <c r="AB74" s="70">
        <v>2261</v>
      </c>
      <c r="AC74" s="70">
        <v>2420</v>
      </c>
      <c r="AD74" s="70">
        <v>2399</v>
      </c>
      <c r="AE74" s="157">
        <v>2308</v>
      </c>
    </row>
    <row r="75" spans="1:32" ht="15" customHeight="1" thickBot="1" x14ac:dyDescent="0.3">
      <c r="A75" s="158">
        <v>93</v>
      </c>
      <c r="B75" s="18" t="s">
        <v>94</v>
      </c>
      <c r="C75" s="76">
        <v>5139</v>
      </c>
      <c r="D75" s="76">
        <v>5180</v>
      </c>
      <c r="E75" s="76">
        <v>5052</v>
      </c>
      <c r="F75" s="76">
        <v>4415</v>
      </c>
      <c r="G75" s="76">
        <v>3885</v>
      </c>
      <c r="H75" s="76">
        <v>3659</v>
      </c>
      <c r="I75" s="76">
        <v>3338</v>
      </c>
      <c r="J75" s="76">
        <v>3593</v>
      </c>
      <c r="K75" s="76">
        <v>5820</v>
      </c>
      <c r="L75" s="76">
        <v>6042</v>
      </c>
      <c r="M75" s="76">
        <v>6097</v>
      </c>
      <c r="N75" s="76">
        <v>5865</v>
      </c>
      <c r="O75" s="76">
        <v>5453</v>
      </c>
      <c r="P75" s="76">
        <v>5116</v>
      </c>
      <c r="Q75" s="76">
        <v>4949</v>
      </c>
      <c r="R75" s="76">
        <v>4712</v>
      </c>
      <c r="S75" s="76">
        <v>4372</v>
      </c>
      <c r="T75" s="76">
        <v>4131</v>
      </c>
      <c r="U75" s="76">
        <v>3949</v>
      </c>
      <c r="V75" s="76">
        <v>3815</v>
      </c>
      <c r="W75" s="76">
        <v>3637</v>
      </c>
      <c r="X75" s="76">
        <v>3545</v>
      </c>
      <c r="Y75" s="76">
        <v>3378</v>
      </c>
      <c r="Z75" s="76">
        <v>3089</v>
      </c>
      <c r="AA75" s="76">
        <v>2640</v>
      </c>
      <c r="AB75" s="76">
        <v>2340</v>
      </c>
      <c r="AC75" s="76">
        <v>2474</v>
      </c>
      <c r="AD75" s="76">
        <v>2386</v>
      </c>
      <c r="AE75" s="165">
        <v>2283</v>
      </c>
    </row>
    <row r="76" spans="1:32" s="23" customFormat="1" ht="15" customHeight="1" thickBot="1" x14ac:dyDescent="0.3">
      <c r="A76" s="166"/>
      <c r="B76" s="167" t="s">
        <v>95</v>
      </c>
      <c r="C76" s="168">
        <v>115152</v>
      </c>
      <c r="D76" s="168">
        <v>119538</v>
      </c>
      <c r="E76" s="168">
        <v>119894</v>
      </c>
      <c r="F76" s="168">
        <v>118301</v>
      </c>
      <c r="G76" s="168">
        <v>109961</v>
      </c>
      <c r="H76" s="168">
        <v>106455</v>
      </c>
      <c r="I76" s="168">
        <v>101330</v>
      </c>
      <c r="J76" s="168">
        <v>106533</v>
      </c>
      <c r="K76" s="168">
        <v>121217</v>
      </c>
      <c r="L76" s="168">
        <v>127423</v>
      </c>
      <c r="M76" s="168">
        <v>132900</v>
      </c>
      <c r="N76" s="168">
        <v>137278</v>
      </c>
      <c r="O76" s="168">
        <v>139624</v>
      </c>
      <c r="P76" s="168">
        <v>139629</v>
      </c>
      <c r="Q76" s="168">
        <v>141357</v>
      </c>
      <c r="R76" s="168">
        <v>142598</v>
      </c>
      <c r="S76" s="168">
        <v>142540</v>
      </c>
      <c r="T76" s="168">
        <v>142765</v>
      </c>
      <c r="U76" s="168">
        <v>142323</v>
      </c>
      <c r="V76" s="168">
        <v>143253</v>
      </c>
      <c r="W76" s="168">
        <v>142948</v>
      </c>
      <c r="X76" s="168">
        <v>143321</v>
      </c>
      <c r="Y76" s="168">
        <v>141717</v>
      </c>
      <c r="Z76" s="168">
        <v>138366</v>
      </c>
      <c r="AA76" s="168">
        <v>132560</v>
      </c>
      <c r="AB76" s="168">
        <v>131244</v>
      </c>
      <c r="AC76" s="168">
        <v>137664</v>
      </c>
      <c r="AD76" s="168">
        <v>136335</v>
      </c>
      <c r="AE76" s="169">
        <v>135236</v>
      </c>
      <c r="AF76" s="22"/>
    </row>
    <row r="77" spans="1:32" ht="12" customHeight="1" x14ac:dyDescent="0.25">
      <c r="A77" s="7"/>
      <c r="B77" s="7"/>
      <c r="C77" s="7"/>
      <c r="D77" s="7"/>
      <c r="E77" s="24"/>
      <c r="F77" s="7"/>
      <c r="G77" s="25"/>
      <c r="H77" s="7"/>
      <c r="I77" s="7"/>
      <c r="J77" s="7"/>
      <c r="K77" s="7"/>
      <c r="L77" s="7"/>
      <c r="M77" s="7"/>
      <c r="N77" s="7"/>
      <c r="O77" s="7"/>
      <c r="P77" s="7"/>
      <c r="Q77" s="7"/>
      <c r="R77" s="7"/>
      <c r="S77" s="7"/>
      <c r="T77" s="7"/>
      <c r="U77" s="7"/>
      <c r="V77" s="7"/>
      <c r="W77" s="7"/>
      <c r="X77" s="7"/>
      <c r="Y77" s="7"/>
      <c r="Z77" s="7"/>
      <c r="AA77" s="7"/>
      <c r="AB77" s="7"/>
      <c r="AC77" s="7"/>
      <c r="AD77" s="7"/>
      <c r="AE77" s="7"/>
    </row>
    <row r="78" spans="1:32" ht="11.25" x14ac:dyDescent="0.25">
      <c r="A78" s="307" t="s">
        <v>96</v>
      </c>
      <c r="B78" s="307"/>
      <c r="C78" s="277"/>
      <c r="D78" s="277"/>
      <c r="E78" s="277"/>
      <c r="F78" s="26"/>
      <c r="G78" s="26"/>
      <c r="H78" s="7"/>
      <c r="I78" s="7"/>
      <c r="J78" s="7"/>
      <c r="K78" s="7"/>
      <c r="L78" s="7"/>
      <c r="M78" s="7"/>
      <c r="N78" s="7"/>
      <c r="O78" s="7"/>
      <c r="P78" s="7"/>
      <c r="Q78" s="7"/>
      <c r="R78" s="7"/>
      <c r="S78" s="7"/>
      <c r="T78" s="7"/>
      <c r="U78" s="7"/>
      <c r="V78" s="7"/>
      <c r="W78" s="7"/>
      <c r="X78" s="7"/>
      <c r="Y78" s="7"/>
      <c r="Z78" s="7"/>
      <c r="AA78" s="7"/>
      <c r="AB78" s="7"/>
      <c r="AC78" s="7"/>
      <c r="AD78" s="7"/>
      <c r="AE78" s="7"/>
    </row>
    <row r="79" spans="1:32" ht="26.45" customHeight="1" x14ac:dyDescent="0.25">
      <c r="A79" s="307" t="s">
        <v>381</v>
      </c>
      <c r="B79" s="307"/>
      <c r="C79" s="307"/>
      <c r="D79" s="277"/>
      <c r="E79" s="277"/>
      <c r="F79" s="277"/>
      <c r="G79" s="277"/>
      <c r="H79" s="27"/>
      <c r="I79" s="27"/>
      <c r="J79" s="27"/>
      <c r="K79" s="27"/>
      <c r="L79" s="7"/>
      <c r="M79" s="7"/>
      <c r="N79" s="7"/>
      <c r="O79" s="7"/>
      <c r="P79" s="7"/>
      <c r="Q79" s="7"/>
      <c r="R79" s="7"/>
      <c r="S79" s="7"/>
      <c r="T79" s="7"/>
      <c r="U79" s="7"/>
      <c r="V79" s="7"/>
      <c r="W79" s="7"/>
      <c r="X79" s="7"/>
      <c r="Y79" s="7"/>
      <c r="Z79" s="7"/>
      <c r="AA79" s="7"/>
      <c r="AB79" s="7"/>
      <c r="AC79" s="7"/>
      <c r="AD79" s="7"/>
      <c r="AE79" s="7"/>
    </row>
    <row r="80" spans="1:32" ht="26.45" customHeight="1" x14ac:dyDescent="0.25">
      <c r="A80" s="307" t="s">
        <v>382</v>
      </c>
      <c r="B80" s="307"/>
      <c r="C80" s="307"/>
      <c r="D80" s="277"/>
      <c r="E80" s="277"/>
      <c r="F80" s="277"/>
      <c r="G80" s="277"/>
      <c r="H80" s="27"/>
      <c r="I80" s="27"/>
      <c r="J80" s="27"/>
      <c r="K80" s="27"/>
      <c r="L80" s="7"/>
      <c r="M80" s="7"/>
      <c r="N80" s="7"/>
      <c r="O80" s="7"/>
      <c r="P80" s="7"/>
      <c r="Q80" s="7"/>
      <c r="R80" s="7"/>
      <c r="S80" s="7"/>
      <c r="T80" s="7"/>
      <c r="U80" s="7"/>
      <c r="V80" s="7"/>
      <c r="W80" s="7"/>
      <c r="X80" s="7"/>
      <c r="Y80" s="7"/>
      <c r="Z80" s="7"/>
      <c r="AA80" s="7"/>
      <c r="AB80" s="7"/>
      <c r="AC80" s="7"/>
      <c r="AD80" s="7"/>
      <c r="AE80" s="7"/>
    </row>
    <row r="81" spans="1:32" ht="26.45" customHeight="1" x14ac:dyDescent="0.25">
      <c r="A81" s="307" t="s">
        <v>151</v>
      </c>
      <c r="B81" s="307"/>
      <c r="C81" s="307"/>
      <c r="D81" s="277"/>
      <c r="E81" s="277"/>
      <c r="F81" s="277"/>
      <c r="G81" s="277"/>
      <c r="H81" s="27"/>
      <c r="I81" s="27"/>
      <c r="J81" s="27"/>
      <c r="K81" s="27"/>
      <c r="L81" s="7"/>
      <c r="M81" s="7"/>
      <c r="N81" s="7"/>
      <c r="O81" s="7"/>
      <c r="P81" s="7"/>
      <c r="Q81" s="7"/>
      <c r="R81" s="7"/>
      <c r="S81" s="7"/>
      <c r="T81" s="7"/>
      <c r="U81" s="7"/>
      <c r="V81" s="7"/>
      <c r="W81" s="7"/>
      <c r="X81" s="7"/>
      <c r="Y81" s="7"/>
      <c r="Z81" s="7"/>
      <c r="AA81" s="7"/>
      <c r="AB81" s="7"/>
      <c r="AC81" s="7"/>
      <c r="AD81" s="7"/>
      <c r="AE81" s="7"/>
    </row>
    <row r="82" spans="1:32" ht="46.5" customHeight="1" x14ac:dyDescent="0.25">
      <c r="A82" s="307" t="s">
        <v>384</v>
      </c>
      <c r="B82" s="307"/>
      <c r="C82" s="307"/>
      <c r="D82" s="307"/>
      <c r="E82" s="307"/>
      <c r="F82" s="307"/>
      <c r="G82" s="307"/>
      <c r="H82" s="28"/>
      <c r="I82" s="28"/>
      <c r="J82" s="28"/>
      <c r="K82" s="29"/>
      <c r="L82" s="29"/>
      <c r="M82" s="29"/>
      <c r="N82" s="29"/>
      <c r="O82" s="29"/>
      <c r="P82" s="29"/>
      <c r="Q82" s="29"/>
      <c r="R82" s="29"/>
      <c r="S82" s="29"/>
      <c r="T82" s="29"/>
      <c r="U82" s="29"/>
      <c r="V82" s="29"/>
      <c r="W82" s="29"/>
      <c r="X82" s="29"/>
      <c r="Y82" s="29"/>
      <c r="Z82" s="29"/>
      <c r="AA82" s="29"/>
      <c r="AB82" s="29"/>
      <c r="AC82" s="29"/>
      <c r="AD82" s="29"/>
      <c r="AE82" s="29"/>
      <c r="AF82" s="29"/>
    </row>
    <row r="83" spans="1:32" ht="19.899999999999999" customHeight="1" x14ac:dyDescent="0.25">
      <c r="A83" s="276"/>
      <c r="B83" s="276"/>
      <c r="C83" s="276"/>
      <c r="D83" s="276"/>
      <c r="E83" s="276"/>
      <c r="F83" s="276"/>
      <c r="G83" s="276"/>
      <c r="H83" s="28"/>
      <c r="I83" s="28"/>
      <c r="J83" s="28"/>
      <c r="K83" s="7"/>
      <c r="L83" s="7"/>
      <c r="M83" s="7"/>
      <c r="N83" s="7"/>
      <c r="O83" s="7"/>
      <c r="P83" s="7"/>
      <c r="Q83" s="7"/>
      <c r="R83" s="7"/>
      <c r="S83" s="7"/>
      <c r="T83" s="7"/>
      <c r="U83" s="7"/>
      <c r="V83" s="7"/>
      <c r="W83" s="7"/>
      <c r="X83" s="7"/>
      <c r="Y83" s="7"/>
      <c r="Z83" s="7"/>
      <c r="AA83" s="7"/>
      <c r="AB83" s="7"/>
      <c r="AC83" s="7"/>
      <c r="AD83" s="7"/>
      <c r="AE83" s="7"/>
    </row>
    <row r="84" spans="1:32" ht="6.75" customHeight="1" x14ac:dyDescent="0.25">
      <c r="A84" s="7"/>
      <c r="B84" s="7"/>
      <c r="C84" s="7"/>
      <c r="D84" s="7"/>
      <c r="E84" s="7"/>
      <c r="F84" s="7"/>
      <c r="G84" s="7"/>
      <c r="H84" s="7"/>
      <c r="I84" s="7"/>
      <c r="J84" s="7"/>
      <c r="K84" s="7"/>
      <c r="L84" s="7"/>
      <c r="M84" s="7"/>
      <c r="N84" s="7"/>
      <c r="O84" s="7"/>
      <c r="P84" s="7"/>
      <c r="Q84" s="7"/>
      <c r="R84" s="7"/>
      <c r="S84" s="7"/>
      <c r="T84" s="7"/>
      <c r="U84" s="7"/>
      <c r="V84" s="7"/>
      <c r="W84" s="7"/>
      <c r="X84" s="7"/>
      <c r="Y84" s="7"/>
      <c r="Z84" s="7"/>
      <c r="AA84" s="7"/>
      <c r="AB84" s="7"/>
      <c r="AC84" s="7"/>
      <c r="AD84" s="7"/>
      <c r="AE84" s="7"/>
    </row>
    <row r="85" spans="1:32" ht="0" hidden="1" customHeight="1" x14ac:dyDescent="0.25"/>
    <row r="86" spans="1:32" ht="0" hidden="1" customHeight="1" x14ac:dyDescent="0.25"/>
    <row r="87" spans="1:32" ht="0" hidden="1" customHeight="1" x14ac:dyDescent="0.25"/>
  </sheetData>
  <mergeCells count="37">
    <mergeCell ref="AC4:AC5"/>
    <mergeCell ref="A80:C80"/>
    <mergeCell ref="A81:C81"/>
    <mergeCell ref="A78:B78"/>
    <mergeCell ref="D4:D5"/>
    <mergeCell ref="F4:F5"/>
    <mergeCell ref="G4:G5"/>
    <mergeCell ref="E4:E5"/>
    <mergeCell ref="T4:T5"/>
    <mergeCell ref="J4:J5"/>
    <mergeCell ref="K4:K5"/>
    <mergeCell ref="L4:L5"/>
    <mergeCell ref="S4:S5"/>
    <mergeCell ref="I4:I5"/>
    <mergeCell ref="U4:U5"/>
    <mergeCell ref="A82:G82"/>
    <mergeCell ref="A2:C2"/>
    <mergeCell ref="A4:A5"/>
    <mergeCell ref="B4:B5"/>
    <mergeCell ref="C4:C5"/>
    <mergeCell ref="A79:C79"/>
    <mergeCell ref="AD4:AD5"/>
    <mergeCell ref="AE4:AE5"/>
    <mergeCell ref="P4:P5"/>
    <mergeCell ref="H4:H5"/>
    <mergeCell ref="Q4:Q5"/>
    <mergeCell ref="R4:R5"/>
    <mergeCell ref="O4:O5"/>
    <mergeCell ref="AB4:AB5"/>
    <mergeCell ref="W4:W5"/>
    <mergeCell ref="X4:X5"/>
    <mergeCell ref="Z4:Z5"/>
    <mergeCell ref="Y4:Y5"/>
    <mergeCell ref="N4:N5"/>
    <mergeCell ref="AA4:AA5"/>
    <mergeCell ref="V4:V5"/>
    <mergeCell ref="M4:M5"/>
  </mergeCells>
  <pageMargins left="0.74803149606299213" right="0.74803149606299213" top="0.98425196850393704" bottom="0.98425196850393704" header="0" footer="0"/>
  <pageSetup paperSize="9" scale="65" fitToWidth="19" orientation="portrait" r:id="rId1"/>
  <headerFooter alignWithMargins="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3"/>
  <dimension ref="A1:DW94"/>
  <sheetViews>
    <sheetView zoomScale="115" zoomScaleNormal="115" workbookViewId="0">
      <pane xSplit="2" ySplit="5" topLeftCell="C6" activePane="bottomRight" state="frozen"/>
      <selection activeCell="C6" sqref="C6"/>
      <selection pane="topRight" activeCell="C6" sqref="C6"/>
      <selection pane="bottomLeft" activeCell="C6" sqref="C6"/>
      <selection pane="bottomRight" activeCell="C6" sqref="C6"/>
    </sheetView>
  </sheetViews>
  <sheetFormatPr baseColWidth="10" defaultColWidth="0" defaultRowHeight="0" customHeight="1" zeroHeight="1" x14ac:dyDescent="0.25"/>
  <cols>
    <col min="1" max="1" width="5.7109375" style="8" customWidth="1"/>
    <col min="2" max="2" width="62.7109375" style="8" customWidth="1"/>
    <col min="3" max="4" width="11.140625" style="30" customWidth="1"/>
    <col min="5" max="6" width="11.140625" style="8" customWidth="1"/>
    <col min="7" max="7" width="11.140625" style="31" customWidth="1"/>
    <col min="8" max="31" width="11.140625" style="8" customWidth="1"/>
    <col min="32" max="32" width="6.42578125" style="7" customWidth="1"/>
    <col min="33" max="127" width="0" style="8" hidden="1" customWidth="1"/>
    <col min="128" max="16384" width="6.42578125" style="8" hidden="1"/>
  </cols>
  <sheetData>
    <row r="1" spans="1:32" s="5" customFormat="1" ht="25.5" customHeight="1" thickBot="1" x14ac:dyDescent="0.25">
      <c r="A1" s="1"/>
      <c r="B1" s="2"/>
      <c r="C1" s="3"/>
      <c r="D1" s="172" t="s">
        <v>0</v>
      </c>
      <c r="E1" s="171"/>
      <c r="F1" s="171"/>
      <c r="G1" s="173"/>
      <c r="H1" s="171"/>
      <c r="I1" s="171"/>
      <c r="J1" s="171"/>
      <c r="K1" s="171"/>
      <c r="L1" s="171"/>
      <c r="M1" s="171"/>
      <c r="N1" s="171"/>
      <c r="O1" s="171"/>
      <c r="P1" s="171"/>
      <c r="Q1" s="171"/>
      <c r="R1" s="171"/>
      <c r="S1" s="171"/>
      <c r="T1" s="171"/>
      <c r="U1" s="171"/>
      <c r="V1" s="171"/>
      <c r="W1" s="171"/>
      <c r="X1" s="171"/>
      <c r="Y1" s="171"/>
      <c r="Z1" s="171"/>
      <c r="AA1" s="171"/>
      <c r="AB1" s="171"/>
      <c r="AC1" s="171"/>
      <c r="AD1" s="171"/>
      <c r="AE1" s="171"/>
      <c r="AF1" s="2"/>
    </row>
    <row r="2" spans="1:32" ht="22.5" customHeight="1" thickBot="1" x14ac:dyDescent="0.3">
      <c r="A2" s="303" t="s">
        <v>97</v>
      </c>
      <c r="B2" s="304"/>
      <c r="C2" s="304"/>
      <c r="D2" s="140"/>
      <c r="E2" s="140"/>
      <c r="F2" s="140"/>
      <c r="G2" s="140"/>
      <c r="H2" s="140"/>
      <c r="I2" s="140"/>
      <c r="J2" s="140"/>
      <c r="K2" s="140"/>
      <c r="L2" s="140"/>
      <c r="M2" s="140"/>
      <c r="N2" s="140"/>
      <c r="O2" s="140"/>
      <c r="P2" s="140"/>
      <c r="Q2" s="140"/>
      <c r="R2" s="140"/>
      <c r="S2" s="140"/>
      <c r="T2" s="140"/>
      <c r="U2" s="140"/>
      <c r="V2" s="140"/>
      <c r="W2" s="140"/>
      <c r="X2" s="140"/>
      <c r="Y2" s="140"/>
      <c r="Z2" s="140"/>
      <c r="AA2" s="140"/>
      <c r="AB2" s="140"/>
      <c r="AC2" s="140"/>
      <c r="AD2" s="140"/>
      <c r="AE2" s="141"/>
    </row>
    <row r="3" spans="1:32" ht="16.5" customHeight="1" thickBot="1" x14ac:dyDescent="0.25">
      <c r="A3" s="142" t="s">
        <v>299</v>
      </c>
      <c r="B3" s="57"/>
      <c r="C3" s="57"/>
      <c r="D3" s="58"/>
      <c r="E3" s="58"/>
      <c r="F3" s="58"/>
      <c r="G3" s="58"/>
      <c r="H3" s="59"/>
      <c r="I3" s="59"/>
      <c r="J3" s="59"/>
      <c r="K3" s="59"/>
      <c r="L3" s="59"/>
      <c r="M3" s="59"/>
      <c r="N3" s="59"/>
      <c r="O3" s="59"/>
      <c r="P3" s="59"/>
      <c r="Q3" s="59"/>
      <c r="R3" s="59"/>
      <c r="S3" s="59"/>
      <c r="T3" s="59"/>
      <c r="U3" s="59"/>
      <c r="V3" s="59"/>
      <c r="W3" s="59"/>
      <c r="X3" s="59"/>
      <c r="Y3" s="59"/>
      <c r="Z3" s="59"/>
      <c r="AA3" s="59"/>
      <c r="AB3" s="59"/>
      <c r="AC3" s="59"/>
      <c r="AD3" s="59"/>
      <c r="AE3" s="143"/>
    </row>
    <row r="4" spans="1:32" ht="15.75" customHeight="1" x14ac:dyDescent="0.25">
      <c r="A4" s="310"/>
      <c r="B4" s="308" t="s">
        <v>2</v>
      </c>
      <c r="C4" s="301">
        <v>1996</v>
      </c>
      <c r="D4" s="301">
        <v>1997</v>
      </c>
      <c r="E4" s="301">
        <v>1998</v>
      </c>
      <c r="F4" s="301">
        <v>1999</v>
      </c>
      <c r="G4" s="301">
        <v>2000</v>
      </c>
      <c r="H4" s="301">
        <v>2001</v>
      </c>
      <c r="I4" s="301">
        <v>2002</v>
      </c>
      <c r="J4" s="301">
        <v>2003</v>
      </c>
      <c r="K4" s="301">
        <v>2004</v>
      </c>
      <c r="L4" s="301">
        <v>2005</v>
      </c>
      <c r="M4" s="301">
        <v>2006</v>
      </c>
      <c r="N4" s="301">
        <v>2007</v>
      </c>
      <c r="O4" s="301">
        <v>2008</v>
      </c>
      <c r="P4" s="301">
        <v>2009</v>
      </c>
      <c r="Q4" s="301">
        <v>2010</v>
      </c>
      <c r="R4" s="301">
        <v>2011</v>
      </c>
      <c r="S4" s="301">
        <v>2012</v>
      </c>
      <c r="T4" s="301">
        <v>2013</v>
      </c>
      <c r="U4" s="301">
        <v>2014</v>
      </c>
      <c r="V4" s="301">
        <v>2015</v>
      </c>
      <c r="W4" s="301">
        <v>2016</v>
      </c>
      <c r="X4" s="301">
        <v>2017</v>
      </c>
      <c r="Y4" s="301">
        <v>2018</v>
      </c>
      <c r="Z4" s="301">
        <v>2019</v>
      </c>
      <c r="AA4" s="301">
        <v>2020</v>
      </c>
      <c r="AB4" s="301">
        <v>2021</v>
      </c>
      <c r="AC4" s="301">
        <v>2022</v>
      </c>
      <c r="AD4" s="301">
        <v>2023</v>
      </c>
      <c r="AE4" s="299">
        <v>2024</v>
      </c>
    </row>
    <row r="5" spans="1:32" ht="15.75" customHeight="1" thickBot="1" x14ac:dyDescent="0.3">
      <c r="A5" s="311"/>
      <c r="B5" s="309"/>
      <c r="C5" s="302"/>
      <c r="D5" s="302" t="s">
        <v>3</v>
      </c>
      <c r="E5" s="302"/>
      <c r="F5" s="302" t="s">
        <v>4</v>
      </c>
      <c r="G5" s="302"/>
      <c r="H5" s="302" t="s">
        <v>5</v>
      </c>
      <c r="I5" s="302"/>
      <c r="J5" s="302" t="s">
        <v>6</v>
      </c>
      <c r="K5" s="302"/>
      <c r="L5" s="302" t="s">
        <v>7</v>
      </c>
      <c r="M5" s="302"/>
      <c r="N5" s="302" t="s">
        <v>8</v>
      </c>
      <c r="O5" s="302"/>
      <c r="P5" s="302" t="s">
        <v>9</v>
      </c>
      <c r="Q5" s="302"/>
      <c r="R5" s="302" t="s">
        <v>10</v>
      </c>
      <c r="S5" s="302"/>
      <c r="T5" s="302"/>
      <c r="U5" s="302"/>
      <c r="V5" s="302"/>
      <c r="W5" s="302"/>
      <c r="X5" s="302"/>
      <c r="Y5" s="302"/>
      <c r="Z5" s="302"/>
      <c r="AA5" s="302"/>
      <c r="AB5" s="302"/>
      <c r="AC5" s="302"/>
      <c r="AD5" s="302"/>
      <c r="AE5" s="300"/>
    </row>
    <row r="6" spans="1:32" s="11" customFormat="1" ht="15" customHeight="1" thickBot="1" x14ac:dyDescent="0.3">
      <c r="A6" s="144" t="s">
        <v>11</v>
      </c>
      <c r="B6" s="9" t="s">
        <v>12</v>
      </c>
      <c r="C6" s="64">
        <v>15965</v>
      </c>
      <c r="D6" s="64">
        <v>16204</v>
      </c>
      <c r="E6" s="64">
        <v>16171</v>
      </c>
      <c r="F6" s="64">
        <v>16280</v>
      </c>
      <c r="G6" s="64">
        <v>15514</v>
      </c>
      <c r="H6" s="64">
        <v>14975</v>
      </c>
      <c r="I6" s="64">
        <v>14834</v>
      </c>
      <c r="J6" s="64">
        <v>15724</v>
      </c>
      <c r="K6" s="64">
        <v>16817</v>
      </c>
      <c r="L6" s="64">
        <v>17805</v>
      </c>
      <c r="M6" s="64">
        <v>18507</v>
      </c>
      <c r="N6" s="64">
        <v>18968</v>
      </c>
      <c r="O6" s="64">
        <v>19290</v>
      </c>
      <c r="P6" s="64">
        <v>18666</v>
      </c>
      <c r="Q6" s="64">
        <v>18874</v>
      </c>
      <c r="R6" s="64">
        <v>19300</v>
      </c>
      <c r="S6" s="64">
        <v>19024</v>
      </c>
      <c r="T6" s="64">
        <v>18551</v>
      </c>
      <c r="U6" s="64">
        <v>18131</v>
      </c>
      <c r="V6" s="64">
        <v>17598</v>
      </c>
      <c r="W6" s="64">
        <v>17413</v>
      </c>
      <c r="X6" s="64">
        <v>17278</v>
      </c>
      <c r="Y6" s="64">
        <v>16989</v>
      </c>
      <c r="Z6" s="64">
        <v>16943</v>
      </c>
      <c r="AA6" s="64">
        <v>16899</v>
      </c>
      <c r="AB6" s="64">
        <v>17047</v>
      </c>
      <c r="AC6" s="64">
        <v>17003</v>
      </c>
      <c r="AD6" s="64">
        <v>16408</v>
      </c>
      <c r="AE6" s="145">
        <v>16211</v>
      </c>
      <c r="AF6" s="10"/>
    </row>
    <row r="7" spans="1:32" ht="15" customHeight="1" x14ac:dyDescent="0.25">
      <c r="A7" s="146">
        <v>1</v>
      </c>
      <c r="B7" s="12" t="s">
        <v>13</v>
      </c>
      <c r="C7" s="68">
        <v>15912</v>
      </c>
      <c r="D7" s="68">
        <v>16156</v>
      </c>
      <c r="E7" s="68">
        <v>16108</v>
      </c>
      <c r="F7" s="68">
        <v>16216</v>
      </c>
      <c r="G7" s="68">
        <v>15466</v>
      </c>
      <c r="H7" s="68">
        <v>14931</v>
      </c>
      <c r="I7" s="68">
        <v>14793</v>
      </c>
      <c r="J7" s="68">
        <v>15686</v>
      </c>
      <c r="K7" s="68">
        <v>16770</v>
      </c>
      <c r="L7" s="68">
        <v>17757</v>
      </c>
      <c r="M7" s="68">
        <v>18458</v>
      </c>
      <c r="N7" s="68">
        <v>18908</v>
      </c>
      <c r="O7" s="68">
        <v>19231</v>
      </c>
      <c r="P7" s="68">
        <v>18602</v>
      </c>
      <c r="Q7" s="68">
        <v>18806</v>
      </c>
      <c r="R7" s="68">
        <v>19226</v>
      </c>
      <c r="S7" s="68">
        <v>18951</v>
      </c>
      <c r="T7" s="68">
        <v>18481</v>
      </c>
      <c r="U7" s="68">
        <v>18067</v>
      </c>
      <c r="V7" s="68">
        <v>17527</v>
      </c>
      <c r="W7" s="68">
        <v>17352</v>
      </c>
      <c r="X7" s="68">
        <v>17222</v>
      </c>
      <c r="Y7" s="68">
        <v>16939</v>
      </c>
      <c r="Z7" s="68">
        <v>16896</v>
      </c>
      <c r="AA7" s="68">
        <v>16850</v>
      </c>
      <c r="AB7" s="68">
        <v>17001</v>
      </c>
      <c r="AC7" s="68">
        <v>16949</v>
      </c>
      <c r="AD7" s="68">
        <v>16350</v>
      </c>
      <c r="AE7" s="147">
        <v>16158</v>
      </c>
    </row>
    <row r="8" spans="1:32" ht="15" customHeight="1" thickBot="1" x14ac:dyDescent="0.3">
      <c r="A8" s="148">
        <v>2</v>
      </c>
      <c r="B8" s="13" t="s">
        <v>14</v>
      </c>
      <c r="C8" s="69">
        <v>53</v>
      </c>
      <c r="D8" s="69">
        <v>48</v>
      </c>
      <c r="E8" s="69">
        <v>63</v>
      </c>
      <c r="F8" s="69">
        <v>64</v>
      </c>
      <c r="G8" s="69">
        <v>48</v>
      </c>
      <c r="H8" s="69">
        <v>44</v>
      </c>
      <c r="I8" s="69">
        <v>41</v>
      </c>
      <c r="J8" s="69">
        <v>38</v>
      </c>
      <c r="K8" s="69">
        <v>47</v>
      </c>
      <c r="L8" s="69">
        <v>48</v>
      </c>
      <c r="M8" s="69">
        <v>49</v>
      </c>
      <c r="N8" s="69">
        <v>60</v>
      </c>
      <c r="O8" s="69">
        <v>59</v>
      </c>
      <c r="P8" s="69">
        <v>64</v>
      </c>
      <c r="Q8" s="69">
        <v>68</v>
      </c>
      <c r="R8" s="69">
        <v>74</v>
      </c>
      <c r="S8" s="69">
        <v>73</v>
      </c>
      <c r="T8" s="69">
        <v>70</v>
      </c>
      <c r="U8" s="69">
        <v>64</v>
      </c>
      <c r="V8" s="69">
        <v>71</v>
      </c>
      <c r="W8" s="69">
        <v>61</v>
      </c>
      <c r="X8" s="69">
        <v>56</v>
      </c>
      <c r="Y8" s="69">
        <v>50</v>
      </c>
      <c r="Z8" s="69">
        <v>47</v>
      </c>
      <c r="AA8" s="69">
        <v>49</v>
      </c>
      <c r="AB8" s="69">
        <v>46</v>
      </c>
      <c r="AC8" s="69">
        <v>54</v>
      </c>
      <c r="AD8" s="69">
        <v>58</v>
      </c>
      <c r="AE8" s="149">
        <v>53</v>
      </c>
    </row>
    <row r="9" spans="1:32" s="11" customFormat="1" ht="15" customHeight="1" thickBot="1" x14ac:dyDescent="0.3">
      <c r="A9" s="144" t="s">
        <v>15</v>
      </c>
      <c r="B9" s="9" t="s">
        <v>16</v>
      </c>
      <c r="C9" s="64">
        <v>84</v>
      </c>
      <c r="D9" s="64">
        <v>96</v>
      </c>
      <c r="E9" s="64">
        <v>113</v>
      </c>
      <c r="F9" s="64">
        <v>134</v>
      </c>
      <c r="G9" s="64">
        <v>168</v>
      </c>
      <c r="H9" s="64">
        <v>178</v>
      </c>
      <c r="I9" s="64">
        <v>167</v>
      </c>
      <c r="J9" s="64">
        <v>165</v>
      </c>
      <c r="K9" s="64">
        <v>175</v>
      </c>
      <c r="L9" s="64">
        <v>185</v>
      </c>
      <c r="M9" s="64">
        <v>195</v>
      </c>
      <c r="N9" s="64">
        <v>194</v>
      </c>
      <c r="O9" s="64">
        <v>201</v>
      </c>
      <c r="P9" s="64">
        <v>205</v>
      </c>
      <c r="Q9" s="64">
        <v>198</v>
      </c>
      <c r="R9" s="64">
        <v>197</v>
      </c>
      <c r="S9" s="64">
        <v>197</v>
      </c>
      <c r="T9" s="64">
        <v>188</v>
      </c>
      <c r="U9" s="64">
        <v>180</v>
      </c>
      <c r="V9" s="64">
        <v>169</v>
      </c>
      <c r="W9" s="64">
        <v>171</v>
      </c>
      <c r="X9" s="64">
        <v>163</v>
      </c>
      <c r="Y9" s="64">
        <v>167</v>
      </c>
      <c r="Z9" s="64">
        <v>168</v>
      </c>
      <c r="AA9" s="64">
        <v>165</v>
      </c>
      <c r="AB9" s="64">
        <v>173</v>
      </c>
      <c r="AC9" s="64">
        <v>172</v>
      </c>
      <c r="AD9" s="64">
        <v>165</v>
      </c>
      <c r="AE9" s="145">
        <v>160</v>
      </c>
      <c r="AF9" s="10"/>
    </row>
    <row r="10" spans="1:32" ht="15" customHeight="1" thickBot="1" x14ac:dyDescent="0.3">
      <c r="A10" s="150">
        <v>5</v>
      </c>
      <c r="B10" s="14" t="s">
        <v>17</v>
      </c>
      <c r="C10" s="67">
        <v>84</v>
      </c>
      <c r="D10" s="67">
        <v>96</v>
      </c>
      <c r="E10" s="67">
        <v>113</v>
      </c>
      <c r="F10" s="67">
        <v>134</v>
      </c>
      <c r="G10" s="67">
        <v>168</v>
      </c>
      <c r="H10" s="67">
        <v>178</v>
      </c>
      <c r="I10" s="67">
        <v>167</v>
      </c>
      <c r="J10" s="67">
        <v>165</v>
      </c>
      <c r="K10" s="67">
        <v>175</v>
      </c>
      <c r="L10" s="67">
        <v>185</v>
      </c>
      <c r="M10" s="67">
        <v>195</v>
      </c>
      <c r="N10" s="67">
        <v>194</v>
      </c>
      <c r="O10" s="67">
        <v>201</v>
      </c>
      <c r="P10" s="67">
        <v>205</v>
      </c>
      <c r="Q10" s="67">
        <v>198</v>
      </c>
      <c r="R10" s="67">
        <v>197</v>
      </c>
      <c r="S10" s="67">
        <v>197</v>
      </c>
      <c r="T10" s="67">
        <v>188</v>
      </c>
      <c r="U10" s="67">
        <v>180</v>
      </c>
      <c r="V10" s="67">
        <v>169</v>
      </c>
      <c r="W10" s="67">
        <v>171</v>
      </c>
      <c r="X10" s="67">
        <v>163</v>
      </c>
      <c r="Y10" s="67">
        <v>167</v>
      </c>
      <c r="Z10" s="67">
        <v>168</v>
      </c>
      <c r="AA10" s="67">
        <v>165</v>
      </c>
      <c r="AB10" s="67">
        <v>173</v>
      </c>
      <c r="AC10" s="67">
        <v>172</v>
      </c>
      <c r="AD10" s="67">
        <v>165</v>
      </c>
      <c r="AE10" s="151">
        <v>160</v>
      </c>
    </row>
    <row r="11" spans="1:32" s="11" customFormat="1" ht="15" customHeight="1" thickBot="1" x14ac:dyDescent="0.3">
      <c r="A11" s="144" t="s">
        <v>18</v>
      </c>
      <c r="B11" s="9" t="s">
        <v>19</v>
      </c>
      <c r="C11" s="64">
        <v>96</v>
      </c>
      <c r="D11" s="64">
        <v>101</v>
      </c>
      <c r="E11" s="64">
        <v>94</v>
      </c>
      <c r="F11" s="64">
        <v>106</v>
      </c>
      <c r="G11" s="64">
        <v>96</v>
      </c>
      <c r="H11" s="64">
        <v>88</v>
      </c>
      <c r="I11" s="64">
        <v>79</v>
      </c>
      <c r="J11" s="64">
        <v>79</v>
      </c>
      <c r="K11" s="64">
        <v>94</v>
      </c>
      <c r="L11" s="64">
        <v>99</v>
      </c>
      <c r="M11" s="64">
        <v>112</v>
      </c>
      <c r="N11" s="64">
        <v>113</v>
      </c>
      <c r="O11" s="64">
        <v>110</v>
      </c>
      <c r="P11" s="64">
        <v>108</v>
      </c>
      <c r="Q11" s="64">
        <v>106</v>
      </c>
      <c r="R11" s="64">
        <v>111</v>
      </c>
      <c r="S11" s="64">
        <v>116</v>
      </c>
      <c r="T11" s="64">
        <v>109</v>
      </c>
      <c r="U11" s="64">
        <v>108</v>
      </c>
      <c r="V11" s="64">
        <v>105</v>
      </c>
      <c r="W11" s="64">
        <v>104</v>
      </c>
      <c r="X11" s="64">
        <v>111</v>
      </c>
      <c r="Y11" s="64">
        <v>113</v>
      </c>
      <c r="Z11" s="64">
        <v>118</v>
      </c>
      <c r="AA11" s="64">
        <v>114</v>
      </c>
      <c r="AB11" s="64">
        <v>118</v>
      </c>
      <c r="AC11" s="64">
        <v>119</v>
      </c>
      <c r="AD11" s="64">
        <v>118</v>
      </c>
      <c r="AE11" s="145">
        <v>124</v>
      </c>
      <c r="AF11" s="10"/>
    </row>
    <row r="12" spans="1:32" ht="15" customHeight="1" x14ac:dyDescent="0.25">
      <c r="A12" s="152">
        <v>11</v>
      </c>
      <c r="B12" s="15" t="s">
        <v>20</v>
      </c>
      <c r="C12" s="68">
        <v>17</v>
      </c>
      <c r="D12" s="68">
        <v>12</v>
      </c>
      <c r="E12" s="68">
        <v>15</v>
      </c>
      <c r="F12" s="68">
        <v>17</v>
      </c>
      <c r="G12" s="68">
        <v>17</v>
      </c>
      <c r="H12" s="68">
        <v>17</v>
      </c>
      <c r="I12" s="68">
        <v>16</v>
      </c>
      <c r="J12" s="68">
        <v>13</v>
      </c>
      <c r="K12" s="68">
        <v>15</v>
      </c>
      <c r="L12" s="68">
        <v>14</v>
      </c>
      <c r="M12" s="68">
        <v>22</v>
      </c>
      <c r="N12" s="68">
        <v>21</v>
      </c>
      <c r="O12" s="68">
        <v>22</v>
      </c>
      <c r="P12" s="68">
        <v>21</v>
      </c>
      <c r="Q12" s="68">
        <v>18</v>
      </c>
      <c r="R12" s="68">
        <v>19</v>
      </c>
      <c r="S12" s="68">
        <v>20</v>
      </c>
      <c r="T12" s="68">
        <v>19</v>
      </c>
      <c r="U12" s="68">
        <v>18</v>
      </c>
      <c r="V12" s="68">
        <v>17</v>
      </c>
      <c r="W12" s="68">
        <v>18</v>
      </c>
      <c r="X12" s="68">
        <v>19</v>
      </c>
      <c r="Y12" s="68">
        <v>20</v>
      </c>
      <c r="Z12" s="68">
        <v>20</v>
      </c>
      <c r="AA12" s="68">
        <v>18</v>
      </c>
      <c r="AB12" s="68">
        <v>21</v>
      </c>
      <c r="AC12" s="68">
        <v>25</v>
      </c>
      <c r="AD12" s="68">
        <v>22</v>
      </c>
      <c r="AE12" s="153">
        <v>24</v>
      </c>
    </row>
    <row r="13" spans="1:32" ht="15" customHeight="1" x14ac:dyDescent="0.25">
      <c r="A13" s="154">
        <v>13</v>
      </c>
      <c r="B13" s="16" t="s">
        <v>21</v>
      </c>
      <c r="C13" s="69" t="s">
        <v>383</v>
      </c>
      <c r="D13" s="69" t="s">
        <v>383</v>
      </c>
      <c r="E13" s="69" t="s">
        <v>383</v>
      </c>
      <c r="F13" s="69" t="s">
        <v>383</v>
      </c>
      <c r="G13" s="69" t="s">
        <v>383</v>
      </c>
      <c r="H13" s="69" t="s">
        <v>383</v>
      </c>
      <c r="I13" s="69" t="s">
        <v>383</v>
      </c>
      <c r="J13" s="69" t="s">
        <v>383</v>
      </c>
      <c r="K13" s="69" t="s">
        <v>383</v>
      </c>
      <c r="L13" s="69" t="s">
        <v>383</v>
      </c>
      <c r="M13" s="69" t="s">
        <v>383</v>
      </c>
      <c r="N13" s="69" t="s">
        <v>383</v>
      </c>
      <c r="O13" s="69" t="s">
        <v>383</v>
      </c>
      <c r="P13" s="69" t="s">
        <v>383</v>
      </c>
      <c r="Q13" s="69" t="s">
        <v>383</v>
      </c>
      <c r="R13" s="69" t="s">
        <v>383</v>
      </c>
      <c r="S13" s="69" t="s">
        <v>383</v>
      </c>
      <c r="T13" s="69" t="s">
        <v>383</v>
      </c>
      <c r="U13" s="69" t="s">
        <v>383</v>
      </c>
      <c r="V13" s="69" t="s">
        <v>383</v>
      </c>
      <c r="W13" s="69" t="s">
        <v>383</v>
      </c>
      <c r="X13" s="69" t="s">
        <v>383</v>
      </c>
      <c r="Y13" s="69" t="s">
        <v>383</v>
      </c>
      <c r="Z13" s="69" t="s">
        <v>383</v>
      </c>
      <c r="AA13" s="69" t="s">
        <v>383</v>
      </c>
      <c r="AB13" s="69" t="s">
        <v>383</v>
      </c>
      <c r="AC13" s="69" t="s">
        <v>383</v>
      </c>
      <c r="AD13" s="69" t="s">
        <v>383</v>
      </c>
      <c r="AE13" s="155" t="s">
        <v>383</v>
      </c>
    </row>
    <row r="14" spans="1:32" ht="15" customHeight="1" thickBot="1" x14ac:dyDescent="0.3">
      <c r="A14" s="152">
        <v>14</v>
      </c>
      <c r="B14" s="15" t="s">
        <v>22</v>
      </c>
      <c r="C14" s="68" t="s">
        <v>383</v>
      </c>
      <c r="D14" s="68" t="s">
        <v>383</v>
      </c>
      <c r="E14" s="68" t="s">
        <v>383</v>
      </c>
      <c r="F14" s="68" t="s">
        <v>383</v>
      </c>
      <c r="G14" s="68" t="s">
        <v>383</v>
      </c>
      <c r="H14" s="68" t="s">
        <v>383</v>
      </c>
      <c r="I14" s="68" t="s">
        <v>383</v>
      </c>
      <c r="J14" s="68" t="s">
        <v>383</v>
      </c>
      <c r="K14" s="68" t="s">
        <v>383</v>
      </c>
      <c r="L14" s="68" t="s">
        <v>383</v>
      </c>
      <c r="M14" s="68" t="s">
        <v>383</v>
      </c>
      <c r="N14" s="68" t="s">
        <v>383</v>
      </c>
      <c r="O14" s="68" t="s">
        <v>383</v>
      </c>
      <c r="P14" s="68" t="s">
        <v>383</v>
      </c>
      <c r="Q14" s="68" t="s">
        <v>383</v>
      </c>
      <c r="R14" s="68" t="s">
        <v>383</v>
      </c>
      <c r="S14" s="68" t="s">
        <v>383</v>
      </c>
      <c r="T14" s="68" t="s">
        <v>383</v>
      </c>
      <c r="U14" s="68" t="s">
        <v>383</v>
      </c>
      <c r="V14" s="68" t="s">
        <v>383</v>
      </c>
      <c r="W14" s="68" t="s">
        <v>383</v>
      </c>
      <c r="X14" s="68" t="s">
        <v>383</v>
      </c>
      <c r="Y14" s="68" t="s">
        <v>383</v>
      </c>
      <c r="Z14" s="68" t="s">
        <v>383</v>
      </c>
      <c r="AA14" s="68" t="s">
        <v>383</v>
      </c>
      <c r="AB14" s="68" t="s">
        <v>383</v>
      </c>
      <c r="AC14" s="68" t="s">
        <v>383</v>
      </c>
      <c r="AD14" s="68" t="s">
        <v>383</v>
      </c>
      <c r="AE14" s="153" t="s">
        <v>383</v>
      </c>
    </row>
    <row r="15" spans="1:32" s="11" customFormat="1" ht="15" customHeight="1" thickBot="1" x14ac:dyDescent="0.3">
      <c r="A15" s="144" t="s">
        <v>23</v>
      </c>
      <c r="B15" s="9" t="s">
        <v>24</v>
      </c>
      <c r="C15" s="64">
        <v>5886</v>
      </c>
      <c r="D15" s="64">
        <v>5892</v>
      </c>
      <c r="E15" s="64">
        <v>5808</v>
      </c>
      <c r="F15" s="64">
        <v>5826</v>
      </c>
      <c r="G15" s="64">
        <v>5483</v>
      </c>
      <c r="H15" s="64">
        <v>5171</v>
      </c>
      <c r="I15" s="64">
        <v>4903</v>
      </c>
      <c r="J15" s="64">
        <v>5433</v>
      </c>
      <c r="K15" s="64">
        <v>6142</v>
      </c>
      <c r="L15" s="64">
        <v>6590</v>
      </c>
      <c r="M15" s="64">
        <v>7061</v>
      </c>
      <c r="N15" s="64">
        <v>7382</v>
      </c>
      <c r="O15" s="64">
        <v>7659</v>
      </c>
      <c r="P15" s="64">
        <v>7744</v>
      </c>
      <c r="Q15" s="64">
        <v>7766</v>
      </c>
      <c r="R15" s="64">
        <v>7844</v>
      </c>
      <c r="S15" s="64">
        <v>7995</v>
      </c>
      <c r="T15" s="64">
        <v>8070</v>
      </c>
      <c r="U15" s="64">
        <v>8119</v>
      </c>
      <c r="V15" s="64">
        <v>8239</v>
      </c>
      <c r="W15" s="64">
        <v>8175</v>
      </c>
      <c r="X15" s="64">
        <v>8136</v>
      </c>
      <c r="Y15" s="64">
        <v>7863</v>
      </c>
      <c r="Z15" s="64">
        <v>7654</v>
      </c>
      <c r="AA15" s="64">
        <v>7539</v>
      </c>
      <c r="AB15" s="64">
        <v>7776</v>
      </c>
      <c r="AC15" s="64">
        <v>8200</v>
      </c>
      <c r="AD15" s="64">
        <v>8190</v>
      </c>
      <c r="AE15" s="145">
        <v>8054</v>
      </c>
      <c r="AF15" s="10"/>
    </row>
    <row r="16" spans="1:32" ht="15" customHeight="1" x14ac:dyDescent="0.25">
      <c r="A16" s="152">
        <v>15</v>
      </c>
      <c r="B16" s="15" t="s">
        <v>25</v>
      </c>
      <c r="C16" s="68">
        <v>1931</v>
      </c>
      <c r="D16" s="68">
        <v>1899</v>
      </c>
      <c r="E16" s="68">
        <v>1847</v>
      </c>
      <c r="F16" s="68">
        <v>1786</v>
      </c>
      <c r="G16" s="68">
        <v>1690</v>
      </c>
      <c r="H16" s="68">
        <v>1590</v>
      </c>
      <c r="I16" s="68">
        <v>1532</v>
      </c>
      <c r="J16" s="68">
        <v>1652</v>
      </c>
      <c r="K16" s="68">
        <v>1850</v>
      </c>
      <c r="L16" s="68">
        <v>1944</v>
      </c>
      <c r="M16" s="68">
        <v>2055</v>
      </c>
      <c r="N16" s="68">
        <v>2162</v>
      </c>
      <c r="O16" s="68">
        <v>2324</v>
      </c>
      <c r="P16" s="68">
        <v>2418</v>
      </c>
      <c r="Q16" s="68">
        <v>2455</v>
      </c>
      <c r="R16" s="68">
        <v>2474</v>
      </c>
      <c r="S16" s="68">
        <v>2523</v>
      </c>
      <c r="T16" s="68">
        <v>2562</v>
      </c>
      <c r="U16" s="68">
        <v>2646</v>
      </c>
      <c r="V16" s="68">
        <v>2684</v>
      </c>
      <c r="W16" s="68">
        <v>2689</v>
      </c>
      <c r="X16" s="68">
        <v>2710</v>
      </c>
      <c r="Y16" s="68">
        <v>2668</v>
      </c>
      <c r="Z16" s="68">
        <v>2593</v>
      </c>
      <c r="AA16" s="68">
        <v>2552</v>
      </c>
      <c r="AB16" s="68">
        <v>2649</v>
      </c>
      <c r="AC16" s="68">
        <v>2789</v>
      </c>
      <c r="AD16" s="68">
        <v>2809</v>
      </c>
      <c r="AE16" s="153">
        <v>2815</v>
      </c>
    </row>
    <row r="17" spans="1:31" ht="15" customHeight="1" x14ac:dyDescent="0.25">
      <c r="A17" s="156">
        <v>16</v>
      </c>
      <c r="B17" s="17" t="s">
        <v>26</v>
      </c>
      <c r="C17" s="70" t="s">
        <v>383</v>
      </c>
      <c r="D17" s="70" t="s">
        <v>383</v>
      </c>
      <c r="E17" s="70" t="s">
        <v>383</v>
      </c>
      <c r="F17" s="70" t="s">
        <v>383</v>
      </c>
      <c r="G17" s="70" t="s">
        <v>383</v>
      </c>
      <c r="H17" s="70" t="s">
        <v>383</v>
      </c>
      <c r="I17" s="70" t="s">
        <v>383</v>
      </c>
      <c r="J17" s="70" t="s">
        <v>383</v>
      </c>
      <c r="K17" s="70" t="s">
        <v>383</v>
      </c>
      <c r="L17" s="70" t="s">
        <v>383</v>
      </c>
      <c r="M17" s="70" t="s">
        <v>383</v>
      </c>
      <c r="N17" s="70" t="s">
        <v>383</v>
      </c>
      <c r="O17" s="70" t="s">
        <v>383</v>
      </c>
      <c r="P17" s="70" t="s">
        <v>383</v>
      </c>
      <c r="Q17" s="70" t="s">
        <v>383</v>
      </c>
      <c r="R17" s="70" t="s">
        <v>383</v>
      </c>
      <c r="S17" s="70" t="s">
        <v>383</v>
      </c>
      <c r="T17" s="70" t="s">
        <v>383</v>
      </c>
      <c r="U17" s="70" t="s">
        <v>383</v>
      </c>
      <c r="V17" s="70" t="s">
        <v>383</v>
      </c>
      <c r="W17" s="70" t="s">
        <v>383</v>
      </c>
      <c r="X17" s="70" t="s">
        <v>383</v>
      </c>
      <c r="Y17" s="70" t="s">
        <v>383</v>
      </c>
      <c r="Z17" s="70" t="s">
        <v>383</v>
      </c>
      <c r="AA17" s="70" t="s">
        <v>383</v>
      </c>
      <c r="AB17" s="70" t="s">
        <v>383</v>
      </c>
      <c r="AC17" s="70" t="s">
        <v>383</v>
      </c>
      <c r="AD17" s="70" t="s">
        <v>383</v>
      </c>
      <c r="AE17" s="157">
        <v>4</v>
      </c>
    </row>
    <row r="18" spans="1:31" ht="15" customHeight="1" x14ac:dyDescent="0.25">
      <c r="A18" s="156">
        <v>17</v>
      </c>
      <c r="B18" s="17" t="s">
        <v>27</v>
      </c>
      <c r="C18" s="70">
        <v>329</v>
      </c>
      <c r="D18" s="70">
        <v>337</v>
      </c>
      <c r="E18" s="70">
        <v>316</v>
      </c>
      <c r="F18" s="70">
        <v>303</v>
      </c>
      <c r="G18" s="70">
        <v>292</v>
      </c>
      <c r="H18" s="70">
        <v>274</v>
      </c>
      <c r="I18" s="70">
        <v>258</v>
      </c>
      <c r="J18" s="70">
        <v>285</v>
      </c>
      <c r="K18" s="70">
        <v>326</v>
      </c>
      <c r="L18" s="70">
        <v>347</v>
      </c>
      <c r="M18" s="70">
        <v>380</v>
      </c>
      <c r="N18" s="70">
        <v>406</v>
      </c>
      <c r="O18" s="70">
        <v>417</v>
      </c>
      <c r="P18" s="70">
        <v>412</v>
      </c>
      <c r="Q18" s="70">
        <v>415</v>
      </c>
      <c r="R18" s="70">
        <v>425</v>
      </c>
      <c r="S18" s="70">
        <v>416</v>
      </c>
      <c r="T18" s="70">
        <v>414</v>
      </c>
      <c r="U18" s="70">
        <v>423</v>
      </c>
      <c r="V18" s="70">
        <v>417</v>
      </c>
      <c r="W18" s="70">
        <v>405</v>
      </c>
      <c r="X18" s="70">
        <v>401</v>
      </c>
      <c r="Y18" s="70">
        <v>378</v>
      </c>
      <c r="Z18" s="70">
        <v>368</v>
      </c>
      <c r="AA18" s="70">
        <v>355</v>
      </c>
      <c r="AB18" s="70">
        <v>368</v>
      </c>
      <c r="AC18" s="70">
        <v>415</v>
      </c>
      <c r="AD18" s="70">
        <v>426</v>
      </c>
      <c r="AE18" s="157">
        <v>402</v>
      </c>
    </row>
    <row r="19" spans="1:31" ht="15" customHeight="1" x14ac:dyDescent="0.25">
      <c r="A19" s="156">
        <v>18</v>
      </c>
      <c r="B19" s="17" t="s">
        <v>28</v>
      </c>
      <c r="C19" s="70">
        <v>355</v>
      </c>
      <c r="D19" s="70">
        <v>346</v>
      </c>
      <c r="E19" s="70">
        <v>326</v>
      </c>
      <c r="F19" s="70">
        <v>309</v>
      </c>
      <c r="G19" s="70">
        <v>294</v>
      </c>
      <c r="H19" s="70">
        <v>254</v>
      </c>
      <c r="I19" s="70">
        <v>231</v>
      </c>
      <c r="J19" s="70">
        <v>301</v>
      </c>
      <c r="K19" s="70">
        <v>370</v>
      </c>
      <c r="L19" s="70">
        <v>410</v>
      </c>
      <c r="M19" s="70">
        <v>464</v>
      </c>
      <c r="N19" s="70">
        <v>457</v>
      </c>
      <c r="O19" s="70">
        <v>452</v>
      </c>
      <c r="P19" s="70">
        <v>446</v>
      </c>
      <c r="Q19" s="70">
        <v>422</v>
      </c>
      <c r="R19" s="70">
        <v>438</v>
      </c>
      <c r="S19" s="70">
        <v>450</v>
      </c>
      <c r="T19" s="70">
        <v>441</v>
      </c>
      <c r="U19" s="70">
        <v>423</v>
      </c>
      <c r="V19" s="70">
        <v>444</v>
      </c>
      <c r="W19" s="70">
        <v>430</v>
      </c>
      <c r="X19" s="70">
        <v>399</v>
      </c>
      <c r="Y19" s="70">
        <v>365</v>
      </c>
      <c r="Z19" s="70">
        <v>334</v>
      </c>
      <c r="AA19" s="70">
        <v>307</v>
      </c>
      <c r="AB19" s="70">
        <v>302</v>
      </c>
      <c r="AC19" s="70">
        <v>341</v>
      </c>
      <c r="AD19" s="70">
        <v>360</v>
      </c>
      <c r="AE19" s="157">
        <v>336</v>
      </c>
    </row>
    <row r="20" spans="1:31" ht="15" customHeight="1" x14ac:dyDescent="0.25">
      <c r="A20" s="156">
        <v>19</v>
      </c>
      <c r="B20" s="17" t="s">
        <v>29</v>
      </c>
      <c r="C20" s="70">
        <v>65</v>
      </c>
      <c r="D20" s="70">
        <v>69</v>
      </c>
      <c r="E20" s="70">
        <v>64</v>
      </c>
      <c r="F20" s="70">
        <v>66</v>
      </c>
      <c r="G20" s="70">
        <v>55</v>
      </c>
      <c r="H20" s="70">
        <v>53</v>
      </c>
      <c r="I20" s="70">
        <v>54</v>
      </c>
      <c r="J20" s="70">
        <v>75</v>
      </c>
      <c r="K20" s="70">
        <v>86</v>
      </c>
      <c r="L20" s="70">
        <v>91</v>
      </c>
      <c r="M20" s="70">
        <v>97</v>
      </c>
      <c r="N20" s="70">
        <v>90</v>
      </c>
      <c r="O20" s="70">
        <v>84</v>
      </c>
      <c r="P20" s="70">
        <v>88</v>
      </c>
      <c r="Q20" s="70">
        <v>95</v>
      </c>
      <c r="R20" s="70">
        <v>92</v>
      </c>
      <c r="S20" s="70">
        <v>98</v>
      </c>
      <c r="T20" s="70">
        <v>97</v>
      </c>
      <c r="U20" s="70">
        <v>89</v>
      </c>
      <c r="V20" s="70">
        <v>90</v>
      </c>
      <c r="W20" s="70">
        <v>85</v>
      </c>
      <c r="X20" s="70">
        <v>80</v>
      </c>
      <c r="Y20" s="70">
        <v>72</v>
      </c>
      <c r="Z20" s="70">
        <v>69</v>
      </c>
      <c r="AA20" s="70">
        <v>67</v>
      </c>
      <c r="AB20" s="70">
        <v>69</v>
      </c>
      <c r="AC20" s="70">
        <v>80</v>
      </c>
      <c r="AD20" s="70">
        <v>75</v>
      </c>
      <c r="AE20" s="157">
        <v>72</v>
      </c>
    </row>
    <row r="21" spans="1:31" ht="15" customHeight="1" x14ac:dyDescent="0.25">
      <c r="A21" s="156">
        <v>20</v>
      </c>
      <c r="B21" s="17" t="s">
        <v>30</v>
      </c>
      <c r="C21" s="70">
        <v>324</v>
      </c>
      <c r="D21" s="70">
        <v>320</v>
      </c>
      <c r="E21" s="70">
        <v>308</v>
      </c>
      <c r="F21" s="70">
        <v>297</v>
      </c>
      <c r="G21" s="70">
        <v>279</v>
      </c>
      <c r="H21" s="70">
        <v>264</v>
      </c>
      <c r="I21" s="70">
        <v>236</v>
      </c>
      <c r="J21" s="70">
        <v>255</v>
      </c>
      <c r="K21" s="70">
        <v>299</v>
      </c>
      <c r="L21" s="70">
        <v>339</v>
      </c>
      <c r="M21" s="70">
        <v>350</v>
      </c>
      <c r="N21" s="70">
        <v>361</v>
      </c>
      <c r="O21" s="70">
        <v>363</v>
      </c>
      <c r="P21" s="70">
        <v>356</v>
      </c>
      <c r="Q21" s="70">
        <v>346</v>
      </c>
      <c r="R21" s="70">
        <v>344</v>
      </c>
      <c r="S21" s="70">
        <v>341</v>
      </c>
      <c r="T21" s="70">
        <v>335</v>
      </c>
      <c r="U21" s="70">
        <v>327</v>
      </c>
      <c r="V21" s="70">
        <v>330</v>
      </c>
      <c r="W21" s="70">
        <v>314</v>
      </c>
      <c r="X21" s="70">
        <v>304</v>
      </c>
      <c r="Y21" s="70">
        <v>285</v>
      </c>
      <c r="Z21" s="70">
        <v>275</v>
      </c>
      <c r="AA21" s="70">
        <v>270</v>
      </c>
      <c r="AB21" s="70">
        <v>268</v>
      </c>
      <c r="AC21" s="70">
        <v>286</v>
      </c>
      <c r="AD21" s="70">
        <v>268</v>
      </c>
      <c r="AE21" s="157">
        <v>248</v>
      </c>
    </row>
    <row r="22" spans="1:31" ht="15" customHeight="1" x14ac:dyDescent="0.25">
      <c r="A22" s="156">
        <v>21</v>
      </c>
      <c r="B22" s="17" t="s">
        <v>31</v>
      </c>
      <c r="C22" s="70">
        <v>63</v>
      </c>
      <c r="D22" s="70">
        <v>62</v>
      </c>
      <c r="E22" s="70">
        <v>60</v>
      </c>
      <c r="F22" s="70">
        <v>65</v>
      </c>
      <c r="G22" s="70">
        <v>64</v>
      </c>
      <c r="H22" s="70">
        <v>61</v>
      </c>
      <c r="I22" s="70">
        <v>63</v>
      </c>
      <c r="J22" s="70">
        <v>67</v>
      </c>
      <c r="K22" s="70">
        <v>75</v>
      </c>
      <c r="L22" s="70">
        <v>76</v>
      </c>
      <c r="M22" s="70">
        <v>81</v>
      </c>
      <c r="N22" s="70">
        <v>84</v>
      </c>
      <c r="O22" s="70">
        <v>84</v>
      </c>
      <c r="P22" s="70">
        <v>88</v>
      </c>
      <c r="Q22" s="70">
        <v>84</v>
      </c>
      <c r="R22" s="70">
        <v>85</v>
      </c>
      <c r="S22" s="70">
        <v>84</v>
      </c>
      <c r="T22" s="70">
        <v>89</v>
      </c>
      <c r="U22" s="70">
        <v>94</v>
      </c>
      <c r="V22" s="70">
        <v>92</v>
      </c>
      <c r="W22" s="70">
        <v>97</v>
      </c>
      <c r="X22" s="70">
        <v>92</v>
      </c>
      <c r="Y22" s="70">
        <v>94</v>
      </c>
      <c r="Z22" s="70">
        <v>96</v>
      </c>
      <c r="AA22" s="70">
        <v>96</v>
      </c>
      <c r="AB22" s="70">
        <v>105</v>
      </c>
      <c r="AC22" s="70">
        <v>99</v>
      </c>
      <c r="AD22" s="70">
        <v>88</v>
      </c>
      <c r="AE22" s="157">
        <v>90</v>
      </c>
    </row>
    <row r="23" spans="1:31" ht="15" customHeight="1" x14ac:dyDescent="0.25">
      <c r="A23" s="156">
        <v>22</v>
      </c>
      <c r="B23" s="17" t="s">
        <v>98</v>
      </c>
      <c r="C23" s="70">
        <v>391</v>
      </c>
      <c r="D23" s="70">
        <v>387</v>
      </c>
      <c r="E23" s="70">
        <v>401</v>
      </c>
      <c r="F23" s="70">
        <v>412</v>
      </c>
      <c r="G23" s="70">
        <v>394</v>
      </c>
      <c r="H23" s="70">
        <v>371</v>
      </c>
      <c r="I23" s="70">
        <v>348</v>
      </c>
      <c r="J23" s="70">
        <v>375</v>
      </c>
      <c r="K23" s="70">
        <v>418</v>
      </c>
      <c r="L23" s="70">
        <v>443</v>
      </c>
      <c r="M23" s="70">
        <v>480</v>
      </c>
      <c r="N23" s="70">
        <v>496</v>
      </c>
      <c r="O23" s="70">
        <v>519</v>
      </c>
      <c r="P23" s="70">
        <v>521</v>
      </c>
      <c r="Q23" s="70">
        <v>515</v>
      </c>
      <c r="R23" s="70">
        <v>511</v>
      </c>
      <c r="S23" s="70">
        <v>516</v>
      </c>
      <c r="T23" s="70">
        <v>499</v>
      </c>
      <c r="U23" s="70">
        <v>493</v>
      </c>
      <c r="V23" s="70">
        <v>484</v>
      </c>
      <c r="W23" s="70">
        <v>479</v>
      </c>
      <c r="X23" s="70">
        <v>474</v>
      </c>
      <c r="Y23" s="70">
        <v>440</v>
      </c>
      <c r="Z23" s="70">
        <v>412</v>
      </c>
      <c r="AA23" s="70">
        <v>391</v>
      </c>
      <c r="AB23" s="70">
        <v>377</v>
      </c>
      <c r="AC23" s="70">
        <v>363</v>
      </c>
      <c r="AD23" s="70">
        <v>352</v>
      </c>
      <c r="AE23" s="157">
        <v>337</v>
      </c>
    </row>
    <row r="24" spans="1:31" ht="15" customHeight="1" x14ac:dyDescent="0.25">
      <c r="A24" s="156">
        <v>23</v>
      </c>
      <c r="B24" s="17" t="s">
        <v>33</v>
      </c>
      <c r="C24" s="70">
        <v>16</v>
      </c>
      <c r="D24" s="70">
        <v>16</v>
      </c>
      <c r="E24" s="70">
        <v>16</v>
      </c>
      <c r="F24" s="70">
        <v>18</v>
      </c>
      <c r="G24" s="70">
        <v>16</v>
      </c>
      <c r="H24" s="70">
        <v>15</v>
      </c>
      <c r="I24" s="70">
        <v>15</v>
      </c>
      <c r="J24" s="70">
        <v>18</v>
      </c>
      <c r="K24" s="70">
        <v>17</v>
      </c>
      <c r="L24" s="70">
        <v>17</v>
      </c>
      <c r="M24" s="70">
        <v>18</v>
      </c>
      <c r="N24" s="70">
        <v>19</v>
      </c>
      <c r="O24" s="70">
        <v>19</v>
      </c>
      <c r="P24" s="70">
        <v>21</v>
      </c>
      <c r="Q24" s="70">
        <v>21</v>
      </c>
      <c r="R24" s="70">
        <v>22</v>
      </c>
      <c r="S24" s="70">
        <v>22</v>
      </c>
      <c r="T24" s="70">
        <v>20</v>
      </c>
      <c r="U24" s="70">
        <v>19</v>
      </c>
      <c r="V24" s="70">
        <v>18</v>
      </c>
      <c r="W24" s="70">
        <v>19</v>
      </c>
      <c r="X24" s="70">
        <v>21</v>
      </c>
      <c r="Y24" s="70">
        <v>19</v>
      </c>
      <c r="Z24" s="70">
        <v>20</v>
      </c>
      <c r="AA24" s="70">
        <v>21</v>
      </c>
      <c r="AB24" s="70">
        <v>22</v>
      </c>
      <c r="AC24" s="70">
        <v>24</v>
      </c>
      <c r="AD24" s="70">
        <v>22</v>
      </c>
      <c r="AE24" s="157">
        <v>22</v>
      </c>
    </row>
    <row r="25" spans="1:31" ht="15" customHeight="1" x14ac:dyDescent="0.25">
      <c r="A25" s="156">
        <v>24</v>
      </c>
      <c r="B25" s="17" t="s">
        <v>34</v>
      </c>
      <c r="C25" s="70">
        <v>274</v>
      </c>
      <c r="D25" s="70">
        <v>272</v>
      </c>
      <c r="E25" s="70">
        <v>275</v>
      </c>
      <c r="F25" s="70">
        <v>314</v>
      </c>
      <c r="G25" s="70">
        <v>321</v>
      </c>
      <c r="H25" s="70">
        <v>315</v>
      </c>
      <c r="I25" s="70">
        <v>297</v>
      </c>
      <c r="J25" s="70">
        <v>317</v>
      </c>
      <c r="K25" s="70">
        <v>327</v>
      </c>
      <c r="L25" s="70">
        <v>340</v>
      </c>
      <c r="M25" s="70">
        <v>358</v>
      </c>
      <c r="N25" s="70">
        <v>361</v>
      </c>
      <c r="O25" s="70">
        <v>374</v>
      </c>
      <c r="P25" s="70">
        <v>364</v>
      </c>
      <c r="Q25" s="70">
        <v>371</v>
      </c>
      <c r="R25" s="70">
        <v>379</v>
      </c>
      <c r="S25" s="70">
        <v>391</v>
      </c>
      <c r="T25" s="70">
        <v>414</v>
      </c>
      <c r="U25" s="70">
        <v>412</v>
      </c>
      <c r="V25" s="70">
        <v>419</v>
      </c>
      <c r="W25" s="70">
        <v>430</v>
      </c>
      <c r="X25" s="70">
        <v>431</v>
      </c>
      <c r="Y25" s="70">
        <v>421</v>
      </c>
      <c r="Z25" s="70">
        <v>425</v>
      </c>
      <c r="AA25" s="70">
        <v>425</v>
      </c>
      <c r="AB25" s="70">
        <v>428</v>
      </c>
      <c r="AC25" s="70">
        <v>443</v>
      </c>
      <c r="AD25" s="70">
        <v>443</v>
      </c>
      <c r="AE25" s="157">
        <v>451</v>
      </c>
    </row>
    <row r="26" spans="1:31" ht="15" customHeight="1" x14ac:dyDescent="0.25">
      <c r="A26" s="156">
        <v>25</v>
      </c>
      <c r="B26" s="17" t="s">
        <v>35</v>
      </c>
      <c r="C26" s="70">
        <v>181</v>
      </c>
      <c r="D26" s="70">
        <v>179</v>
      </c>
      <c r="E26" s="70">
        <v>200</v>
      </c>
      <c r="F26" s="70">
        <v>229</v>
      </c>
      <c r="G26" s="70">
        <v>216</v>
      </c>
      <c r="H26" s="70">
        <v>217</v>
      </c>
      <c r="I26" s="70">
        <v>216</v>
      </c>
      <c r="J26" s="70">
        <v>228</v>
      </c>
      <c r="K26" s="70">
        <v>254</v>
      </c>
      <c r="L26" s="70">
        <v>265</v>
      </c>
      <c r="M26" s="70">
        <v>281</v>
      </c>
      <c r="N26" s="70">
        <v>292</v>
      </c>
      <c r="O26" s="70">
        <v>302</v>
      </c>
      <c r="P26" s="70">
        <v>297</v>
      </c>
      <c r="Q26" s="70">
        <v>293</v>
      </c>
      <c r="R26" s="70">
        <v>293</v>
      </c>
      <c r="S26" s="70">
        <v>306</v>
      </c>
      <c r="T26" s="70">
        <v>315</v>
      </c>
      <c r="U26" s="70">
        <v>330</v>
      </c>
      <c r="V26" s="70">
        <v>348</v>
      </c>
      <c r="W26" s="70">
        <v>348</v>
      </c>
      <c r="X26" s="70">
        <v>348</v>
      </c>
      <c r="Y26" s="70">
        <v>338</v>
      </c>
      <c r="Z26" s="70">
        <v>323</v>
      </c>
      <c r="AA26" s="70">
        <v>338</v>
      </c>
      <c r="AB26" s="70">
        <v>352</v>
      </c>
      <c r="AC26" s="70">
        <v>384</v>
      </c>
      <c r="AD26" s="70">
        <v>372</v>
      </c>
      <c r="AE26" s="157">
        <v>372</v>
      </c>
    </row>
    <row r="27" spans="1:31" ht="15" customHeight="1" x14ac:dyDescent="0.25">
      <c r="A27" s="156">
        <v>26</v>
      </c>
      <c r="B27" s="17" t="s">
        <v>36</v>
      </c>
      <c r="C27" s="70">
        <v>357</v>
      </c>
      <c r="D27" s="70">
        <v>361</v>
      </c>
      <c r="E27" s="70">
        <v>361</v>
      </c>
      <c r="F27" s="70">
        <v>354</v>
      </c>
      <c r="G27" s="70">
        <v>325</v>
      </c>
      <c r="H27" s="70">
        <v>286</v>
      </c>
      <c r="I27" s="70">
        <v>268</v>
      </c>
      <c r="J27" s="70">
        <v>276</v>
      </c>
      <c r="K27" s="70">
        <v>294</v>
      </c>
      <c r="L27" s="70">
        <v>318</v>
      </c>
      <c r="M27" s="70">
        <v>342</v>
      </c>
      <c r="N27" s="70">
        <v>357</v>
      </c>
      <c r="O27" s="70">
        <v>365</v>
      </c>
      <c r="P27" s="70">
        <v>366</v>
      </c>
      <c r="Q27" s="70">
        <v>352</v>
      </c>
      <c r="R27" s="70">
        <v>351</v>
      </c>
      <c r="S27" s="70">
        <v>366</v>
      </c>
      <c r="T27" s="70">
        <v>374</v>
      </c>
      <c r="U27" s="70">
        <v>377</v>
      </c>
      <c r="V27" s="70">
        <v>379</v>
      </c>
      <c r="W27" s="70">
        <v>365</v>
      </c>
      <c r="X27" s="70">
        <v>363</v>
      </c>
      <c r="Y27" s="70">
        <v>358</v>
      </c>
      <c r="Z27" s="70">
        <v>359</v>
      </c>
      <c r="AA27" s="70">
        <v>359</v>
      </c>
      <c r="AB27" s="70">
        <v>381</v>
      </c>
      <c r="AC27" s="70">
        <v>399</v>
      </c>
      <c r="AD27" s="70">
        <v>380</v>
      </c>
      <c r="AE27" s="157">
        <v>364</v>
      </c>
    </row>
    <row r="28" spans="1:31" ht="15" customHeight="1" x14ac:dyDescent="0.25">
      <c r="A28" s="156">
        <v>27</v>
      </c>
      <c r="B28" s="17" t="s">
        <v>37</v>
      </c>
      <c r="C28" s="70">
        <v>135</v>
      </c>
      <c r="D28" s="70">
        <v>140</v>
      </c>
      <c r="E28" s="70">
        <v>139</v>
      </c>
      <c r="F28" s="70">
        <v>136</v>
      </c>
      <c r="G28" s="70">
        <v>112</v>
      </c>
      <c r="H28" s="70">
        <v>106</v>
      </c>
      <c r="I28" s="70">
        <v>103</v>
      </c>
      <c r="J28" s="70">
        <v>113</v>
      </c>
      <c r="K28" s="70">
        <v>120</v>
      </c>
      <c r="L28" s="70">
        <v>138</v>
      </c>
      <c r="M28" s="70">
        <v>138</v>
      </c>
      <c r="N28" s="70">
        <v>135</v>
      </c>
      <c r="O28" s="70">
        <v>140</v>
      </c>
      <c r="P28" s="70">
        <v>129</v>
      </c>
      <c r="Q28" s="70">
        <v>136</v>
      </c>
      <c r="R28" s="70">
        <v>134</v>
      </c>
      <c r="S28" s="70">
        <v>134</v>
      </c>
      <c r="T28" s="70">
        <v>138</v>
      </c>
      <c r="U28" s="70">
        <v>137</v>
      </c>
      <c r="V28" s="70">
        <v>135</v>
      </c>
      <c r="W28" s="70">
        <v>135</v>
      </c>
      <c r="X28" s="70">
        <v>131</v>
      </c>
      <c r="Y28" s="70">
        <v>118</v>
      </c>
      <c r="Z28" s="70">
        <v>123</v>
      </c>
      <c r="AA28" s="70">
        <v>122</v>
      </c>
      <c r="AB28" s="70">
        <v>123</v>
      </c>
      <c r="AC28" s="70">
        <v>133</v>
      </c>
      <c r="AD28" s="70">
        <v>139</v>
      </c>
      <c r="AE28" s="157">
        <v>136</v>
      </c>
    </row>
    <row r="29" spans="1:31" ht="15" customHeight="1" x14ac:dyDescent="0.25">
      <c r="A29" s="156">
        <v>28</v>
      </c>
      <c r="B29" s="17" t="s">
        <v>38</v>
      </c>
      <c r="C29" s="70">
        <v>615</v>
      </c>
      <c r="D29" s="70">
        <v>647</v>
      </c>
      <c r="E29" s="70">
        <v>633</v>
      </c>
      <c r="F29" s="70">
        <v>666</v>
      </c>
      <c r="G29" s="70">
        <v>639</v>
      </c>
      <c r="H29" s="70">
        <v>609</v>
      </c>
      <c r="I29" s="70">
        <v>567</v>
      </c>
      <c r="J29" s="70">
        <v>636</v>
      </c>
      <c r="K29" s="70">
        <v>750</v>
      </c>
      <c r="L29" s="70">
        <v>816</v>
      </c>
      <c r="M29" s="70">
        <v>874</v>
      </c>
      <c r="N29" s="70">
        <v>957</v>
      </c>
      <c r="O29" s="70">
        <v>989</v>
      </c>
      <c r="P29" s="70">
        <v>967</v>
      </c>
      <c r="Q29" s="70">
        <v>985</v>
      </c>
      <c r="R29" s="70">
        <v>1028</v>
      </c>
      <c r="S29" s="70">
        <v>1069</v>
      </c>
      <c r="T29" s="70">
        <v>1068</v>
      </c>
      <c r="U29" s="70">
        <v>1058</v>
      </c>
      <c r="V29" s="70">
        <v>1077</v>
      </c>
      <c r="W29" s="70">
        <v>1075</v>
      </c>
      <c r="X29" s="70">
        <v>1091</v>
      </c>
      <c r="Y29" s="70">
        <v>1040</v>
      </c>
      <c r="Z29" s="70">
        <v>1009</v>
      </c>
      <c r="AA29" s="70">
        <v>992</v>
      </c>
      <c r="AB29" s="70">
        <v>1011</v>
      </c>
      <c r="AC29" s="70">
        <v>1057</v>
      </c>
      <c r="AD29" s="70">
        <v>1055</v>
      </c>
      <c r="AE29" s="157">
        <v>1048</v>
      </c>
    </row>
    <row r="30" spans="1:31" ht="15" customHeight="1" x14ac:dyDescent="0.25">
      <c r="A30" s="156">
        <v>29</v>
      </c>
      <c r="B30" s="17" t="s">
        <v>39</v>
      </c>
      <c r="C30" s="70">
        <v>263</v>
      </c>
      <c r="D30" s="70">
        <v>269</v>
      </c>
      <c r="E30" s="70">
        <v>269</v>
      </c>
      <c r="F30" s="70">
        <v>276</v>
      </c>
      <c r="G30" s="70">
        <v>243</v>
      </c>
      <c r="H30" s="70">
        <v>233</v>
      </c>
      <c r="I30" s="70">
        <v>228</v>
      </c>
      <c r="J30" s="70">
        <v>264</v>
      </c>
      <c r="K30" s="70">
        <v>299</v>
      </c>
      <c r="L30" s="70">
        <v>326</v>
      </c>
      <c r="M30" s="70">
        <v>351</v>
      </c>
      <c r="N30" s="70">
        <v>356</v>
      </c>
      <c r="O30" s="70">
        <v>350</v>
      </c>
      <c r="P30" s="70">
        <v>354</v>
      </c>
      <c r="Q30" s="70">
        <v>355</v>
      </c>
      <c r="R30" s="70">
        <v>364</v>
      </c>
      <c r="S30" s="70">
        <v>374</v>
      </c>
      <c r="T30" s="70">
        <v>385</v>
      </c>
      <c r="U30" s="70">
        <v>386</v>
      </c>
      <c r="V30" s="70">
        <v>389</v>
      </c>
      <c r="W30" s="70">
        <v>390</v>
      </c>
      <c r="X30" s="70">
        <v>403</v>
      </c>
      <c r="Y30" s="70">
        <v>382</v>
      </c>
      <c r="Z30" s="70">
        <v>373</v>
      </c>
      <c r="AA30" s="70">
        <v>375</v>
      </c>
      <c r="AB30" s="70">
        <v>395</v>
      </c>
      <c r="AC30" s="70">
        <v>406</v>
      </c>
      <c r="AD30" s="70">
        <v>398</v>
      </c>
      <c r="AE30" s="157">
        <v>380</v>
      </c>
    </row>
    <row r="31" spans="1:31" ht="15" customHeight="1" x14ac:dyDescent="0.25">
      <c r="A31" s="156">
        <v>30</v>
      </c>
      <c r="B31" s="17" t="s">
        <v>40</v>
      </c>
      <c r="C31" s="70" t="s">
        <v>383</v>
      </c>
      <c r="D31" s="70" t="s">
        <v>383</v>
      </c>
      <c r="E31" s="70" t="s">
        <v>383</v>
      </c>
      <c r="F31" s="70" t="s">
        <v>383</v>
      </c>
      <c r="G31" s="70" t="s">
        <v>383</v>
      </c>
      <c r="H31" s="70">
        <v>5</v>
      </c>
      <c r="I31" s="70">
        <v>5</v>
      </c>
      <c r="J31" s="70">
        <v>7</v>
      </c>
      <c r="K31" s="70">
        <v>7</v>
      </c>
      <c r="L31" s="70">
        <v>10</v>
      </c>
      <c r="M31" s="70">
        <v>10</v>
      </c>
      <c r="N31" s="70">
        <v>11</v>
      </c>
      <c r="O31" s="70">
        <v>11</v>
      </c>
      <c r="P31" s="70">
        <v>9</v>
      </c>
      <c r="Q31" s="70">
        <v>9</v>
      </c>
      <c r="R31" s="70">
        <v>11</v>
      </c>
      <c r="S31" s="70" t="s">
        <v>383</v>
      </c>
      <c r="T31" s="70" t="s">
        <v>383</v>
      </c>
      <c r="U31" s="70" t="s">
        <v>383</v>
      </c>
      <c r="V31" s="70" t="s">
        <v>383</v>
      </c>
      <c r="W31" s="70" t="s">
        <v>383</v>
      </c>
      <c r="X31" s="70" t="s">
        <v>383</v>
      </c>
      <c r="Y31" s="70" t="s">
        <v>383</v>
      </c>
      <c r="Z31" s="70">
        <v>8</v>
      </c>
      <c r="AA31" s="70">
        <v>8</v>
      </c>
      <c r="AB31" s="70">
        <v>9</v>
      </c>
      <c r="AC31" s="70" t="s">
        <v>383</v>
      </c>
      <c r="AD31" s="70" t="s">
        <v>383</v>
      </c>
      <c r="AE31" s="157">
        <v>12</v>
      </c>
    </row>
    <row r="32" spans="1:31" ht="15" customHeight="1" x14ac:dyDescent="0.25">
      <c r="A32" s="156">
        <v>31</v>
      </c>
      <c r="B32" s="17" t="s">
        <v>41</v>
      </c>
      <c r="C32" s="70">
        <v>83</v>
      </c>
      <c r="D32" s="70">
        <v>86</v>
      </c>
      <c r="E32" s="70">
        <v>83</v>
      </c>
      <c r="F32" s="70">
        <v>86</v>
      </c>
      <c r="G32" s="70">
        <v>78</v>
      </c>
      <c r="H32" s="70">
        <v>75</v>
      </c>
      <c r="I32" s="70">
        <v>63</v>
      </c>
      <c r="J32" s="70">
        <v>71</v>
      </c>
      <c r="K32" s="70">
        <v>78</v>
      </c>
      <c r="L32" s="70">
        <v>80</v>
      </c>
      <c r="M32" s="70">
        <v>93</v>
      </c>
      <c r="N32" s="70">
        <v>98</v>
      </c>
      <c r="O32" s="70">
        <v>104</v>
      </c>
      <c r="P32" s="70">
        <v>107</v>
      </c>
      <c r="Q32" s="70">
        <v>110</v>
      </c>
      <c r="R32" s="70">
        <v>113</v>
      </c>
      <c r="S32" s="70">
        <v>110</v>
      </c>
      <c r="T32" s="70">
        <v>112</v>
      </c>
      <c r="U32" s="70">
        <v>117</v>
      </c>
      <c r="V32" s="70">
        <v>121</v>
      </c>
      <c r="W32" s="70">
        <v>116</v>
      </c>
      <c r="X32" s="70">
        <v>114</v>
      </c>
      <c r="Y32" s="70">
        <v>114</v>
      </c>
      <c r="Z32" s="70">
        <v>110</v>
      </c>
      <c r="AA32" s="70">
        <v>107</v>
      </c>
      <c r="AB32" s="70">
        <v>113</v>
      </c>
      <c r="AC32" s="70">
        <v>115</v>
      </c>
      <c r="AD32" s="70">
        <v>111</v>
      </c>
      <c r="AE32" s="157">
        <v>114</v>
      </c>
    </row>
    <row r="33" spans="1:32" ht="15" customHeight="1" x14ac:dyDescent="0.25">
      <c r="A33" s="156">
        <v>32</v>
      </c>
      <c r="B33" s="17" t="s">
        <v>42</v>
      </c>
      <c r="C33" s="70">
        <v>16</v>
      </c>
      <c r="D33" s="70">
        <v>13</v>
      </c>
      <c r="E33" s="70">
        <v>12</v>
      </c>
      <c r="F33" s="70">
        <v>13</v>
      </c>
      <c r="G33" s="70">
        <v>11</v>
      </c>
      <c r="H33" s="70" t="s">
        <v>383</v>
      </c>
      <c r="I33" s="70" t="s">
        <v>383</v>
      </c>
      <c r="J33" s="70" t="s">
        <v>383</v>
      </c>
      <c r="K33" s="70" t="s">
        <v>383</v>
      </c>
      <c r="L33" s="70" t="s">
        <v>383</v>
      </c>
      <c r="M33" s="70" t="s">
        <v>383</v>
      </c>
      <c r="N33" s="70" t="s">
        <v>383</v>
      </c>
      <c r="O33" s="70" t="s">
        <v>383</v>
      </c>
      <c r="P33" s="70" t="s">
        <v>383</v>
      </c>
      <c r="Q33" s="70" t="s">
        <v>383</v>
      </c>
      <c r="R33" s="70" t="s">
        <v>383</v>
      </c>
      <c r="S33" s="70">
        <v>10</v>
      </c>
      <c r="T33" s="70">
        <v>9</v>
      </c>
      <c r="U33" s="70">
        <v>11</v>
      </c>
      <c r="V33" s="70">
        <v>12</v>
      </c>
      <c r="W33" s="70">
        <v>12</v>
      </c>
      <c r="X33" s="70">
        <v>13</v>
      </c>
      <c r="Y33" s="70">
        <v>12</v>
      </c>
      <c r="Z33" s="70" t="s">
        <v>383</v>
      </c>
      <c r="AA33" s="70" t="s">
        <v>383</v>
      </c>
      <c r="AB33" s="70" t="s">
        <v>383</v>
      </c>
      <c r="AC33" s="70">
        <v>10</v>
      </c>
      <c r="AD33" s="70">
        <v>12</v>
      </c>
      <c r="AE33" s="157">
        <v>12</v>
      </c>
    </row>
    <row r="34" spans="1:32" ht="15" customHeight="1" x14ac:dyDescent="0.25">
      <c r="A34" s="156">
        <v>33</v>
      </c>
      <c r="B34" s="17" t="s">
        <v>43</v>
      </c>
      <c r="C34" s="70">
        <v>33</v>
      </c>
      <c r="D34" s="70">
        <v>29</v>
      </c>
      <c r="E34" s="70">
        <v>28</v>
      </c>
      <c r="F34" s="70">
        <v>29</v>
      </c>
      <c r="G34" s="70">
        <v>27</v>
      </c>
      <c r="H34" s="70">
        <v>27</v>
      </c>
      <c r="I34" s="70">
        <v>26</v>
      </c>
      <c r="J34" s="70">
        <v>34</v>
      </c>
      <c r="K34" s="70">
        <v>38</v>
      </c>
      <c r="L34" s="70">
        <v>43</v>
      </c>
      <c r="M34" s="70">
        <v>44</v>
      </c>
      <c r="N34" s="70">
        <v>46</v>
      </c>
      <c r="O34" s="70">
        <v>43</v>
      </c>
      <c r="P34" s="70">
        <v>40</v>
      </c>
      <c r="Q34" s="70">
        <v>36</v>
      </c>
      <c r="R34" s="70">
        <v>38</v>
      </c>
      <c r="S34" s="70">
        <v>40</v>
      </c>
      <c r="T34" s="70">
        <v>41</v>
      </c>
      <c r="U34" s="70">
        <v>43</v>
      </c>
      <c r="V34" s="70">
        <v>49</v>
      </c>
      <c r="W34" s="70">
        <v>50</v>
      </c>
      <c r="X34" s="70">
        <v>45</v>
      </c>
      <c r="Y34" s="70">
        <v>45</v>
      </c>
      <c r="Z34" s="70">
        <v>44</v>
      </c>
      <c r="AA34" s="70">
        <v>44</v>
      </c>
      <c r="AB34" s="70">
        <v>47</v>
      </c>
      <c r="AC34" s="70">
        <v>52</v>
      </c>
      <c r="AD34" s="70">
        <v>47</v>
      </c>
      <c r="AE34" s="157">
        <v>50</v>
      </c>
    </row>
    <row r="35" spans="1:32" ht="15" customHeight="1" x14ac:dyDescent="0.25">
      <c r="A35" s="156">
        <v>34</v>
      </c>
      <c r="B35" s="17" t="s">
        <v>44</v>
      </c>
      <c r="C35" s="70">
        <v>132</v>
      </c>
      <c r="D35" s="70">
        <v>137</v>
      </c>
      <c r="E35" s="70">
        <v>145</v>
      </c>
      <c r="F35" s="70">
        <v>146</v>
      </c>
      <c r="G35" s="70">
        <v>142</v>
      </c>
      <c r="H35" s="70">
        <v>144</v>
      </c>
      <c r="I35" s="70">
        <v>135</v>
      </c>
      <c r="J35" s="70">
        <v>146</v>
      </c>
      <c r="K35" s="70">
        <v>163</v>
      </c>
      <c r="L35" s="70">
        <v>176</v>
      </c>
      <c r="M35" s="70">
        <v>190</v>
      </c>
      <c r="N35" s="70">
        <v>195</v>
      </c>
      <c r="O35" s="70">
        <v>198</v>
      </c>
      <c r="P35" s="70">
        <v>198</v>
      </c>
      <c r="Q35" s="70">
        <v>207</v>
      </c>
      <c r="R35" s="70">
        <v>201</v>
      </c>
      <c r="S35" s="70">
        <v>197</v>
      </c>
      <c r="T35" s="70">
        <v>203</v>
      </c>
      <c r="U35" s="70">
        <v>199</v>
      </c>
      <c r="V35" s="70">
        <v>207</v>
      </c>
      <c r="W35" s="70">
        <v>207</v>
      </c>
      <c r="X35" s="70">
        <v>205</v>
      </c>
      <c r="Y35" s="70">
        <v>191</v>
      </c>
      <c r="Z35" s="70">
        <v>186</v>
      </c>
      <c r="AA35" s="70">
        <v>186</v>
      </c>
      <c r="AB35" s="70">
        <v>199</v>
      </c>
      <c r="AC35" s="70">
        <v>210</v>
      </c>
      <c r="AD35" s="70">
        <v>211</v>
      </c>
      <c r="AE35" s="157">
        <v>196</v>
      </c>
    </row>
    <row r="36" spans="1:32" ht="15" customHeight="1" x14ac:dyDescent="0.25">
      <c r="A36" s="156">
        <v>35</v>
      </c>
      <c r="B36" s="17" t="s">
        <v>45</v>
      </c>
      <c r="C36" s="70">
        <v>59</v>
      </c>
      <c r="D36" s="70">
        <v>61</v>
      </c>
      <c r="E36" s="70">
        <v>55</v>
      </c>
      <c r="F36" s="70">
        <v>63</v>
      </c>
      <c r="G36" s="70">
        <v>52</v>
      </c>
      <c r="H36" s="70">
        <v>55</v>
      </c>
      <c r="I36" s="70">
        <v>55</v>
      </c>
      <c r="J36" s="70">
        <v>73</v>
      </c>
      <c r="K36" s="70">
        <v>82</v>
      </c>
      <c r="L36" s="70">
        <v>97</v>
      </c>
      <c r="M36" s="70">
        <v>105</v>
      </c>
      <c r="N36" s="70">
        <v>115</v>
      </c>
      <c r="O36" s="70">
        <v>116</v>
      </c>
      <c r="P36" s="70">
        <v>129</v>
      </c>
      <c r="Q36" s="70">
        <v>132</v>
      </c>
      <c r="R36" s="70">
        <v>132</v>
      </c>
      <c r="S36" s="70">
        <v>137</v>
      </c>
      <c r="T36" s="70">
        <v>139</v>
      </c>
      <c r="U36" s="70">
        <v>138</v>
      </c>
      <c r="V36" s="70">
        <v>138</v>
      </c>
      <c r="W36" s="70">
        <v>148</v>
      </c>
      <c r="X36" s="70">
        <v>148</v>
      </c>
      <c r="Y36" s="70">
        <v>155</v>
      </c>
      <c r="Z36" s="70">
        <v>157</v>
      </c>
      <c r="AA36" s="70">
        <v>171</v>
      </c>
      <c r="AB36" s="70">
        <v>198</v>
      </c>
      <c r="AC36" s="70">
        <v>210</v>
      </c>
      <c r="AD36" s="70">
        <v>209</v>
      </c>
      <c r="AE36" s="157">
        <v>205</v>
      </c>
    </row>
    <row r="37" spans="1:32" ht="15" customHeight="1" x14ac:dyDescent="0.25">
      <c r="A37" s="156">
        <v>36</v>
      </c>
      <c r="B37" s="17" t="s">
        <v>46</v>
      </c>
      <c r="C37" s="70">
        <v>241</v>
      </c>
      <c r="D37" s="70">
        <v>238</v>
      </c>
      <c r="E37" s="70">
        <v>243</v>
      </c>
      <c r="F37" s="70">
        <v>227</v>
      </c>
      <c r="G37" s="70">
        <v>207</v>
      </c>
      <c r="H37" s="70">
        <v>190</v>
      </c>
      <c r="I37" s="70">
        <v>178</v>
      </c>
      <c r="J37" s="70">
        <v>204</v>
      </c>
      <c r="K37" s="70">
        <v>249</v>
      </c>
      <c r="L37" s="70">
        <v>276</v>
      </c>
      <c r="M37" s="70">
        <v>307</v>
      </c>
      <c r="N37" s="70">
        <v>338</v>
      </c>
      <c r="O37" s="70">
        <v>359</v>
      </c>
      <c r="P37" s="70">
        <v>382</v>
      </c>
      <c r="Q37" s="70">
        <v>380</v>
      </c>
      <c r="R37" s="70">
        <v>368</v>
      </c>
      <c r="S37" s="70">
        <v>360</v>
      </c>
      <c r="T37" s="70">
        <v>362</v>
      </c>
      <c r="U37" s="70">
        <v>344</v>
      </c>
      <c r="V37" s="70">
        <v>352</v>
      </c>
      <c r="W37" s="70">
        <v>325</v>
      </c>
      <c r="X37" s="70">
        <v>314</v>
      </c>
      <c r="Y37" s="70">
        <v>315</v>
      </c>
      <c r="Z37" s="70">
        <v>308</v>
      </c>
      <c r="AA37" s="70">
        <v>295</v>
      </c>
      <c r="AB37" s="70">
        <v>304</v>
      </c>
      <c r="AC37" s="70">
        <v>332</v>
      </c>
      <c r="AD37" s="70">
        <v>357</v>
      </c>
      <c r="AE37" s="157">
        <v>351</v>
      </c>
    </row>
    <row r="38" spans="1:32" ht="15" customHeight="1" thickBot="1" x14ac:dyDescent="0.3">
      <c r="A38" s="152">
        <v>37</v>
      </c>
      <c r="B38" s="15" t="s">
        <v>47</v>
      </c>
      <c r="C38" s="68">
        <v>16</v>
      </c>
      <c r="D38" s="68">
        <v>16</v>
      </c>
      <c r="E38" s="68">
        <v>20</v>
      </c>
      <c r="F38" s="68">
        <v>21</v>
      </c>
      <c r="G38" s="68">
        <v>16</v>
      </c>
      <c r="H38" s="68">
        <v>17</v>
      </c>
      <c r="I38" s="68">
        <v>19</v>
      </c>
      <c r="J38" s="68">
        <v>25</v>
      </c>
      <c r="K38" s="68">
        <v>28</v>
      </c>
      <c r="L38" s="68">
        <v>27</v>
      </c>
      <c r="M38" s="68">
        <v>32</v>
      </c>
      <c r="N38" s="68">
        <v>32</v>
      </c>
      <c r="O38" s="68">
        <v>32</v>
      </c>
      <c r="P38" s="68">
        <v>36</v>
      </c>
      <c r="Q38" s="68">
        <v>34</v>
      </c>
      <c r="R38" s="68">
        <v>31</v>
      </c>
      <c r="S38" s="68">
        <v>39</v>
      </c>
      <c r="T38" s="68">
        <v>41</v>
      </c>
      <c r="U38" s="68">
        <v>43</v>
      </c>
      <c r="V38" s="68">
        <v>43</v>
      </c>
      <c r="W38" s="68">
        <v>45</v>
      </c>
      <c r="X38" s="68">
        <v>39</v>
      </c>
      <c r="Y38" s="68">
        <v>42</v>
      </c>
      <c r="Z38" s="68">
        <v>46</v>
      </c>
      <c r="AA38" s="68">
        <v>44</v>
      </c>
      <c r="AB38" s="68">
        <v>42</v>
      </c>
      <c r="AC38" s="68">
        <v>41</v>
      </c>
      <c r="AD38" s="68">
        <v>41</v>
      </c>
      <c r="AE38" s="153">
        <v>37</v>
      </c>
    </row>
    <row r="39" spans="1:32" s="11" customFormat="1" ht="15" customHeight="1" thickBot="1" x14ac:dyDescent="0.3">
      <c r="A39" s="144" t="s">
        <v>48</v>
      </c>
      <c r="B39" s="9" t="s">
        <v>49</v>
      </c>
      <c r="C39" s="64">
        <v>273</v>
      </c>
      <c r="D39" s="64">
        <v>269</v>
      </c>
      <c r="E39" s="64">
        <v>278</v>
      </c>
      <c r="F39" s="64">
        <v>282</v>
      </c>
      <c r="G39" s="64">
        <v>274</v>
      </c>
      <c r="H39" s="64">
        <v>275</v>
      </c>
      <c r="I39" s="64">
        <v>270</v>
      </c>
      <c r="J39" s="64">
        <v>271</v>
      </c>
      <c r="K39" s="64">
        <v>275</v>
      </c>
      <c r="L39" s="64">
        <v>275</v>
      </c>
      <c r="M39" s="64">
        <v>277</v>
      </c>
      <c r="N39" s="64">
        <v>274</v>
      </c>
      <c r="O39" s="64">
        <v>275</v>
      </c>
      <c r="P39" s="64">
        <v>279</v>
      </c>
      <c r="Q39" s="64">
        <v>284</v>
      </c>
      <c r="R39" s="64">
        <v>286</v>
      </c>
      <c r="S39" s="64">
        <v>287</v>
      </c>
      <c r="T39" s="64">
        <v>292</v>
      </c>
      <c r="U39" s="64">
        <v>287</v>
      </c>
      <c r="V39" s="64">
        <v>290</v>
      </c>
      <c r="W39" s="64">
        <v>291</v>
      </c>
      <c r="X39" s="64">
        <v>296</v>
      </c>
      <c r="Y39" s="64">
        <v>290</v>
      </c>
      <c r="Z39" s="64">
        <v>296</v>
      </c>
      <c r="AA39" s="64">
        <v>294</v>
      </c>
      <c r="AB39" s="64">
        <v>299</v>
      </c>
      <c r="AC39" s="64">
        <v>302</v>
      </c>
      <c r="AD39" s="64">
        <v>299</v>
      </c>
      <c r="AE39" s="145">
        <v>295</v>
      </c>
      <c r="AF39" s="10"/>
    </row>
    <row r="40" spans="1:32" ht="15" customHeight="1" x14ac:dyDescent="0.25">
      <c r="A40" s="146">
        <v>40</v>
      </c>
      <c r="B40" s="12" t="s">
        <v>50</v>
      </c>
      <c r="C40" s="65">
        <v>222</v>
      </c>
      <c r="D40" s="65">
        <v>221</v>
      </c>
      <c r="E40" s="65">
        <v>228</v>
      </c>
      <c r="F40" s="65">
        <v>232</v>
      </c>
      <c r="G40" s="65">
        <v>223</v>
      </c>
      <c r="H40" s="65">
        <v>224</v>
      </c>
      <c r="I40" s="65">
        <v>219</v>
      </c>
      <c r="J40" s="65">
        <v>219</v>
      </c>
      <c r="K40" s="65">
        <v>221</v>
      </c>
      <c r="L40" s="65">
        <v>221</v>
      </c>
      <c r="M40" s="65">
        <v>221</v>
      </c>
      <c r="N40" s="65">
        <v>218</v>
      </c>
      <c r="O40" s="65">
        <v>218</v>
      </c>
      <c r="P40" s="65">
        <v>223</v>
      </c>
      <c r="Q40" s="65">
        <v>226</v>
      </c>
      <c r="R40" s="65">
        <v>228</v>
      </c>
      <c r="S40" s="65">
        <v>229</v>
      </c>
      <c r="T40" s="65">
        <v>231</v>
      </c>
      <c r="U40" s="65">
        <v>228</v>
      </c>
      <c r="V40" s="65">
        <v>232</v>
      </c>
      <c r="W40" s="65">
        <v>233</v>
      </c>
      <c r="X40" s="65">
        <v>237</v>
      </c>
      <c r="Y40" s="65">
        <v>234</v>
      </c>
      <c r="Z40" s="65">
        <v>236</v>
      </c>
      <c r="AA40" s="65">
        <v>236</v>
      </c>
      <c r="AB40" s="65">
        <v>241</v>
      </c>
      <c r="AC40" s="65">
        <v>244</v>
      </c>
      <c r="AD40" s="65">
        <v>242</v>
      </c>
      <c r="AE40" s="147">
        <v>240</v>
      </c>
    </row>
    <row r="41" spans="1:32" ht="15" customHeight="1" thickBot="1" x14ac:dyDescent="0.3">
      <c r="A41" s="158">
        <v>41</v>
      </c>
      <c r="B41" s="18" t="s">
        <v>51</v>
      </c>
      <c r="C41" s="71">
        <v>51</v>
      </c>
      <c r="D41" s="71">
        <v>48</v>
      </c>
      <c r="E41" s="71">
        <v>50</v>
      </c>
      <c r="F41" s="71">
        <v>50</v>
      </c>
      <c r="G41" s="71">
        <v>51</v>
      </c>
      <c r="H41" s="71">
        <v>51</v>
      </c>
      <c r="I41" s="71">
        <v>51</v>
      </c>
      <c r="J41" s="71">
        <v>52</v>
      </c>
      <c r="K41" s="71">
        <v>54</v>
      </c>
      <c r="L41" s="71">
        <v>54</v>
      </c>
      <c r="M41" s="71">
        <v>56</v>
      </c>
      <c r="N41" s="71">
        <v>56</v>
      </c>
      <c r="O41" s="71">
        <v>57</v>
      </c>
      <c r="P41" s="71">
        <v>56</v>
      </c>
      <c r="Q41" s="71">
        <v>58</v>
      </c>
      <c r="R41" s="71">
        <v>58</v>
      </c>
      <c r="S41" s="71">
        <v>58</v>
      </c>
      <c r="T41" s="71">
        <v>61</v>
      </c>
      <c r="U41" s="71">
        <v>59</v>
      </c>
      <c r="V41" s="71">
        <v>58</v>
      </c>
      <c r="W41" s="71">
        <v>58</v>
      </c>
      <c r="X41" s="71">
        <v>59</v>
      </c>
      <c r="Y41" s="71">
        <v>56</v>
      </c>
      <c r="Z41" s="71">
        <v>60</v>
      </c>
      <c r="AA41" s="71">
        <v>58</v>
      </c>
      <c r="AB41" s="71">
        <v>58</v>
      </c>
      <c r="AC41" s="71">
        <v>58</v>
      </c>
      <c r="AD41" s="71">
        <v>57</v>
      </c>
      <c r="AE41" s="159">
        <v>55</v>
      </c>
    </row>
    <row r="42" spans="1:32" s="11" customFormat="1" ht="15" customHeight="1" thickBot="1" x14ac:dyDescent="0.3">
      <c r="A42" s="160" t="s">
        <v>52</v>
      </c>
      <c r="B42" s="19" t="s">
        <v>53</v>
      </c>
      <c r="C42" s="64">
        <v>2184</v>
      </c>
      <c r="D42" s="64">
        <v>2298</v>
      </c>
      <c r="E42" s="64">
        <v>2380</v>
      </c>
      <c r="F42" s="64">
        <v>2412</v>
      </c>
      <c r="G42" s="64">
        <v>2381</v>
      </c>
      <c r="H42" s="64">
        <v>1991</v>
      </c>
      <c r="I42" s="64">
        <v>1720</v>
      </c>
      <c r="J42" s="64">
        <v>2110</v>
      </c>
      <c r="K42" s="64">
        <v>2643</v>
      </c>
      <c r="L42" s="64">
        <v>3157</v>
      </c>
      <c r="M42" s="64">
        <v>3577</v>
      </c>
      <c r="N42" s="64">
        <v>3926</v>
      </c>
      <c r="O42" s="64">
        <v>4118</v>
      </c>
      <c r="P42" s="64">
        <v>3924</v>
      </c>
      <c r="Q42" s="64">
        <v>4112</v>
      </c>
      <c r="R42" s="64">
        <v>4399</v>
      </c>
      <c r="S42" s="64">
        <v>4415</v>
      </c>
      <c r="T42" s="64">
        <v>4514</v>
      </c>
      <c r="U42" s="64">
        <v>4557</v>
      </c>
      <c r="V42" s="64">
        <v>4630</v>
      </c>
      <c r="W42" s="64">
        <v>4492</v>
      </c>
      <c r="X42" s="64">
        <v>4668</v>
      </c>
      <c r="Y42" s="64">
        <v>4585</v>
      </c>
      <c r="Z42" s="64">
        <v>4230</v>
      </c>
      <c r="AA42" s="64">
        <v>3948</v>
      </c>
      <c r="AB42" s="64">
        <v>4194</v>
      </c>
      <c r="AC42" s="64">
        <v>4411</v>
      </c>
      <c r="AD42" s="64">
        <v>4226</v>
      </c>
      <c r="AE42" s="145">
        <v>3887</v>
      </c>
      <c r="AF42" s="10"/>
    </row>
    <row r="43" spans="1:32" ht="15" customHeight="1" thickBot="1" x14ac:dyDescent="0.3">
      <c r="A43" s="150">
        <v>45</v>
      </c>
      <c r="B43" s="14" t="s">
        <v>54</v>
      </c>
      <c r="C43" s="67">
        <v>2184</v>
      </c>
      <c r="D43" s="67">
        <v>2298</v>
      </c>
      <c r="E43" s="67">
        <v>2380</v>
      </c>
      <c r="F43" s="67">
        <v>2412</v>
      </c>
      <c r="G43" s="67">
        <v>2381</v>
      </c>
      <c r="H43" s="67">
        <v>1991</v>
      </c>
      <c r="I43" s="67">
        <v>1720</v>
      </c>
      <c r="J43" s="67">
        <v>2110</v>
      </c>
      <c r="K43" s="67">
        <v>2643</v>
      </c>
      <c r="L43" s="67">
        <v>3157</v>
      </c>
      <c r="M43" s="67">
        <v>3577</v>
      </c>
      <c r="N43" s="67">
        <v>3926</v>
      </c>
      <c r="O43" s="67">
        <v>4118</v>
      </c>
      <c r="P43" s="67">
        <v>3924</v>
      </c>
      <c r="Q43" s="67">
        <v>4112</v>
      </c>
      <c r="R43" s="67">
        <v>4399</v>
      </c>
      <c r="S43" s="67">
        <v>4415</v>
      </c>
      <c r="T43" s="67">
        <v>4514</v>
      </c>
      <c r="U43" s="67">
        <v>4557</v>
      </c>
      <c r="V43" s="67">
        <v>4630</v>
      </c>
      <c r="W43" s="67">
        <v>4492</v>
      </c>
      <c r="X43" s="67">
        <v>4668</v>
      </c>
      <c r="Y43" s="67">
        <v>4585</v>
      </c>
      <c r="Z43" s="67">
        <v>4230</v>
      </c>
      <c r="AA43" s="67">
        <v>3948</v>
      </c>
      <c r="AB43" s="67">
        <v>4194</v>
      </c>
      <c r="AC43" s="67">
        <v>4411</v>
      </c>
      <c r="AD43" s="67">
        <v>4226</v>
      </c>
      <c r="AE43" s="151">
        <v>3887</v>
      </c>
    </row>
    <row r="44" spans="1:32" s="11" customFormat="1" ht="15" customHeight="1" thickBot="1" x14ac:dyDescent="0.3">
      <c r="A44" s="144" t="s">
        <v>55</v>
      </c>
      <c r="B44" s="9" t="s">
        <v>56</v>
      </c>
      <c r="C44" s="64">
        <v>16204</v>
      </c>
      <c r="D44" s="64">
        <v>16152</v>
      </c>
      <c r="E44" s="64">
        <v>16215</v>
      </c>
      <c r="F44" s="64">
        <v>15972</v>
      </c>
      <c r="G44" s="64">
        <v>15646</v>
      </c>
      <c r="H44" s="64">
        <v>14934</v>
      </c>
      <c r="I44" s="64">
        <v>14208</v>
      </c>
      <c r="J44" s="64">
        <v>15777</v>
      </c>
      <c r="K44" s="64">
        <v>19641</v>
      </c>
      <c r="L44" s="64">
        <v>21707</v>
      </c>
      <c r="M44" s="64">
        <v>23831</v>
      </c>
      <c r="N44" s="64">
        <v>25604</v>
      </c>
      <c r="O44" s="64">
        <v>27285</v>
      </c>
      <c r="P44" s="64">
        <v>28051</v>
      </c>
      <c r="Q44" s="64">
        <v>28750</v>
      </c>
      <c r="R44" s="64">
        <v>29207</v>
      </c>
      <c r="S44" s="64">
        <v>29693</v>
      </c>
      <c r="T44" s="64">
        <v>29880</v>
      </c>
      <c r="U44" s="64">
        <v>30106</v>
      </c>
      <c r="V44" s="64">
        <v>30575</v>
      </c>
      <c r="W44" s="64">
        <v>31110</v>
      </c>
      <c r="X44" s="64">
        <v>31349</v>
      </c>
      <c r="Y44" s="64">
        <v>30329</v>
      </c>
      <c r="Z44" s="64">
        <v>29366</v>
      </c>
      <c r="AA44" s="64">
        <v>28058</v>
      </c>
      <c r="AB44" s="64">
        <v>28570</v>
      </c>
      <c r="AC44" s="64">
        <v>30537</v>
      </c>
      <c r="AD44" s="64">
        <v>30765</v>
      </c>
      <c r="AE44" s="145">
        <v>30357</v>
      </c>
      <c r="AF44" s="10"/>
    </row>
    <row r="45" spans="1:32" ht="15" customHeight="1" x14ac:dyDescent="0.25">
      <c r="A45" s="146">
        <v>50</v>
      </c>
      <c r="B45" s="12" t="s">
        <v>57</v>
      </c>
      <c r="C45" s="65">
        <v>2718</v>
      </c>
      <c r="D45" s="65">
        <v>2774</v>
      </c>
      <c r="E45" s="65">
        <v>2825</v>
      </c>
      <c r="F45" s="65">
        <v>2765</v>
      </c>
      <c r="G45" s="65">
        <v>2664</v>
      </c>
      <c r="H45" s="65">
        <v>2515</v>
      </c>
      <c r="I45" s="65">
        <v>2391</v>
      </c>
      <c r="J45" s="65">
        <v>2614</v>
      </c>
      <c r="K45" s="65">
        <v>3102</v>
      </c>
      <c r="L45" s="65">
        <v>3364</v>
      </c>
      <c r="M45" s="65">
        <v>3557</v>
      </c>
      <c r="N45" s="65">
        <v>3769</v>
      </c>
      <c r="O45" s="65">
        <v>3935</v>
      </c>
      <c r="P45" s="65">
        <v>3911</v>
      </c>
      <c r="Q45" s="65">
        <v>3971</v>
      </c>
      <c r="R45" s="65">
        <v>3989</v>
      </c>
      <c r="S45" s="65">
        <v>4049</v>
      </c>
      <c r="T45" s="65">
        <v>4036</v>
      </c>
      <c r="U45" s="65">
        <v>4034</v>
      </c>
      <c r="V45" s="65">
        <v>4055</v>
      </c>
      <c r="W45" s="65">
        <v>4089</v>
      </c>
      <c r="X45" s="65">
        <v>4081</v>
      </c>
      <c r="Y45" s="65">
        <v>3953</v>
      </c>
      <c r="Z45" s="65">
        <v>3822</v>
      </c>
      <c r="AA45" s="65">
        <v>3699</v>
      </c>
      <c r="AB45" s="65">
        <v>3728</v>
      </c>
      <c r="AC45" s="65">
        <v>3854</v>
      </c>
      <c r="AD45" s="65">
        <v>3878</v>
      </c>
      <c r="AE45" s="147">
        <v>3868</v>
      </c>
    </row>
    <row r="46" spans="1:32" ht="15" customHeight="1" x14ac:dyDescent="0.25">
      <c r="A46" s="156">
        <v>51</v>
      </c>
      <c r="B46" s="17" t="s">
        <v>58</v>
      </c>
      <c r="C46" s="70">
        <v>3477</v>
      </c>
      <c r="D46" s="70">
        <v>3472</v>
      </c>
      <c r="E46" s="70">
        <v>3428</v>
      </c>
      <c r="F46" s="70">
        <v>3540</v>
      </c>
      <c r="G46" s="70">
        <v>3371</v>
      </c>
      <c r="H46" s="70">
        <v>3185</v>
      </c>
      <c r="I46" s="70">
        <v>3085</v>
      </c>
      <c r="J46" s="70">
        <v>3351</v>
      </c>
      <c r="K46" s="70">
        <v>3695</v>
      </c>
      <c r="L46" s="70">
        <v>3917</v>
      </c>
      <c r="M46" s="70">
        <v>4096</v>
      </c>
      <c r="N46" s="70">
        <v>4229</v>
      </c>
      <c r="O46" s="70">
        <v>4442</v>
      </c>
      <c r="P46" s="70">
        <v>4494</v>
      </c>
      <c r="Q46" s="70">
        <v>4530</v>
      </c>
      <c r="R46" s="70">
        <v>4635</v>
      </c>
      <c r="S46" s="70">
        <v>4665</v>
      </c>
      <c r="T46" s="70">
        <v>4689</v>
      </c>
      <c r="U46" s="70">
        <v>4700</v>
      </c>
      <c r="V46" s="70">
        <v>4760</v>
      </c>
      <c r="W46" s="70">
        <v>4818</v>
      </c>
      <c r="X46" s="70">
        <v>4835</v>
      </c>
      <c r="Y46" s="70">
        <v>4794</v>
      </c>
      <c r="Z46" s="70">
        <v>4767</v>
      </c>
      <c r="AA46" s="70">
        <v>4774</v>
      </c>
      <c r="AB46" s="70">
        <v>4886</v>
      </c>
      <c r="AC46" s="70">
        <v>5107</v>
      </c>
      <c r="AD46" s="70">
        <v>5144</v>
      </c>
      <c r="AE46" s="157">
        <v>5178</v>
      </c>
    </row>
    <row r="47" spans="1:32" ht="15" customHeight="1" thickBot="1" x14ac:dyDescent="0.3">
      <c r="A47" s="158">
        <v>52</v>
      </c>
      <c r="B47" s="18" t="s">
        <v>59</v>
      </c>
      <c r="C47" s="71">
        <v>10009</v>
      </c>
      <c r="D47" s="71">
        <v>9906</v>
      </c>
      <c r="E47" s="71">
        <v>9962</v>
      </c>
      <c r="F47" s="71">
        <v>9667</v>
      </c>
      <c r="G47" s="71">
        <v>9611</v>
      </c>
      <c r="H47" s="71">
        <v>9234</v>
      </c>
      <c r="I47" s="71">
        <v>8732</v>
      </c>
      <c r="J47" s="71">
        <v>9812</v>
      </c>
      <c r="K47" s="71">
        <v>12844</v>
      </c>
      <c r="L47" s="71">
        <v>14426</v>
      </c>
      <c r="M47" s="71">
        <v>16178</v>
      </c>
      <c r="N47" s="71">
        <v>17606</v>
      </c>
      <c r="O47" s="71">
        <v>18908</v>
      </c>
      <c r="P47" s="71">
        <v>19646</v>
      </c>
      <c r="Q47" s="71">
        <v>20249</v>
      </c>
      <c r="R47" s="71">
        <v>20583</v>
      </c>
      <c r="S47" s="71">
        <v>20979</v>
      </c>
      <c r="T47" s="71">
        <v>21155</v>
      </c>
      <c r="U47" s="71">
        <v>21372</v>
      </c>
      <c r="V47" s="71">
        <v>21760</v>
      </c>
      <c r="W47" s="71">
        <v>22203</v>
      </c>
      <c r="X47" s="71">
        <v>22433</v>
      </c>
      <c r="Y47" s="71">
        <v>21582</v>
      </c>
      <c r="Z47" s="71">
        <v>20777</v>
      </c>
      <c r="AA47" s="71">
        <v>19585</v>
      </c>
      <c r="AB47" s="71">
        <v>19956</v>
      </c>
      <c r="AC47" s="71">
        <v>21576</v>
      </c>
      <c r="AD47" s="71">
        <v>21743</v>
      </c>
      <c r="AE47" s="159">
        <v>21311</v>
      </c>
    </row>
    <row r="48" spans="1:32" s="11" customFormat="1" ht="15" customHeight="1" thickBot="1" x14ac:dyDescent="0.3">
      <c r="A48" s="160" t="s">
        <v>60</v>
      </c>
      <c r="B48" s="19" t="s">
        <v>61</v>
      </c>
      <c r="C48" s="64">
        <v>2531</v>
      </c>
      <c r="D48" s="64">
        <v>2533</v>
      </c>
      <c r="E48" s="64">
        <v>2417</v>
      </c>
      <c r="F48" s="64">
        <v>2272</v>
      </c>
      <c r="G48" s="64">
        <v>2111</v>
      </c>
      <c r="H48" s="64">
        <v>1903</v>
      </c>
      <c r="I48" s="64">
        <v>1805</v>
      </c>
      <c r="J48" s="64">
        <v>2035</v>
      </c>
      <c r="K48" s="64">
        <v>2735</v>
      </c>
      <c r="L48" s="64">
        <v>3369</v>
      </c>
      <c r="M48" s="64">
        <v>3859</v>
      </c>
      <c r="N48" s="64">
        <v>4326</v>
      </c>
      <c r="O48" s="64">
        <v>4630</v>
      </c>
      <c r="P48" s="64">
        <v>4915</v>
      </c>
      <c r="Q48" s="64">
        <v>5015</v>
      </c>
      <c r="R48" s="64">
        <v>5241</v>
      </c>
      <c r="S48" s="64">
        <v>5472</v>
      </c>
      <c r="T48" s="64">
        <v>5558</v>
      </c>
      <c r="U48" s="64">
        <v>5750</v>
      </c>
      <c r="V48" s="64">
        <v>5824</v>
      </c>
      <c r="W48" s="64">
        <v>5842</v>
      </c>
      <c r="X48" s="64">
        <v>5802</v>
      </c>
      <c r="Y48" s="64">
        <v>5695</v>
      </c>
      <c r="Z48" s="64">
        <v>5510</v>
      </c>
      <c r="AA48" s="64">
        <v>4850</v>
      </c>
      <c r="AB48" s="64">
        <v>4865</v>
      </c>
      <c r="AC48" s="64">
        <v>5658</v>
      </c>
      <c r="AD48" s="64">
        <v>5616</v>
      </c>
      <c r="AE48" s="145">
        <v>5506</v>
      </c>
      <c r="AF48" s="10"/>
    </row>
    <row r="49" spans="1:32" ht="15" customHeight="1" thickBot="1" x14ac:dyDescent="0.3">
      <c r="A49" s="150">
        <v>55</v>
      </c>
      <c r="B49" s="14" t="s">
        <v>62</v>
      </c>
      <c r="C49" s="67">
        <v>2531</v>
      </c>
      <c r="D49" s="67">
        <v>2533</v>
      </c>
      <c r="E49" s="67">
        <v>2417</v>
      </c>
      <c r="F49" s="67">
        <v>2272</v>
      </c>
      <c r="G49" s="67">
        <v>2111</v>
      </c>
      <c r="H49" s="67">
        <v>1903</v>
      </c>
      <c r="I49" s="67">
        <v>1805</v>
      </c>
      <c r="J49" s="67">
        <v>2035</v>
      </c>
      <c r="K49" s="67">
        <v>2735</v>
      </c>
      <c r="L49" s="67">
        <v>3369</v>
      </c>
      <c r="M49" s="67">
        <v>3859</v>
      </c>
      <c r="N49" s="67">
        <v>4326</v>
      </c>
      <c r="O49" s="67">
        <v>4630</v>
      </c>
      <c r="P49" s="67">
        <v>4915</v>
      </c>
      <c r="Q49" s="67">
        <v>5015</v>
      </c>
      <c r="R49" s="67">
        <v>5241</v>
      </c>
      <c r="S49" s="67">
        <v>5472</v>
      </c>
      <c r="T49" s="67">
        <v>5558</v>
      </c>
      <c r="U49" s="67">
        <v>5750</v>
      </c>
      <c r="V49" s="67">
        <v>5824</v>
      </c>
      <c r="W49" s="67">
        <v>5842</v>
      </c>
      <c r="X49" s="67">
        <v>5802</v>
      </c>
      <c r="Y49" s="67">
        <v>5695</v>
      </c>
      <c r="Z49" s="67">
        <v>5510</v>
      </c>
      <c r="AA49" s="67">
        <v>4850</v>
      </c>
      <c r="AB49" s="67">
        <v>4865</v>
      </c>
      <c r="AC49" s="67">
        <v>5658</v>
      </c>
      <c r="AD49" s="67">
        <v>5616</v>
      </c>
      <c r="AE49" s="151">
        <v>5506</v>
      </c>
    </row>
    <row r="50" spans="1:32" s="11" customFormat="1" ht="15" customHeight="1" thickBot="1" x14ac:dyDescent="0.3">
      <c r="A50" s="144" t="s">
        <v>63</v>
      </c>
      <c r="B50" s="9" t="s">
        <v>64</v>
      </c>
      <c r="C50" s="64">
        <v>3966</v>
      </c>
      <c r="D50" s="64">
        <v>4217</v>
      </c>
      <c r="E50" s="64">
        <v>4466</v>
      </c>
      <c r="F50" s="64">
        <v>4647</v>
      </c>
      <c r="G50" s="64">
        <v>4650</v>
      </c>
      <c r="H50" s="64">
        <v>4313</v>
      </c>
      <c r="I50" s="64">
        <v>3982</v>
      </c>
      <c r="J50" s="64">
        <v>4445</v>
      </c>
      <c r="K50" s="64">
        <v>5351</v>
      </c>
      <c r="L50" s="64">
        <v>6268</v>
      </c>
      <c r="M50" s="64">
        <v>7097</v>
      </c>
      <c r="N50" s="64">
        <v>8021</v>
      </c>
      <c r="O50" s="64">
        <v>8764</v>
      </c>
      <c r="P50" s="64">
        <v>8637</v>
      </c>
      <c r="Q50" s="64">
        <v>8843</v>
      </c>
      <c r="R50" s="64">
        <v>9171</v>
      </c>
      <c r="S50" s="64">
        <v>9430</v>
      </c>
      <c r="T50" s="64">
        <v>9401</v>
      </c>
      <c r="U50" s="64">
        <v>9038</v>
      </c>
      <c r="V50" s="64">
        <v>9008</v>
      </c>
      <c r="W50" s="64">
        <v>8884</v>
      </c>
      <c r="X50" s="64">
        <v>8959</v>
      </c>
      <c r="Y50" s="64">
        <v>8639</v>
      </c>
      <c r="Z50" s="64">
        <v>8268</v>
      </c>
      <c r="AA50" s="64">
        <v>7859</v>
      </c>
      <c r="AB50" s="64">
        <v>7771</v>
      </c>
      <c r="AC50" s="64">
        <v>7875</v>
      </c>
      <c r="AD50" s="64">
        <v>7628</v>
      </c>
      <c r="AE50" s="145">
        <v>7362</v>
      </c>
      <c r="AF50" s="10"/>
    </row>
    <row r="51" spans="1:32" ht="15" customHeight="1" x14ac:dyDescent="0.25">
      <c r="A51" s="152">
        <v>60</v>
      </c>
      <c r="B51" s="15" t="s">
        <v>65</v>
      </c>
      <c r="C51" s="68">
        <v>3081</v>
      </c>
      <c r="D51" s="68">
        <v>3269</v>
      </c>
      <c r="E51" s="68">
        <v>3461</v>
      </c>
      <c r="F51" s="68">
        <v>3565</v>
      </c>
      <c r="G51" s="68">
        <v>3581</v>
      </c>
      <c r="H51" s="68">
        <v>3266</v>
      </c>
      <c r="I51" s="68">
        <v>2984</v>
      </c>
      <c r="J51" s="68">
        <v>3377</v>
      </c>
      <c r="K51" s="68">
        <v>4085</v>
      </c>
      <c r="L51" s="68">
        <v>4869</v>
      </c>
      <c r="M51" s="68">
        <v>5629</v>
      </c>
      <c r="N51" s="68">
        <v>6528</v>
      </c>
      <c r="O51" s="68">
        <v>7212</v>
      </c>
      <c r="P51" s="68">
        <v>7070</v>
      </c>
      <c r="Q51" s="68">
        <v>7239</v>
      </c>
      <c r="R51" s="68">
        <v>7501</v>
      </c>
      <c r="S51" s="68">
        <v>7737</v>
      </c>
      <c r="T51" s="68">
        <v>7689</v>
      </c>
      <c r="U51" s="68">
        <v>7381</v>
      </c>
      <c r="V51" s="68">
        <v>7294</v>
      </c>
      <c r="W51" s="68">
        <v>7176</v>
      </c>
      <c r="X51" s="68">
        <v>7258</v>
      </c>
      <c r="Y51" s="68">
        <v>6961</v>
      </c>
      <c r="Z51" s="68">
        <v>6590</v>
      </c>
      <c r="AA51" s="68">
        <v>6270</v>
      </c>
      <c r="AB51" s="68">
        <v>6197</v>
      </c>
      <c r="AC51" s="68">
        <v>6228</v>
      </c>
      <c r="AD51" s="68">
        <v>5977</v>
      </c>
      <c r="AE51" s="153">
        <v>5692</v>
      </c>
    </row>
    <row r="52" spans="1:32" ht="15" customHeight="1" x14ac:dyDescent="0.25">
      <c r="A52" s="161">
        <v>61</v>
      </c>
      <c r="B52" s="20" t="s">
        <v>66</v>
      </c>
      <c r="C52" s="73">
        <v>21</v>
      </c>
      <c r="D52" s="73">
        <v>20</v>
      </c>
      <c r="E52" s="73">
        <v>17</v>
      </c>
      <c r="F52" s="73">
        <v>17</v>
      </c>
      <c r="G52" s="73">
        <v>26</v>
      </c>
      <c r="H52" s="73">
        <v>17</v>
      </c>
      <c r="I52" s="73">
        <v>16</v>
      </c>
      <c r="J52" s="73">
        <v>17</v>
      </c>
      <c r="K52" s="73">
        <v>21</v>
      </c>
      <c r="L52" s="73">
        <v>24</v>
      </c>
      <c r="M52" s="73">
        <v>26</v>
      </c>
      <c r="N52" s="73">
        <v>35</v>
      </c>
      <c r="O52" s="73">
        <v>37</v>
      </c>
      <c r="P52" s="73">
        <v>38</v>
      </c>
      <c r="Q52" s="73">
        <v>41</v>
      </c>
      <c r="R52" s="73">
        <v>40</v>
      </c>
      <c r="S52" s="73">
        <v>37</v>
      </c>
      <c r="T52" s="73">
        <v>37</v>
      </c>
      <c r="U52" s="73">
        <v>34</v>
      </c>
      <c r="V52" s="73">
        <v>36</v>
      </c>
      <c r="W52" s="73">
        <v>34</v>
      </c>
      <c r="X52" s="73">
        <v>34</v>
      </c>
      <c r="Y52" s="73">
        <v>33</v>
      </c>
      <c r="Z52" s="73">
        <v>35</v>
      </c>
      <c r="AA52" s="73">
        <v>33</v>
      </c>
      <c r="AB52" s="73">
        <v>32</v>
      </c>
      <c r="AC52" s="73">
        <v>38</v>
      </c>
      <c r="AD52" s="73">
        <v>36</v>
      </c>
      <c r="AE52" s="162">
        <v>35</v>
      </c>
    </row>
    <row r="53" spans="1:32" ht="15" customHeight="1" x14ac:dyDescent="0.25">
      <c r="A53" s="152">
        <v>62</v>
      </c>
      <c r="B53" s="15" t="s">
        <v>67</v>
      </c>
      <c r="C53" s="68">
        <v>7</v>
      </c>
      <c r="D53" s="68">
        <v>7</v>
      </c>
      <c r="E53" s="68">
        <v>8</v>
      </c>
      <c r="F53" s="68">
        <v>6</v>
      </c>
      <c r="G53" s="68">
        <v>7</v>
      </c>
      <c r="H53" s="68">
        <v>8</v>
      </c>
      <c r="I53" s="68">
        <v>7</v>
      </c>
      <c r="J53" s="68">
        <v>4</v>
      </c>
      <c r="K53" s="68">
        <v>7</v>
      </c>
      <c r="L53" s="68">
        <v>6</v>
      </c>
      <c r="M53" s="68">
        <v>7</v>
      </c>
      <c r="N53" s="68">
        <v>6</v>
      </c>
      <c r="O53" s="68">
        <v>7</v>
      </c>
      <c r="P53" s="68">
        <v>5</v>
      </c>
      <c r="Q53" s="68">
        <v>7</v>
      </c>
      <c r="R53" s="68">
        <v>8</v>
      </c>
      <c r="S53" s="68">
        <v>9</v>
      </c>
      <c r="T53" s="68">
        <v>9</v>
      </c>
      <c r="U53" s="68">
        <v>12</v>
      </c>
      <c r="V53" s="68">
        <v>13</v>
      </c>
      <c r="W53" s="68">
        <v>11</v>
      </c>
      <c r="X53" s="68">
        <v>10</v>
      </c>
      <c r="Y53" s="68">
        <v>13</v>
      </c>
      <c r="Z53" s="68">
        <v>16</v>
      </c>
      <c r="AA53" s="68">
        <v>14</v>
      </c>
      <c r="AB53" s="68">
        <v>12</v>
      </c>
      <c r="AC53" s="68">
        <v>10</v>
      </c>
      <c r="AD53" s="68">
        <v>9</v>
      </c>
      <c r="AE53" s="153">
        <v>9</v>
      </c>
    </row>
    <row r="54" spans="1:32" ht="15" customHeight="1" x14ac:dyDescent="0.25">
      <c r="A54" s="163">
        <v>63</v>
      </c>
      <c r="B54" s="21" t="s">
        <v>68</v>
      </c>
      <c r="C54" s="74">
        <v>509</v>
      </c>
      <c r="D54" s="74">
        <v>550</v>
      </c>
      <c r="E54" s="74">
        <v>583</v>
      </c>
      <c r="F54" s="74">
        <v>611</v>
      </c>
      <c r="G54" s="74">
        <v>593</v>
      </c>
      <c r="H54" s="74">
        <v>602</v>
      </c>
      <c r="I54" s="74">
        <v>585</v>
      </c>
      <c r="J54" s="74">
        <v>639</v>
      </c>
      <c r="K54" s="74">
        <v>781</v>
      </c>
      <c r="L54" s="74">
        <v>885</v>
      </c>
      <c r="M54" s="74">
        <v>967</v>
      </c>
      <c r="N54" s="74">
        <v>1013</v>
      </c>
      <c r="O54" s="74">
        <v>1086</v>
      </c>
      <c r="P54" s="74">
        <v>1135</v>
      </c>
      <c r="Q54" s="74">
        <v>1180</v>
      </c>
      <c r="R54" s="74">
        <v>1256</v>
      </c>
      <c r="S54" s="74">
        <v>1294</v>
      </c>
      <c r="T54" s="74">
        <v>1319</v>
      </c>
      <c r="U54" s="74">
        <v>1292</v>
      </c>
      <c r="V54" s="74">
        <v>1334</v>
      </c>
      <c r="W54" s="74">
        <v>1329</v>
      </c>
      <c r="X54" s="74">
        <v>1336</v>
      </c>
      <c r="Y54" s="74">
        <v>1327</v>
      </c>
      <c r="Z54" s="74">
        <v>1331</v>
      </c>
      <c r="AA54" s="74">
        <v>1252</v>
      </c>
      <c r="AB54" s="74">
        <v>1233</v>
      </c>
      <c r="AC54" s="74">
        <v>1285</v>
      </c>
      <c r="AD54" s="74">
        <v>1305</v>
      </c>
      <c r="AE54" s="164">
        <v>1331</v>
      </c>
    </row>
    <row r="55" spans="1:32" ht="15" customHeight="1" thickBot="1" x14ac:dyDescent="0.3">
      <c r="A55" s="152">
        <v>64</v>
      </c>
      <c r="B55" s="15" t="s">
        <v>99</v>
      </c>
      <c r="C55" s="68">
        <v>348</v>
      </c>
      <c r="D55" s="68">
        <v>371</v>
      </c>
      <c r="E55" s="68">
        <v>397</v>
      </c>
      <c r="F55" s="68">
        <v>448</v>
      </c>
      <c r="G55" s="68">
        <v>443</v>
      </c>
      <c r="H55" s="68">
        <v>420</v>
      </c>
      <c r="I55" s="68">
        <v>390</v>
      </c>
      <c r="J55" s="68">
        <v>408</v>
      </c>
      <c r="K55" s="68">
        <v>457</v>
      </c>
      <c r="L55" s="68">
        <v>484</v>
      </c>
      <c r="M55" s="68">
        <v>468</v>
      </c>
      <c r="N55" s="68">
        <v>439</v>
      </c>
      <c r="O55" s="68">
        <v>422</v>
      </c>
      <c r="P55" s="68">
        <v>389</v>
      </c>
      <c r="Q55" s="68">
        <v>376</v>
      </c>
      <c r="R55" s="68">
        <v>366</v>
      </c>
      <c r="S55" s="68">
        <v>353</v>
      </c>
      <c r="T55" s="68">
        <v>347</v>
      </c>
      <c r="U55" s="68">
        <v>319</v>
      </c>
      <c r="V55" s="68">
        <v>331</v>
      </c>
      <c r="W55" s="68">
        <v>334</v>
      </c>
      <c r="X55" s="68">
        <v>321</v>
      </c>
      <c r="Y55" s="68">
        <v>305</v>
      </c>
      <c r="Z55" s="68">
        <v>296</v>
      </c>
      <c r="AA55" s="68">
        <v>290</v>
      </c>
      <c r="AB55" s="68">
        <v>297</v>
      </c>
      <c r="AC55" s="68">
        <v>314</v>
      </c>
      <c r="AD55" s="68">
        <v>301</v>
      </c>
      <c r="AE55" s="153">
        <v>295</v>
      </c>
    </row>
    <row r="56" spans="1:32" s="11" customFormat="1" ht="15" customHeight="1" thickBot="1" x14ac:dyDescent="0.3">
      <c r="A56" s="144" t="s">
        <v>70</v>
      </c>
      <c r="B56" s="9" t="s">
        <v>71</v>
      </c>
      <c r="C56" s="64">
        <v>642</v>
      </c>
      <c r="D56" s="64">
        <v>671</v>
      </c>
      <c r="E56" s="64">
        <v>702</v>
      </c>
      <c r="F56" s="64">
        <v>682</v>
      </c>
      <c r="G56" s="64">
        <v>653</v>
      </c>
      <c r="H56" s="64">
        <v>634</v>
      </c>
      <c r="I56" s="64">
        <v>594</v>
      </c>
      <c r="J56" s="64">
        <v>626</v>
      </c>
      <c r="K56" s="64">
        <v>773</v>
      </c>
      <c r="L56" s="64">
        <v>834</v>
      </c>
      <c r="M56" s="64">
        <v>888</v>
      </c>
      <c r="N56" s="64">
        <v>933</v>
      </c>
      <c r="O56" s="64">
        <v>985</v>
      </c>
      <c r="P56" s="64">
        <v>1010</v>
      </c>
      <c r="Q56" s="64">
        <v>1013</v>
      </c>
      <c r="R56" s="64">
        <v>1051</v>
      </c>
      <c r="S56" s="64">
        <v>1066</v>
      </c>
      <c r="T56" s="64">
        <v>1097</v>
      </c>
      <c r="U56" s="64">
        <v>1068</v>
      </c>
      <c r="V56" s="64">
        <v>1111</v>
      </c>
      <c r="W56" s="64">
        <v>1131</v>
      </c>
      <c r="X56" s="64">
        <v>1134</v>
      </c>
      <c r="Y56" s="64">
        <v>1133</v>
      </c>
      <c r="Z56" s="64">
        <v>1104</v>
      </c>
      <c r="AA56" s="64">
        <v>1060</v>
      </c>
      <c r="AB56" s="64">
        <v>1053</v>
      </c>
      <c r="AC56" s="64">
        <v>1059</v>
      </c>
      <c r="AD56" s="64">
        <v>1054</v>
      </c>
      <c r="AE56" s="145">
        <v>1058</v>
      </c>
      <c r="AF56" s="10"/>
    </row>
    <row r="57" spans="1:32" ht="15" customHeight="1" x14ac:dyDescent="0.25">
      <c r="A57" s="152">
        <v>65</v>
      </c>
      <c r="B57" s="15" t="s">
        <v>72</v>
      </c>
      <c r="C57" s="68">
        <v>251</v>
      </c>
      <c r="D57" s="68">
        <v>259</v>
      </c>
      <c r="E57" s="68">
        <v>273</v>
      </c>
      <c r="F57" s="68">
        <v>257</v>
      </c>
      <c r="G57" s="68">
        <v>238</v>
      </c>
      <c r="H57" s="68">
        <v>229</v>
      </c>
      <c r="I57" s="68">
        <v>209</v>
      </c>
      <c r="J57" s="68">
        <v>208</v>
      </c>
      <c r="K57" s="68">
        <v>219</v>
      </c>
      <c r="L57" s="68">
        <v>238</v>
      </c>
      <c r="M57" s="68">
        <v>243</v>
      </c>
      <c r="N57" s="68">
        <v>243</v>
      </c>
      <c r="O57" s="68">
        <v>254</v>
      </c>
      <c r="P57" s="68">
        <v>250</v>
      </c>
      <c r="Q57" s="68">
        <v>238</v>
      </c>
      <c r="R57" s="68">
        <v>256</v>
      </c>
      <c r="S57" s="68">
        <v>255</v>
      </c>
      <c r="T57" s="68">
        <v>257</v>
      </c>
      <c r="U57" s="68">
        <v>245</v>
      </c>
      <c r="V57" s="68">
        <v>254</v>
      </c>
      <c r="W57" s="68">
        <v>246</v>
      </c>
      <c r="X57" s="68">
        <v>244</v>
      </c>
      <c r="Y57" s="68">
        <v>240</v>
      </c>
      <c r="Z57" s="68">
        <v>226</v>
      </c>
      <c r="AA57" s="68">
        <v>212</v>
      </c>
      <c r="AB57" s="68">
        <v>211</v>
      </c>
      <c r="AC57" s="68">
        <v>208</v>
      </c>
      <c r="AD57" s="68">
        <v>210</v>
      </c>
      <c r="AE57" s="153">
        <v>201</v>
      </c>
    </row>
    <row r="58" spans="1:32" ht="15" customHeight="1" x14ac:dyDescent="0.25">
      <c r="A58" s="156">
        <v>66</v>
      </c>
      <c r="B58" s="17" t="s">
        <v>100</v>
      </c>
      <c r="C58" s="70">
        <v>113</v>
      </c>
      <c r="D58" s="70">
        <v>124</v>
      </c>
      <c r="E58" s="70">
        <v>132</v>
      </c>
      <c r="F58" s="70">
        <v>136</v>
      </c>
      <c r="G58" s="70">
        <v>133</v>
      </c>
      <c r="H58" s="70">
        <v>121</v>
      </c>
      <c r="I58" s="70">
        <v>120</v>
      </c>
      <c r="J58" s="70">
        <v>124</v>
      </c>
      <c r="K58" s="70">
        <v>136</v>
      </c>
      <c r="L58" s="70">
        <v>140</v>
      </c>
      <c r="M58" s="70">
        <v>144</v>
      </c>
      <c r="N58" s="70">
        <v>138</v>
      </c>
      <c r="O58" s="70">
        <v>129</v>
      </c>
      <c r="P58" s="70">
        <v>123</v>
      </c>
      <c r="Q58" s="70">
        <v>118</v>
      </c>
      <c r="R58" s="70">
        <v>115</v>
      </c>
      <c r="S58" s="70">
        <v>119</v>
      </c>
      <c r="T58" s="70">
        <v>117</v>
      </c>
      <c r="U58" s="70">
        <v>109</v>
      </c>
      <c r="V58" s="70">
        <v>112</v>
      </c>
      <c r="W58" s="70">
        <v>107</v>
      </c>
      <c r="X58" s="70">
        <v>105</v>
      </c>
      <c r="Y58" s="70">
        <v>101</v>
      </c>
      <c r="Z58" s="70">
        <v>97</v>
      </c>
      <c r="AA58" s="70">
        <v>96</v>
      </c>
      <c r="AB58" s="70">
        <v>100</v>
      </c>
      <c r="AC58" s="70">
        <v>99</v>
      </c>
      <c r="AD58" s="70">
        <v>93</v>
      </c>
      <c r="AE58" s="157">
        <v>94</v>
      </c>
    </row>
    <row r="59" spans="1:32" ht="15" customHeight="1" thickBot="1" x14ac:dyDescent="0.3">
      <c r="A59" s="152">
        <v>67</v>
      </c>
      <c r="B59" s="15" t="s">
        <v>74</v>
      </c>
      <c r="C59" s="68">
        <v>278</v>
      </c>
      <c r="D59" s="68">
        <v>288</v>
      </c>
      <c r="E59" s="68">
        <v>297</v>
      </c>
      <c r="F59" s="68">
        <v>289</v>
      </c>
      <c r="G59" s="68">
        <v>282</v>
      </c>
      <c r="H59" s="68">
        <v>284</v>
      </c>
      <c r="I59" s="68">
        <v>265</v>
      </c>
      <c r="J59" s="68">
        <v>294</v>
      </c>
      <c r="K59" s="68">
        <v>418</v>
      </c>
      <c r="L59" s="68">
        <v>456</v>
      </c>
      <c r="M59" s="68">
        <v>501</v>
      </c>
      <c r="N59" s="68">
        <v>552</v>
      </c>
      <c r="O59" s="68">
        <v>602</v>
      </c>
      <c r="P59" s="68">
        <v>637</v>
      </c>
      <c r="Q59" s="68">
        <v>657</v>
      </c>
      <c r="R59" s="68">
        <v>680</v>
      </c>
      <c r="S59" s="68">
        <v>692</v>
      </c>
      <c r="T59" s="68">
        <v>723</v>
      </c>
      <c r="U59" s="68">
        <v>714</v>
      </c>
      <c r="V59" s="68">
        <v>745</v>
      </c>
      <c r="W59" s="68">
        <v>778</v>
      </c>
      <c r="X59" s="68">
        <v>785</v>
      </c>
      <c r="Y59" s="68">
        <v>792</v>
      </c>
      <c r="Z59" s="68">
        <v>781</v>
      </c>
      <c r="AA59" s="68">
        <v>752</v>
      </c>
      <c r="AB59" s="68">
        <v>742</v>
      </c>
      <c r="AC59" s="68">
        <v>752</v>
      </c>
      <c r="AD59" s="68">
        <v>751</v>
      </c>
      <c r="AE59" s="153">
        <v>763</v>
      </c>
    </row>
    <row r="60" spans="1:32" s="11" customFormat="1" ht="15" customHeight="1" thickBot="1" x14ac:dyDescent="0.3">
      <c r="A60" s="144" t="s">
        <v>75</v>
      </c>
      <c r="B60" s="9" t="s">
        <v>76</v>
      </c>
      <c r="C60" s="64">
        <v>15513</v>
      </c>
      <c r="D60" s="64">
        <v>15685</v>
      </c>
      <c r="E60" s="64">
        <v>15949</v>
      </c>
      <c r="F60" s="64">
        <v>16192</v>
      </c>
      <c r="G60" s="64">
        <v>15879</v>
      </c>
      <c r="H60" s="64">
        <v>15576</v>
      </c>
      <c r="I60" s="64">
        <v>15084</v>
      </c>
      <c r="J60" s="64">
        <v>15869</v>
      </c>
      <c r="K60" s="64">
        <v>17766</v>
      </c>
      <c r="L60" s="64">
        <v>18819</v>
      </c>
      <c r="M60" s="64">
        <v>19552</v>
      </c>
      <c r="N60" s="64">
        <v>19911</v>
      </c>
      <c r="O60" s="64">
        <v>20175</v>
      </c>
      <c r="P60" s="64">
        <v>19823</v>
      </c>
      <c r="Q60" s="64">
        <v>19644</v>
      </c>
      <c r="R60" s="64">
        <v>19467</v>
      </c>
      <c r="S60" s="64">
        <v>19038</v>
      </c>
      <c r="T60" s="64">
        <v>18525</v>
      </c>
      <c r="U60" s="64">
        <v>18027</v>
      </c>
      <c r="V60" s="64">
        <v>17696</v>
      </c>
      <c r="W60" s="64">
        <v>17323</v>
      </c>
      <c r="X60" s="64">
        <v>17054</v>
      </c>
      <c r="Y60" s="64">
        <v>16499</v>
      </c>
      <c r="Z60" s="64">
        <v>15747</v>
      </c>
      <c r="AA60" s="64">
        <v>15023</v>
      </c>
      <c r="AB60" s="64">
        <v>14732</v>
      </c>
      <c r="AC60" s="64">
        <v>14466</v>
      </c>
      <c r="AD60" s="64">
        <v>13790</v>
      </c>
      <c r="AE60" s="145">
        <v>13191</v>
      </c>
      <c r="AF60" s="10"/>
    </row>
    <row r="61" spans="1:32" ht="15" customHeight="1" x14ac:dyDescent="0.25">
      <c r="A61" s="146">
        <v>70</v>
      </c>
      <c r="B61" s="12" t="s">
        <v>77</v>
      </c>
      <c r="C61" s="65">
        <v>9831</v>
      </c>
      <c r="D61" s="65">
        <v>9789</v>
      </c>
      <c r="E61" s="65">
        <v>9788</v>
      </c>
      <c r="F61" s="65">
        <v>9883</v>
      </c>
      <c r="G61" s="65">
        <v>9623</v>
      </c>
      <c r="H61" s="65">
        <v>9521</v>
      </c>
      <c r="I61" s="65">
        <v>9273</v>
      </c>
      <c r="J61" s="65">
        <v>9608</v>
      </c>
      <c r="K61" s="65">
        <v>10373</v>
      </c>
      <c r="L61" s="65">
        <v>10683</v>
      </c>
      <c r="M61" s="65">
        <v>10933</v>
      </c>
      <c r="N61" s="65">
        <v>10961</v>
      </c>
      <c r="O61" s="65">
        <v>10959</v>
      </c>
      <c r="P61" s="65">
        <v>10794</v>
      </c>
      <c r="Q61" s="65">
        <v>10652</v>
      </c>
      <c r="R61" s="65">
        <v>10488</v>
      </c>
      <c r="S61" s="65">
        <v>10234</v>
      </c>
      <c r="T61" s="65">
        <v>9895</v>
      </c>
      <c r="U61" s="65">
        <v>9594</v>
      </c>
      <c r="V61" s="65">
        <v>9365</v>
      </c>
      <c r="W61" s="65">
        <v>9111</v>
      </c>
      <c r="X61" s="65">
        <v>8895</v>
      </c>
      <c r="Y61" s="65">
        <v>8503</v>
      </c>
      <c r="Z61" s="65">
        <v>8102</v>
      </c>
      <c r="AA61" s="65">
        <v>7726</v>
      </c>
      <c r="AB61" s="65">
        <v>7455</v>
      </c>
      <c r="AC61" s="65">
        <v>7062</v>
      </c>
      <c r="AD61" s="65">
        <v>6581</v>
      </c>
      <c r="AE61" s="147">
        <v>6323</v>
      </c>
    </row>
    <row r="62" spans="1:32" ht="15" customHeight="1" x14ac:dyDescent="0.25">
      <c r="A62" s="156">
        <v>71</v>
      </c>
      <c r="B62" s="17" t="s">
        <v>78</v>
      </c>
      <c r="C62" s="70">
        <v>180</v>
      </c>
      <c r="D62" s="70">
        <v>187</v>
      </c>
      <c r="E62" s="70">
        <v>197</v>
      </c>
      <c r="F62" s="70">
        <v>195</v>
      </c>
      <c r="G62" s="70">
        <v>188</v>
      </c>
      <c r="H62" s="70">
        <v>179</v>
      </c>
      <c r="I62" s="70">
        <v>160</v>
      </c>
      <c r="J62" s="70">
        <v>171</v>
      </c>
      <c r="K62" s="70">
        <v>221</v>
      </c>
      <c r="L62" s="70">
        <v>239</v>
      </c>
      <c r="M62" s="70">
        <v>258</v>
      </c>
      <c r="N62" s="70">
        <v>256</v>
      </c>
      <c r="O62" s="70">
        <v>282</v>
      </c>
      <c r="P62" s="70">
        <v>275</v>
      </c>
      <c r="Q62" s="70">
        <v>247</v>
      </c>
      <c r="R62" s="70">
        <v>248</v>
      </c>
      <c r="S62" s="70">
        <v>251</v>
      </c>
      <c r="T62" s="70">
        <v>242</v>
      </c>
      <c r="U62" s="70">
        <v>237</v>
      </c>
      <c r="V62" s="70">
        <v>243</v>
      </c>
      <c r="W62" s="70">
        <v>245</v>
      </c>
      <c r="X62" s="70">
        <v>259</v>
      </c>
      <c r="Y62" s="70">
        <v>245</v>
      </c>
      <c r="Z62" s="70">
        <v>233</v>
      </c>
      <c r="AA62" s="70">
        <v>209</v>
      </c>
      <c r="AB62" s="70">
        <v>198</v>
      </c>
      <c r="AC62" s="70">
        <v>205</v>
      </c>
      <c r="AD62" s="70">
        <v>204</v>
      </c>
      <c r="AE62" s="157">
        <v>195</v>
      </c>
    </row>
    <row r="63" spans="1:32" ht="15" customHeight="1" x14ac:dyDescent="0.25">
      <c r="A63" s="156">
        <v>72</v>
      </c>
      <c r="B63" s="17" t="s">
        <v>79</v>
      </c>
      <c r="C63" s="70">
        <v>97</v>
      </c>
      <c r="D63" s="70">
        <v>119</v>
      </c>
      <c r="E63" s="70">
        <v>131</v>
      </c>
      <c r="F63" s="70">
        <v>132</v>
      </c>
      <c r="G63" s="70">
        <v>144</v>
      </c>
      <c r="H63" s="70">
        <v>151</v>
      </c>
      <c r="I63" s="70">
        <v>141</v>
      </c>
      <c r="J63" s="70">
        <v>163</v>
      </c>
      <c r="K63" s="70">
        <v>229</v>
      </c>
      <c r="L63" s="70">
        <v>281</v>
      </c>
      <c r="M63" s="70">
        <v>311</v>
      </c>
      <c r="N63" s="70">
        <v>341</v>
      </c>
      <c r="O63" s="70">
        <v>372</v>
      </c>
      <c r="P63" s="70">
        <v>380</v>
      </c>
      <c r="Q63" s="70">
        <v>411</v>
      </c>
      <c r="R63" s="70">
        <v>424</v>
      </c>
      <c r="S63" s="70">
        <v>402</v>
      </c>
      <c r="T63" s="70">
        <v>401</v>
      </c>
      <c r="U63" s="70">
        <v>424</v>
      </c>
      <c r="V63" s="70">
        <v>434</v>
      </c>
      <c r="W63" s="70">
        <v>475</v>
      </c>
      <c r="X63" s="70">
        <v>472</v>
      </c>
      <c r="Y63" s="70">
        <v>491</v>
      </c>
      <c r="Z63" s="70">
        <v>493</v>
      </c>
      <c r="AA63" s="70">
        <v>487</v>
      </c>
      <c r="AB63" s="70">
        <v>534</v>
      </c>
      <c r="AC63" s="70">
        <v>568</v>
      </c>
      <c r="AD63" s="70">
        <v>580</v>
      </c>
      <c r="AE63" s="157">
        <v>581</v>
      </c>
    </row>
    <row r="64" spans="1:32" ht="15" customHeight="1" x14ac:dyDescent="0.25">
      <c r="A64" s="156">
        <v>73</v>
      </c>
      <c r="B64" s="17" t="s">
        <v>80</v>
      </c>
      <c r="C64" s="70">
        <v>25</v>
      </c>
      <c r="D64" s="70">
        <v>22</v>
      </c>
      <c r="E64" s="70">
        <v>21</v>
      </c>
      <c r="F64" s="70">
        <v>23</v>
      </c>
      <c r="G64" s="70">
        <v>20</v>
      </c>
      <c r="H64" s="70">
        <v>25</v>
      </c>
      <c r="I64" s="70">
        <v>23</v>
      </c>
      <c r="J64" s="70">
        <v>28</v>
      </c>
      <c r="K64" s="70">
        <v>34</v>
      </c>
      <c r="L64" s="70">
        <v>38</v>
      </c>
      <c r="M64" s="70">
        <v>43</v>
      </c>
      <c r="N64" s="70">
        <v>41</v>
      </c>
      <c r="O64" s="70">
        <v>50</v>
      </c>
      <c r="P64" s="70">
        <v>46</v>
      </c>
      <c r="Q64" s="70">
        <v>46</v>
      </c>
      <c r="R64" s="70">
        <v>46</v>
      </c>
      <c r="S64" s="70">
        <v>49</v>
      </c>
      <c r="T64" s="70">
        <v>53</v>
      </c>
      <c r="U64" s="70">
        <v>56</v>
      </c>
      <c r="V64" s="70">
        <v>59</v>
      </c>
      <c r="W64" s="70">
        <v>60</v>
      </c>
      <c r="X64" s="70">
        <v>57</v>
      </c>
      <c r="Y64" s="70">
        <v>61</v>
      </c>
      <c r="Z64" s="70">
        <v>59</v>
      </c>
      <c r="AA64" s="70">
        <v>57</v>
      </c>
      <c r="AB64" s="70">
        <v>62</v>
      </c>
      <c r="AC64" s="70">
        <v>70</v>
      </c>
      <c r="AD64" s="70">
        <v>75</v>
      </c>
      <c r="AE64" s="157">
        <v>72</v>
      </c>
    </row>
    <row r="65" spans="1:32" ht="15" customHeight="1" x14ac:dyDescent="0.25">
      <c r="A65" s="156">
        <v>74</v>
      </c>
      <c r="B65" s="17" t="s">
        <v>81</v>
      </c>
      <c r="C65" s="70">
        <v>5358</v>
      </c>
      <c r="D65" s="70">
        <v>5543</v>
      </c>
      <c r="E65" s="70">
        <v>5782</v>
      </c>
      <c r="F65" s="70">
        <v>5917</v>
      </c>
      <c r="G65" s="70">
        <v>5866</v>
      </c>
      <c r="H65" s="70">
        <v>5666</v>
      </c>
      <c r="I65" s="70">
        <v>5451</v>
      </c>
      <c r="J65" s="70">
        <v>5858</v>
      </c>
      <c r="K65" s="70">
        <v>6868</v>
      </c>
      <c r="L65" s="70">
        <v>7540</v>
      </c>
      <c r="M65" s="70">
        <v>7971</v>
      </c>
      <c r="N65" s="70">
        <v>8276</v>
      </c>
      <c r="O65" s="70">
        <v>8470</v>
      </c>
      <c r="P65" s="70">
        <v>8282</v>
      </c>
      <c r="Q65" s="70">
        <v>8245</v>
      </c>
      <c r="R65" s="70">
        <v>8221</v>
      </c>
      <c r="S65" s="70">
        <v>8065</v>
      </c>
      <c r="T65" s="70">
        <v>7899</v>
      </c>
      <c r="U65" s="70">
        <v>7680</v>
      </c>
      <c r="V65" s="70">
        <v>7561</v>
      </c>
      <c r="W65" s="70">
        <v>7399</v>
      </c>
      <c r="X65" s="70">
        <v>7341</v>
      </c>
      <c r="Y65" s="70">
        <v>7172</v>
      </c>
      <c r="Z65" s="70">
        <v>6837</v>
      </c>
      <c r="AA65" s="70">
        <v>6520</v>
      </c>
      <c r="AB65" s="70">
        <v>6461</v>
      </c>
      <c r="AC65" s="70">
        <v>6540</v>
      </c>
      <c r="AD65" s="70">
        <v>6331</v>
      </c>
      <c r="AE65" s="157">
        <v>6000</v>
      </c>
    </row>
    <row r="66" spans="1:32" ht="15" customHeight="1" thickBot="1" x14ac:dyDescent="0.3">
      <c r="A66" s="158">
        <v>75</v>
      </c>
      <c r="B66" s="18" t="s">
        <v>185</v>
      </c>
      <c r="C66" s="71">
        <v>22</v>
      </c>
      <c r="D66" s="71">
        <v>25</v>
      </c>
      <c r="E66" s="71">
        <v>30</v>
      </c>
      <c r="F66" s="71">
        <v>42</v>
      </c>
      <c r="G66" s="71">
        <v>38</v>
      </c>
      <c r="H66" s="71">
        <v>34</v>
      </c>
      <c r="I66" s="71">
        <v>36</v>
      </c>
      <c r="J66" s="71">
        <v>41</v>
      </c>
      <c r="K66" s="71">
        <v>41</v>
      </c>
      <c r="L66" s="71">
        <v>38</v>
      </c>
      <c r="M66" s="71">
        <v>36</v>
      </c>
      <c r="N66" s="71">
        <v>36</v>
      </c>
      <c r="O66" s="71">
        <v>42</v>
      </c>
      <c r="P66" s="71">
        <v>46</v>
      </c>
      <c r="Q66" s="71">
        <v>43</v>
      </c>
      <c r="R66" s="71">
        <v>40</v>
      </c>
      <c r="S66" s="71">
        <v>37</v>
      </c>
      <c r="T66" s="71">
        <v>35</v>
      </c>
      <c r="U66" s="71">
        <v>36</v>
      </c>
      <c r="V66" s="71">
        <v>34</v>
      </c>
      <c r="W66" s="71">
        <v>33</v>
      </c>
      <c r="X66" s="71">
        <v>30</v>
      </c>
      <c r="Y66" s="71">
        <v>27</v>
      </c>
      <c r="Z66" s="71">
        <v>23</v>
      </c>
      <c r="AA66" s="71">
        <v>24</v>
      </c>
      <c r="AB66" s="71">
        <v>22</v>
      </c>
      <c r="AC66" s="71">
        <v>21</v>
      </c>
      <c r="AD66" s="71">
        <v>19</v>
      </c>
      <c r="AE66" s="159">
        <v>20</v>
      </c>
    </row>
    <row r="67" spans="1:32" s="11" customFormat="1" ht="15" customHeight="1" thickBot="1" x14ac:dyDescent="0.3">
      <c r="A67" s="160" t="s">
        <v>83</v>
      </c>
      <c r="B67" s="19" t="s">
        <v>84</v>
      </c>
      <c r="C67" s="64">
        <v>918</v>
      </c>
      <c r="D67" s="64">
        <v>1069</v>
      </c>
      <c r="E67" s="64">
        <v>1115</v>
      </c>
      <c r="F67" s="64">
        <v>1151</v>
      </c>
      <c r="G67" s="64">
        <v>1092</v>
      </c>
      <c r="H67" s="64">
        <v>1094</v>
      </c>
      <c r="I67" s="64">
        <v>1087</v>
      </c>
      <c r="J67" s="64">
        <v>1113</v>
      </c>
      <c r="K67" s="64">
        <v>1199</v>
      </c>
      <c r="L67" s="64">
        <v>1263</v>
      </c>
      <c r="M67" s="64">
        <v>1325</v>
      </c>
      <c r="N67" s="64">
        <v>1357</v>
      </c>
      <c r="O67" s="64">
        <v>1379</v>
      </c>
      <c r="P67" s="64">
        <v>1392</v>
      </c>
      <c r="Q67" s="64">
        <v>1401</v>
      </c>
      <c r="R67" s="64">
        <v>1401</v>
      </c>
      <c r="S67" s="64">
        <v>1409</v>
      </c>
      <c r="T67" s="64">
        <v>1388</v>
      </c>
      <c r="U67" s="64">
        <v>1377</v>
      </c>
      <c r="V67" s="64">
        <v>1360</v>
      </c>
      <c r="W67" s="64">
        <v>1376</v>
      </c>
      <c r="X67" s="64">
        <v>1363</v>
      </c>
      <c r="Y67" s="64">
        <v>1358</v>
      </c>
      <c r="Z67" s="64">
        <v>1348</v>
      </c>
      <c r="AA67" s="64">
        <v>1263</v>
      </c>
      <c r="AB67" s="64">
        <v>1249</v>
      </c>
      <c r="AC67" s="64">
        <v>1282</v>
      </c>
      <c r="AD67" s="64">
        <v>1327</v>
      </c>
      <c r="AE67" s="145">
        <v>1242</v>
      </c>
      <c r="AF67" s="10"/>
    </row>
    <row r="68" spans="1:32" ht="15" customHeight="1" thickBot="1" x14ac:dyDescent="0.3">
      <c r="A68" s="150">
        <v>80</v>
      </c>
      <c r="B68" s="14" t="s">
        <v>85</v>
      </c>
      <c r="C68" s="70">
        <v>918</v>
      </c>
      <c r="D68" s="67">
        <v>1069</v>
      </c>
      <c r="E68" s="67">
        <v>1115</v>
      </c>
      <c r="F68" s="67">
        <v>1151</v>
      </c>
      <c r="G68" s="67">
        <v>1092</v>
      </c>
      <c r="H68" s="67">
        <v>1094</v>
      </c>
      <c r="I68" s="67">
        <v>1087</v>
      </c>
      <c r="J68" s="67">
        <v>1113</v>
      </c>
      <c r="K68" s="67">
        <v>1199</v>
      </c>
      <c r="L68" s="67">
        <v>1263</v>
      </c>
      <c r="M68" s="67">
        <v>1325</v>
      </c>
      <c r="N68" s="67">
        <v>1357</v>
      </c>
      <c r="O68" s="67">
        <v>1379</v>
      </c>
      <c r="P68" s="67">
        <v>1392</v>
      </c>
      <c r="Q68" s="67">
        <v>1401</v>
      </c>
      <c r="R68" s="67">
        <v>1401</v>
      </c>
      <c r="S68" s="67">
        <v>1409</v>
      </c>
      <c r="T68" s="67">
        <v>1388</v>
      </c>
      <c r="U68" s="67">
        <v>1377</v>
      </c>
      <c r="V68" s="67">
        <v>1360</v>
      </c>
      <c r="W68" s="67">
        <v>1376</v>
      </c>
      <c r="X68" s="67">
        <v>1363</v>
      </c>
      <c r="Y68" s="67">
        <v>1358</v>
      </c>
      <c r="Z68" s="67">
        <v>1348</v>
      </c>
      <c r="AA68" s="67">
        <v>1263</v>
      </c>
      <c r="AB68" s="67">
        <v>1249</v>
      </c>
      <c r="AC68" s="67">
        <v>1282</v>
      </c>
      <c r="AD68" s="67">
        <v>1327</v>
      </c>
      <c r="AE68" s="151">
        <v>1242</v>
      </c>
    </row>
    <row r="69" spans="1:32" s="11" customFormat="1" ht="15" customHeight="1" thickBot="1" x14ac:dyDescent="0.3">
      <c r="A69" s="144" t="s">
        <v>86</v>
      </c>
      <c r="B69" s="9" t="s">
        <v>87</v>
      </c>
      <c r="C69" s="64">
        <v>2789</v>
      </c>
      <c r="D69" s="64">
        <v>2857</v>
      </c>
      <c r="E69" s="64">
        <v>2978</v>
      </c>
      <c r="F69" s="64">
        <v>3054</v>
      </c>
      <c r="G69" s="64">
        <v>3045</v>
      </c>
      <c r="H69" s="64">
        <v>3051</v>
      </c>
      <c r="I69" s="64">
        <v>2973</v>
      </c>
      <c r="J69" s="64">
        <v>3086</v>
      </c>
      <c r="K69" s="64">
        <v>3413</v>
      </c>
      <c r="L69" s="64">
        <v>3746</v>
      </c>
      <c r="M69" s="64">
        <v>4004</v>
      </c>
      <c r="N69" s="64">
        <v>4279</v>
      </c>
      <c r="O69" s="64">
        <v>4535</v>
      </c>
      <c r="P69" s="64">
        <v>4691</v>
      </c>
      <c r="Q69" s="64">
        <v>4786</v>
      </c>
      <c r="R69" s="64">
        <v>4946</v>
      </c>
      <c r="S69" s="64">
        <v>4959</v>
      </c>
      <c r="T69" s="64">
        <v>5015</v>
      </c>
      <c r="U69" s="64">
        <v>5032</v>
      </c>
      <c r="V69" s="64">
        <v>5147</v>
      </c>
      <c r="W69" s="64">
        <v>5155</v>
      </c>
      <c r="X69" s="64">
        <v>5203</v>
      </c>
      <c r="Y69" s="64">
        <v>5191</v>
      </c>
      <c r="Z69" s="64">
        <v>5105</v>
      </c>
      <c r="AA69" s="64">
        <v>4941</v>
      </c>
      <c r="AB69" s="64">
        <v>4937</v>
      </c>
      <c r="AC69" s="64">
        <v>5055</v>
      </c>
      <c r="AD69" s="64">
        <v>4884</v>
      </c>
      <c r="AE69" s="145">
        <v>4702</v>
      </c>
      <c r="AF69" s="10"/>
    </row>
    <row r="70" spans="1:32" ht="15" customHeight="1" thickBot="1" x14ac:dyDescent="0.3">
      <c r="A70" s="150">
        <v>85</v>
      </c>
      <c r="B70" s="14" t="s">
        <v>88</v>
      </c>
      <c r="C70" s="67">
        <v>2789</v>
      </c>
      <c r="D70" s="67">
        <v>2857</v>
      </c>
      <c r="E70" s="67">
        <v>2978</v>
      </c>
      <c r="F70" s="67">
        <v>3054</v>
      </c>
      <c r="G70" s="67">
        <v>3045</v>
      </c>
      <c r="H70" s="67">
        <v>3051</v>
      </c>
      <c r="I70" s="67">
        <v>2973</v>
      </c>
      <c r="J70" s="67">
        <v>3086</v>
      </c>
      <c r="K70" s="67">
        <v>3413</v>
      </c>
      <c r="L70" s="67">
        <v>3746</v>
      </c>
      <c r="M70" s="67">
        <v>4004</v>
      </c>
      <c r="N70" s="67">
        <v>4279</v>
      </c>
      <c r="O70" s="67">
        <v>4535</v>
      </c>
      <c r="P70" s="67">
        <v>4691</v>
      </c>
      <c r="Q70" s="67">
        <v>4786</v>
      </c>
      <c r="R70" s="67">
        <v>4946</v>
      </c>
      <c r="S70" s="67">
        <v>4959</v>
      </c>
      <c r="T70" s="67">
        <v>5015</v>
      </c>
      <c r="U70" s="67">
        <v>5032</v>
      </c>
      <c r="V70" s="67">
        <v>5147</v>
      </c>
      <c r="W70" s="67">
        <v>5155</v>
      </c>
      <c r="X70" s="67">
        <v>5203</v>
      </c>
      <c r="Y70" s="67">
        <v>5191</v>
      </c>
      <c r="Z70" s="67">
        <v>5105</v>
      </c>
      <c r="AA70" s="67">
        <v>4941</v>
      </c>
      <c r="AB70" s="67">
        <v>4937</v>
      </c>
      <c r="AC70" s="67">
        <v>5055</v>
      </c>
      <c r="AD70" s="67">
        <v>4884</v>
      </c>
      <c r="AE70" s="151">
        <v>4702</v>
      </c>
    </row>
    <row r="71" spans="1:32" s="11" customFormat="1" ht="15" customHeight="1" thickBot="1" x14ac:dyDescent="0.3">
      <c r="A71" s="144" t="s">
        <v>89</v>
      </c>
      <c r="B71" s="9" t="s">
        <v>90</v>
      </c>
      <c r="C71" s="64">
        <v>5819</v>
      </c>
      <c r="D71" s="64">
        <v>5869</v>
      </c>
      <c r="E71" s="64">
        <v>5895</v>
      </c>
      <c r="F71" s="64">
        <v>5904</v>
      </c>
      <c r="G71" s="64">
        <v>5730</v>
      </c>
      <c r="H71" s="64">
        <v>5613</v>
      </c>
      <c r="I71" s="64">
        <v>5419</v>
      </c>
      <c r="J71" s="64">
        <v>5847</v>
      </c>
      <c r="K71" s="64">
        <v>7384</v>
      </c>
      <c r="L71" s="64">
        <v>7902</v>
      </c>
      <c r="M71" s="64">
        <v>8206</v>
      </c>
      <c r="N71" s="64">
        <v>8236</v>
      </c>
      <c r="O71" s="64">
        <v>8361</v>
      </c>
      <c r="P71" s="64">
        <v>8316</v>
      </c>
      <c r="Q71" s="64">
        <v>8403</v>
      </c>
      <c r="R71" s="64">
        <v>8381</v>
      </c>
      <c r="S71" s="64">
        <v>8224</v>
      </c>
      <c r="T71" s="64">
        <v>7943</v>
      </c>
      <c r="U71" s="64">
        <v>7784</v>
      </c>
      <c r="V71" s="64">
        <v>7767</v>
      </c>
      <c r="W71" s="64">
        <v>7704</v>
      </c>
      <c r="X71" s="64">
        <v>7546</v>
      </c>
      <c r="Y71" s="64">
        <v>7235</v>
      </c>
      <c r="Z71" s="64">
        <v>6848</v>
      </c>
      <c r="AA71" s="64">
        <v>6341</v>
      </c>
      <c r="AB71" s="64">
        <v>6144</v>
      </c>
      <c r="AC71" s="64">
        <v>6241</v>
      </c>
      <c r="AD71" s="64">
        <v>6034</v>
      </c>
      <c r="AE71" s="145">
        <v>5763</v>
      </c>
      <c r="AF71" s="10"/>
    </row>
    <row r="72" spans="1:32" ht="15" customHeight="1" x14ac:dyDescent="0.25">
      <c r="A72" s="146">
        <v>90</v>
      </c>
      <c r="B72" s="12" t="s">
        <v>91</v>
      </c>
      <c r="C72" s="65">
        <v>131</v>
      </c>
      <c r="D72" s="65">
        <v>123</v>
      </c>
      <c r="E72" s="65">
        <v>113</v>
      </c>
      <c r="F72" s="65">
        <v>110</v>
      </c>
      <c r="G72" s="65">
        <v>103</v>
      </c>
      <c r="H72" s="65">
        <v>99</v>
      </c>
      <c r="I72" s="65">
        <v>88</v>
      </c>
      <c r="J72" s="65">
        <v>96</v>
      </c>
      <c r="K72" s="65">
        <v>102</v>
      </c>
      <c r="L72" s="65">
        <v>102</v>
      </c>
      <c r="M72" s="65">
        <v>111</v>
      </c>
      <c r="N72" s="65">
        <v>111</v>
      </c>
      <c r="O72" s="65">
        <v>110</v>
      </c>
      <c r="P72" s="65">
        <v>108</v>
      </c>
      <c r="Q72" s="65">
        <v>114</v>
      </c>
      <c r="R72" s="65">
        <v>115</v>
      </c>
      <c r="S72" s="65">
        <v>112</v>
      </c>
      <c r="T72" s="65">
        <v>113</v>
      </c>
      <c r="U72" s="65">
        <v>120</v>
      </c>
      <c r="V72" s="65">
        <v>122</v>
      </c>
      <c r="W72" s="65">
        <v>119</v>
      </c>
      <c r="X72" s="65">
        <v>127</v>
      </c>
      <c r="Y72" s="65">
        <v>134</v>
      </c>
      <c r="Z72" s="65">
        <v>127</v>
      </c>
      <c r="AA72" s="65">
        <v>129</v>
      </c>
      <c r="AB72" s="65">
        <v>140</v>
      </c>
      <c r="AC72" s="65">
        <v>138</v>
      </c>
      <c r="AD72" s="65">
        <v>133</v>
      </c>
      <c r="AE72" s="147">
        <v>134</v>
      </c>
    </row>
    <row r="73" spans="1:32" ht="15" customHeight="1" x14ac:dyDescent="0.25">
      <c r="A73" s="156">
        <v>91</v>
      </c>
      <c r="B73" s="17" t="s">
        <v>92</v>
      </c>
      <c r="C73" s="70">
        <v>2058</v>
      </c>
      <c r="D73" s="70">
        <v>2162</v>
      </c>
      <c r="E73" s="70">
        <v>2246</v>
      </c>
      <c r="F73" s="70">
        <v>2353</v>
      </c>
      <c r="G73" s="70">
        <v>2341</v>
      </c>
      <c r="H73" s="70">
        <v>2422</v>
      </c>
      <c r="I73" s="70">
        <v>2407</v>
      </c>
      <c r="J73" s="70">
        <v>2467</v>
      </c>
      <c r="K73" s="70">
        <v>2548</v>
      </c>
      <c r="L73" s="70">
        <v>2628</v>
      </c>
      <c r="M73" s="70">
        <v>2690</v>
      </c>
      <c r="N73" s="70">
        <v>2750</v>
      </c>
      <c r="O73" s="70">
        <v>2778</v>
      </c>
      <c r="P73" s="70">
        <v>2782</v>
      </c>
      <c r="Q73" s="70">
        <v>2808</v>
      </c>
      <c r="R73" s="70">
        <v>2844</v>
      </c>
      <c r="S73" s="70">
        <v>2853</v>
      </c>
      <c r="T73" s="70">
        <v>2832</v>
      </c>
      <c r="U73" s="70">
        <v>2803</v>
      </c>
      <c r="V73" s="70">
        <v>2802</v>
      </c>
      <c r="W73" s="70">
        <v>2819</v>
      </c>
      <c r="X73" s="70">
        <v>2794</v>
      </c>
      <c r="Y73" s="70">
        <v>2767</v>
      </c>
      <c r="Z73" s="70">
        <v>2714</v>
      </c>
      <c r="AA73" s="70">
        <v>2631</v>
      </c>
      <c r="AB73" s="70">
        <v>2582</v>
      </c>
      <c r="AC73" s="70">
        <v>2564</v>
      </c>
      <c r="AD73" s="70">
        <v>2489</v>
      </c>
      <c r="AE73" s="157">
        <v>2422</v>
      </c>
    </row>
    <row r="74" spans="1:32" ht="15" customHeight="1" x14ac:dyDescent="0.25">
      <c r="A74" s="156">
        <v>92</v>
      </c>
      <c r="B74" s="17" t="s">
        <v>93</v>
      </c>
      <c r="C74" s="70">
        <v>1163</v>
      </c>
      <c r="D74" s="70">
        <v>1153</v>
      </c>
      <c r="E74" s="70">
        <v>1132</v>
      </c>
      <c r="F74" s="70">
        <v>1135</v>
      </c>
      <c r="G74" s="70">
        <v>1144</v>
      </c>
      <c r="H74" s="70">
        <v>1117</v>
      </c>
      <c r="I74" s="70">
        <v>1099</v>
      </c>
      <c r="J74" s="70">
        <v>1186</v>
      </c>
      <c r="K74" s="70">
        <v>1485</v>
      </c>
      <c r="L74" s="70">
        <v>1626</v>
      </c>
      <c r="M74" s="70">
        <v>1755</v>
      </c>
      <c r="N74" s="70">
        <v>1858</v>
      </c>
      <c r="O74" s="70">
        <v>2012</v>
      </c>
      <c r="P74" s="70">
        <v>2078</v>
      </c>
      <c r="Q74" s="70">
        <v>2151</v>
      </c>
      <c r="R74" s="70">
        <v>2232</v>
      </c>
      <c r="S74" s="70">
        <v>2261</v>
      </c>
      <c r="T74" s="70">
        <v>2274</v>
      </c>
      <c r="U74" s="70">
        <v>2292</v>
      </c>
      <c r="V74" s="70">
        <v>2342</v>
      </c>
      <c r="W74" s="70">
        <v>2344</v>
      </c>
      <c r="X74" s="70">
        <v>2323</v>
      </c>
      <c r="Y74" s="70">
        <v>2271</v>
      </c>
      <c r="Z74" s="70">
        <v>2180</v>
      </c>
      <c r="AA74" s="70">
        <v>2025</v>
      </c>
      <c r="AB74" s="70">
        <v>1977</v>
      </c>
      <c r="AC74" s="70">
        <v>2065</v>
      </c>
      <c r="AD74" s="70">
        <v>2009</v>
      </c>
      <c r="AE74" s="157">
        <v>1928</v>
      </c>
    </row>
    <row r="75" spans="1:32" ht="15" customHeight="1" thickBot="1" x14ac:dyDescent="0.3">
      <c r="A75" s="158">
        <v>93</v>
      </c>
      <c r="B75" s="18" t="s">
        <v>94</v>
      </c>
      <c r="C75" s="76">
        <v>2467</v>
      </c>
      <c r="D75" s="76">
        <v>2431</v>
      </c>
      <c r="E75" s="76">
        <v>2404</v>
      </c>
      <c r="F75" s="76">
        <v>2306</v>
      </c>
      <c r="G75" s="76">
        <v>2142</v>
      </c>
      <c r="H75" s="76">
        <v>1975</v>
      </c>
      <c r="I75" s="76">
        <v>1825</v>
      </c>
      <c r="J75" s="76">
        <v>2098</v>
      </c>
      <c r="K75" s="76">
        <v>3249</v>
      </c>
      <c r="L75" s="76">
        <v>3546</v>
      </c>
      <c r="M75" s="76">
        <v>3650</v>
      </c>
      <c r="N75" s="76">
        <v>3517</v>
      </c>
      <c r="O75" s="76">
        <v>3461</v>
      </c>
      <c r="P75" s="76">
        <v>3348</v>
      </c>
      <c r="Q75" s="76">
        <v>3330</v>
      </c>
      <c r="R75" s="76">
        <v>3190</v>
      </c>
      <c r="S75" s="76">
        <v>2998</v>
      </c>
      <c r="T75" s="76">
        <v>2724</v>
      </c>
      <c r="U75" s="76">
        <v>2569</v>
      </c>
      <c r="V75" s="76">
        <v>2501</v>
      </c>
      <c r="W75" s="76">
        <v>2422</v>
      </c>
      <c r="X75" s="76">
        <v>2302</v>
      </c>
      <c r="Y75" s="76">
        <v>2063</v>
      </c>
      <c r="Z75" s="76">
        <v>1827</v>
      </c>
      <c r="AA75" s="76">
        <v>1556</v>
      </c>
      <c r="AB75" s="76">
        <v>1445</v>
      </c>
      <c r="AC75" s="76">
        <v>1474</v>
      </c>
      <c r="AD75" s="76">
        <v>1403</v>
      </c>
      <c r="AE75" s="165">
        <v>1279</v>
      </c>
    </row>
    <row r="76" spans="1:32" s="23" customFormat="1" ht="15" customHeight="1" thickBot="1" x14ac:dyDescent="0.3">
      <c r="A76" s="166"/>
      <c r="B76" s="167" t="s">
        <v>95</v>
      </c>
      <c r="C76" s="168">
        <v>72870</v>
      </c>
      <c r="D76" s="168">
        <v>73913</v>
      </c>
      <c r="E76" s="168">
        <v>74581</v>
      </c>
      <c r="F76" s="168">
        <v>74914</v>
      </c>
      <c r="G76" s="168">
        <v>72722</v>
      </c>
      <c r="H76" s="168">
        <v>69796</v>
      </c>
      <c r="I76" s="168">
        <v>67125</v>
      </c>
      <c r="J76" s="168">
        <v>72580</v>
      </c>
      <c r="K76" s="168">
        <v>84408</v>
      </c>
      <c r="L76" s="168">
        <v>92019</v>
      </c>
      <c r="M76" s="168">
        <v>98491</v>
      </c>
      <c r="N76" s="168">
        <v>103524</v>
      </c>
      <c r="O76" s="168">
        <v>107767</v>
      </c>
      <c r="P76" s="168">
        <v>107761</v>
      </c>
      <c r="Q76" s="168">
        <v>109195</v>
      </c>
      <c r="R76" s="168">
        <v>111002</v>
      </c>
      <c r="S76" s="168">
        <v>111325</v>
      </c>
      <c r="T76" s="168">
        <v>110531</v>
      </c>
      <c r="U76" s="168">
        <v>109564</v>
      </c>
      <c r="V76" s="168">
        <v>109519</v>
      </c>
      <c r="W76" s="168">
        <v>109171</v>
      </c>
      <c r="X76" s="168">
        <v>109062</v>
      </c>
      <c r="Y76" s="168">
        <v>106086</v>
      </c>
      <c r="Z76" s="168">
        <v>102705</v>
      </c>
      <c r="AA76" s="168">
        <v>98354</v>
      </c>
      <c r="AB76" s="168">
        <v>98928</v>
      </c>
      <c r="AC76" s="168">
        <v>102380</v>
      </c>
      <c r="AD76" s="168">
        <v>100504</v>
      </c>
      <c r="AE76" s="169">
        <v>97912</v>
      </c>
      <c r="AF76" s="22"/>
    </row>
    <row r="77" spans="1:32" ht="12" customHeight="1" x14ac:dyDescent="0.25">
      <c r="A77" s="7"/>
      <c r="B77" s="7" t="s">
        <v>153</v>
      </c>
      <c r="C77" s="7"/>
      <c r="D77" s="7"/>
      <c r="E77" s="24"/>
      <c r="F77" s="7"/>
      <c r="G77" s="25"/>
      <c r="H77" s="7"/>
      <c r="I77" s="7"/>
      <c r="J77" s="7"/>
      <c r="K77" s="7"/>
      <c r="L77" s="7"/>
      <c r="M77" s="7"/>
      <c r="N77" s="7"/>
      <c r="O77" s="7"/>
      <c r="P77" s="7"/>
      <c r="Q77" s="7"/>
      <c r="R77" s="7"/>
      <c r="S77" s="7"/>
      <c r="T77" s="7"/>
      <c r="U77" s="7"/>
      <c r="V77" s="7"/>
      <c r="W77" s="7"/>
      <c r="X77" s="7"/>
      <c r="Y77" s="7"/>
      <c r="Z77" s="7"/>
      <c r="AA77" s="7"/>
      <c r="AB77" s="7"/>
      <c r="AC77" s="7"/>
      <c r="AD77" s="7"/>
      <c r="AE77" s="7"/>
    </row>
    <row r="78" spans="1:32" ht="11.25" x14ac:dyDescent="0.25">
      <c r="A78" s="307" t="s">
        <v>96</v>
      </c>
      <c r="B78" s="307"/>
      <c r="C78" s="277"/>
      <c r="D78" s="277"/>
      <c r="E78" s="277"/>
      <c r="F78" s="26"/>
      <c r="G78" s="26"/>
      <c r="H78" s="7"/>
      <c r="I78" s="7"/>
      <c r="J78" s="7"/>
      <c r="K78" s="7"/>
      <c r="L78" s="7"/>
      <c r="M78" s="7"/>
      <c r="N78" s="7"/>
      <c r="O78" s="7"/>
      <c r="P78" s="7"/>
      <c r="Q78" s="7"/>
      <c r="R78" s="7"/>
      <c r="S78" s="7"/>
      <c r="T78" s="7"/>
      <c r="U78" s="7"/>
      <c r="V78" s="7"/>
      <c r="W78" s="7"/>
      <c r="X78" s="7"/>
      <c r="Y78" s="7"/>
      <c r="Z78" s="7"/>
      <c r="AA78" s="7"/>
      <c r="AB78" s="7"/>
      <c r="AC78" s="7"/>
      <c r="AD78" s="7"/>
      <c r="AE78" s="7"/>
    </row>
    <row r="79" spans="1:32" ht="26.45" customHeight="1" x14ac:dyDescent="0.25">
      <c r="A79" s="307" t="s">
        <v>381</v>
      </c>
      <c r="B79" s="307"/>
      <c r="C79" s="307"/>
      <c r="D79" s="277"/>
      <c r="E79" s="277"/>
      <c r="F79" s="277"/>
      <c r="G79" s="277"/>
      <c r="H79" s="27"/>
      <c r="I79" s="27"/>
      <c r="J79" s="27"/>
      <c r="K79" s="27"/>
      <c r="L79" s="7"/>
      <c r="M79" s="7"/>
      <c r="N79" s="7"/>
      <c r="O79" s="7"/>
      <c r="P79" s="7"/>
      <c r="Q79" s="7"/>
      <c r="R79" s="7"/>
      <c r="S79" s="7"/>
      <c r="T79" s="7"/>
      <c r="U79" s="7"/>
      <c r="V79" s="7"/>
      <c r="W79" s="7"/>
      <c r="X79" s="7"/>
      <c r="Y79" s="7"/>
      <c r="Z79" s="7"/>
      <c r="AA79" s="7"/>
      <c r="AB79" s="7"/>
      <c r="AC79" s="7"/>
      <c r="AD79" s="7"/>
      <c r="AE79" s="7"/>
    </row>
    <row r="80" spans="1:32" ht="26.45" customHeight="1" x14ac:dyDescent="0.25">
      <c r="A80" s="307" t="s">
        <v>382</v>
      </c>
      <c r="B80" s="307"/>
      <c r="C80" s="307"/>
      <c r="D80" s="277"/>
      <c r="E80" s="277"/>
      <c r="F80" s="277"/>
      <c r="G80" s="277"/>
      <c r="H80" s="27"/>
      <c r="I80" s="27"/>
      <c r="J80" s="27"/>
      <c r="K80" s="27"/>
      <c r="L80" s="7"/>
      <c r="M80" s="7"/>
      <c r="N80" s="7"/>
      <c r="O80" s="7"/>
      <c r="P80" s="7"/>
      <c r="Q80" s="7"/>
      <c r="R80" s="7"/>
      <c r="S80" s="7"/>
      <c r="T80" s="7"/>
      <c r="U80" s="7"/>
      <c r="V80" s="7"/>
      <c r="W80" s="7"/>
      <c r="X80" s="7"/>
      <c r="Y80" s="7"/>
      <c r="Z80" s="7"/>
      <c r="AA80" s="7"/>
      <c r="AB80" s="7"/>
      <c r="AC80" s="7"/>
      <c r="AD80" s="7"/>
      <c r="AE80" s="7"/>
    </row>
    <row r="81" spans="1:32" ht="26.45" customHeight="1" x14ac:dyDescent="0.25">
      <c r="A81" s="307" t="s">
        <v>151</v>
      </c>
      <c r="B81" s="307"/>
      <c r="C81" s="307"/>
      <c r="D81" s="277"/>
      <c r="E81" s="277"/>
      <c r="F81" s="277"/>
      <c r="G81" s="277"/>
      <c r="H81" s="27"/>
      <c r="I81" s="27"/>
      <c r="J81" s="27"/>
      <c r="K81" s="27"/>
      <c r="L81" s="7"/>
      <c r="M81" s="7"/>
      <c r="N81" s="7"/>
      <c r="O81" s="7"/>
      <c r="P81" s="7"/>
      <c r="Q81" s="7"/>
      <c r="R81" s="7"/>
      <c r="S81" s="7"/>
      <c r="T81" s="7"/>
      <c r="U81" s="7"/>
      <c r="V81" s="7"/>
      <c r="W81" s="7"/>
      <c r="X81" s="7"/>
      <c r="Y81" s="7"/>
      <c r="Z81" s="7"/>
      <c r="AA81" s="7"/>
      <c r="AB81" s="7"/>
      <c r="AC81" s="7"/>
      <c r="AD81" s="7"/>
      <c r="AE81" s="7"/>
    </row>
    <row r="82" spans="1:32" ht="46.5" customHeight="1" x14ac:dyDescent="0.25">
      <c r="A82" s="307" t="s">
        <v>384</v>
      </c>
      <c r="B82" s="307"/>
      <c r="C82" s="307"/>
      <c r="D82" s="307"/>
      <c r="E82" s="307"/>
      <c r="F82" s="307"/>
      <c r="G82" s="307"/>
      <c r="H82" s="28"/>
      <c r="I82" s="28"/>
      <c r="J82" s="28"/>
      <c r="K82" s="29"/>
      <c r="L82" s="29"/>
      <c r="M82" s="29"/>
      <c r="N82" s="29"/>
      <c r="O82" s="29"/>
      <c r="P82" s="29"/>
      <c r="Q82" s="29"/>
      <c r="R82" s="29"/>
      <c r="S82" s="29"/>
      <c r="T82" s="29"/>
      <c r="U82" s="29"/>
      <c r="V82" s="29"/>
      <c r="W82" s="29"/>
      <c r="X82" s="29"/>
      <c r="Y82" s="29"/>
      <c r="Z82" s="29"/>
      <c r="AA82" s="29"/>
      <c r="AB82" s="29"/>
      <c r="AC82" s="29"/>
      <c r="AD82" s="29"/>
      <c r="AE82" s="29"/>
      <c r="AF82" s="29"/>
    </row>
    <row r="83" spans="1:32" ht="19.899999999999999" customHeight="1" x14ac:dyDescent="0.25">
      <c r="A83" s="276"/>
      <c r="B83" s="276"/>
      <c r="C83" s="276"/>
      <c r="D83" s="276"/>
      <c r="E83" s="276"/>
      <c r="F83" s="276"/>
      <c r="G83" s="276"/>
      <c r="H83" s="28"/>
      <c r="I83" s="28"/>
      <c r="J83" s="28"/>
      <c r="K83" s="7"/>
      <c r="L83" s="7"/>
      <c r="M83" s="7"/>
      <c r="N83" s="7"/>
      <c r="O83" s="7"/>
      <c r="P83" s="7"/>
      <c r="Q83" s="7"/>
      <c r="R83" s="7"/>
      <c r="S83" s="7"/>
      <c r="T83" s="7"/>
      <c r="U83" s="7"/>
      <c r="V83" s="7"/>
      <c r="W83" s="7"/>
      <c r="X83" s="7"/>
      <c r="Y83" s="7"/>
      <c r="Z83" s="7"/>
      <c r="AA83" s="7"/>
      <c r="AB83" s="7"/>
      <c r="AC83" s="7"/>
      <c r="AD83" s="7"/>
      <c r="AE83" s="7"/>
    </row>
    <row r="84" spans="1:32" ht="6.75" customHeight="1" x14ac:dyDescent="0.25">
      <c r="A84" s="7"/>
      <c r="B84" s="7"/>
      <c r="C84" s="7"/>
      <c r="D84" s="7"/>
      <c r="E84" s="7"/>
      <c r="F84" s="7"/>
      <c r="G84" s="7"/>
      <c r="H84" s="7"/>
      <c r="I84" s="7"/>
      <c r="J84" s="7"/>
      <c r="K84" s="7"/>
      <c r="L84" s="7"/>
      <c r="M84" s="7"/>
      <c r="N84" s="7"/>
      <c r="O84" s="7"/>
      <c r="P84" s="7"/>
      <c r="Q84" s="7"/>
      <c r="R84" s="7"/>
      <c r="S84" s="7"/>
      <c r="T84" s="7"/>
      <c r="U84" s="7"/>
      <c r="V84" s="7"/>
      <c r="W84" s="7"/>
      <c r="X84" s="7"/>
      <c r="Y84" s="7"/>
      <c r="Z84" s="7"/>
      <c r="AA84" s="7"/>
      <c r="AB84" s="7"/>
      <c r="AC84" s="7"/>
      <c r="AD84" s="7"/>
      <c r="AE84" s="7"/>
    </row>
    <row r="85" spans="1:32" ht="0" hidden="1" customHeight="1" x14ac:dyDescent="0.25"/>
    <row r="86" spans="1:32" ht="0" hidden="1" customHeight="1" x14ac:dyDescent="0.25"/>
    <row r="87" spans="1:32" ht="0" hidden="1" customHeight="1" x14ac:dyDescent="0.25"/>
    <row r="88" spans="1:32" ht="0" hidden="1" customHeight="1" x14ac:dyDescent="0.25"/>
    <row r="89" spans="1:32" ht="0" hidden="1" customHeight="1" x14ac:dyDescent="0.25"/>
    <row r="90" spans="1:32" ht="0" hidden="1" customHeight="1" x14ac:dyDescent="0.25"/>
    <row r="91" spans="1:32" ht="0" hidden="1" customHeight="1" x14ac:dyDescent="0.25"/>
    <row r="92" spans="1:32" ht="0" hidden="1" customHeight="1" x14ac:dyDescent="0.25"/>
    <row r="93" spans="1:32" ht="0" hidden="1" customHeight="1" x14ac:dyDescent="0.25"/>
    <row r="94" spans="1:32" ht="0" hidden="1" customHeight="1" x14ac:dyDescent="0.25"/>
  </sheetData>
  <mergeCells count="37">
    <mergeCell ref="J4:J5"/>
    <mergeCell ref="K4:K5"/>
    <mergeCell ref="L4:L5"/>
    <mergeCell ref="M4:M5"/>
    <mergeCell ref="Q4:Q5"/>
    <mergeCell ref="N4:N5"/>
    <mergeCell ref="O4:O5"/>
    <mergeCell ref="F4:F5"/>
    <mergeCell ref="G4:G5"/>
    <mergeCell ref="H4:H5"/>
    <mergeCell ref="I4:I5"/>
    <mergeCell ref="E4:E5"/>
    <mergeCell ref="A2:C2"/>
    <mergeCell ref="A4:A5"/>
    <mergeCell ref="B4:B5"/>
    <mergeCell ref="C4:C5"/>
    <mergeCell ref="D4:D5"/>
    <mergeCell ref="A79:C79"/>
    <mergeCell ref="A80:C80"/>
    <mergeCell ref="A81:C81"/>
    <mergeCell ref="A78:B78"/>
    <mergeCell ref="A82:G82"/>
    <mergeCell ref="AE4:AE5"/>
    <mergeCell ref="Z4:Z5"/>
    <mergeCell ref="AA4:AA5"/>
    <mergeCell ref="P4:P5"/>
    <mergeCell ref="W4:W5"/>
    <mergeCell ref="X4:X5"/>
    <mergeCell ref="V4:V5"/>
    <mergeCell ref="AB4:AB5"/>
    <mergeCell ref="Y4:Y5"/>
    <mergeCell ref="R4:R5"/>
    <mergeCell ref="S4:S5"/>
    <mergeCell ref="T4:T5"/>
    <mergeCell ref="U4:U5"/>
    <mergeCell ref="AC4:AC5"/>
    <mergeCell ref="AD4:AD5"/>
  </mergeCells>
  <pageMargins left="0.75" right="0.75" top="1" bottom="1" header="0" footer="0"/>
  <pageSetup orientation="portrait" r:id="rId1"/>
  <headerFooter alignWithMargins="0"/>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8">
    <pageSetUpPr fitToPage="1"/>
  </sheetPr>
  <dimension ref="A1:DW94"/>
  <sheetViews>
    <sheetView zoomScale="115" zoomScaleNormal="115" workbookViewId="0">
      <pane xSplit="2" ySplit="5" topLeftCell="C6" activePane="bottomRight" state="frozen"/>
      <selection activeCell="C6" sqref="C6"/>
      <selection pane="topRight" activeCell="C6" sqref="C6"/>
      <selection pane="bottomLeft" activeCell="C6" sqref="C6"/>
      <selection pane="bottomRight" activeCell="C6" sqref="C6"/>
    </sheetView>
  </sheetViews>
  <sheetFormatPr baseColWidth="10" defaultColWidth="0" defaultRowHeight="0" customHeight="1" zeroHeight="1" x14ac:dyDescent="0.25"/>
  <cols>
    <col min="1" max="1" width="5.7109375" style="8" customWidth="1"/>
    <col min="2" max="2" width="62.7109375" style="8" customWidth="1"/>
    <col min="3" max="4" width="11.140625" style="30" customWidth="1"/>
    <col min="5" max="6" width="11.140625" style="8" customWidth="1"/>
    <col min="7" max="7" width="11.140625" style="31" customWidth="1"/>
    <col min="8" max="31" width="11.140625" style="8" customWidth="1"/>
    <col min="32" max="32" width="6.42578125" style="7" customWidth="1"/>
    <col min="33" max="127" width="0" style="8" hidden="1" customWidth="1"/>
    <col min="128" max="16384" width="6.42578125" style="8" hidden="1"/>
  </cols>
  <sheetData>
    <row r="1" spans="1:32" s="5" customFormat="1" ht="25.5" customHeight="1" thickBot="1" x14ac:dyDescent="0.25">
      <c r="A1" s="1"/>
      <c r="B1" s="2"/>
      <c r="C1" s="3"/>
      <c r="D1" s="172" t="s">
        <v>0</v>
      </c>
      <c r="E1" s="171"/>
      <c r="F1" s="171"/>
      <c r="G1" s="173"/>
      <c r="H1" s="171"/>
      <c r="I1" s="171"/>
      <c r="J1" s="171"/>
      <c r="K1" s="171"/>
      <c r="L1" s="171"/>
      <c r="M1" s="171"/>
      <c r="N1" s="171"/>
      <c r="O1" s="171"/>
      <c r="P1" s="171"/>
      <c r="Q1" s="171"/>
      <c r="R1" s="171"/>
      <c r="S1" s="171"/>
      <c r="T1" s="171"/>
      <c r="U1" s="171"/>
      <c r="V1" s="171"/>
      <c r="W1" s="171"/>
      <c r="X1" s="171"/>
      <c r="Y1" s="171"/>
      <c r="Z1" s="171"/>
      <c r="AA1" s="171"/>
      <c r="AB1" s="171"/>
      <c r="AC1" s="171"/>
      <c r="AD1" s="171"/>
      <c r="AE1" s="171"/>
      <c r="AF1" s="2"/>
    </row>
    <row r="2" spans="1:32" ht="22.5" customHeight="1" thickBot="1" x14ac:dyDescent="0.3">
      <c r="A2" s="303" t="s">
        <v>116</v>
      </c>
      <c r="B2" s="304"/>
      <c r="C2" s="304"/>
      <c r="D2" s="140"/>
      <c r="E2" s="140"/>
      <c r="F2" s="140"/>
      <c r="G2" s="140"/>
      <c r="H2" s="140"/>
      <c r="I2" s="140"/>
      <c r="J2" s="140"/>
      <c r="K2" s="140"/>
      <c r="L2" s="140"/>
      <c r="M2" s="140"/>
      <c r="N2" s="140"/>
      <c r="O2" s="140"/>
      <c r="P2" s="140"/>
      <c r="Q2" s="140"/>
      <c r="R2" s="140"/>
      <c r="S2" s="140"/>
      <c r="T2" s="140"/>
      <c r="U2" s="140"/>
      <c r="V2" s="140"/>
      <c r="W2" s="140"/>
      <c r="X2" s="140"/>
      <c r="Y2" s="140"/>
      <c r="Z2" s="140"/>
      <c r="AA2" s="140"/>
      <c r="AB2" s="140"/>
      <c r="AC2" s="140"/>
      <c r="AD2" s="140"/>
      <c r="AE2" s="141"/>
    </row>
    <row r="3" spans="1:32" ht="16.5" customHeight="1" thickBot="1" x14ac:dyDescent="0.25">
      <c r="A3" s="142" t="s">
        <v>299</v>
      </c>
      <c r="B3" s="57"/>
      <c r="C3" s="57"/>
      <c r="D3" s="58"/>
      <c r="E3" s="58"/>
      <c r="F3" s="58"/>
      <c r="G3" s="58"/>
      <c r="H3" s="59"/>
      <c r="I3" s="59"/>
      <c r="J3" s="59"/>
      <c r="K3" s="59"/>
      <c r="L3" s="59"/>
      <c r="M3" s="59"/>
      <c r="N3" s="59"/>
      <c r="O3" s="59"/>
      <c r="P3" s="59"/>
      <c r="Q3" s="59"/>
      <c r="R3" s="59"/>
      <c r="S3" s="59"/>
      <c r="T3" s="59"/>
      <c r="U3" s="59"/>
      <c r="V3" s="59"/>
      <c r="W3" s="59"/>
      <c r="X3" s="59"/>
      <c r="Y3" s="59"/>
      <c r="Z3" s="59"/>
      <c r="AA3" s="59"/>
      <c r="AB3" s="59"/>
      <c r="AC3" s="59"/>
      <c r="AD3" s="59"/>
      <c r="AE3" s="143"/>
    </row>
    <row r="4" spans="1:32" ht="15.75" customHeight="1" x14ac:dyDescent="0.25">
      <c r="A4" s="310"/>
      <c r="B4" s="308" t="s">
        <v>2</v>
      </c>
      <c r="C4" s="301">
        <v>1996</v>
      </c>
      <c r="D4" s="301">
        <v>1997</v>
      </c>
      <c r="E4" s="301">
        <v>1998</v>
      </c>
      <c r="F4" s="301">
        <v>1999</v>
      </c>
      <c r="G4" s="301">
        <v>2000</v>
      </c>
      <c r="H4" s="301">
        <v>2001</v>
      </c>
      <c r="I4" s="301">
        <v>2002</v>
      </c>
      <c r="J4" s="301">
        <v>2003</v>
      </c>
      <c r="K4" s="301">
        <v>2004</v>
      </c>
      <c r="L4" s="301">
        <v>2005</v>
      </c>
      <c r="M4" s="301">
        <v>2006</v>
      </c>
      <c r="N4" s="301">
        <v>2007</v>
      </c>
      <c r="O4" s="301">
        <v>2008</v>
      </c>
      <c r="P4" s="301">
        <v>2009</v>
      </c>
      <c r="Q4" s="301">
        <v>2010</v>
      </c>
      <c r="R4" s="301">
        <v>2011</v>
      </c>
      <c r="S4" s="301">
        <v>2012</v>
      </c>
      <c r="T4" s="301">
        <v>2013</v>
      </c>
      <c r="U4" s="301">
        <v>2014</v>
      </c>
      <c r="V4" s="301">
        <v>2015</v>
      </c>
      <c r="W4" s="301">
        <v>2016</v>
      </c>
      <c r="X4" s="301">
        <v>2017</v>
      </c>
      <c r="Y4" s="301">
        <v>2018</v>
      </c>
      <c r="Z4" s="301">
        <v>2019</v>
      </c>
      <c r="AA4" s="301">
        <v>2020</v>
      </c>
      <c r="AB4" s="301">
        <v>2021</v>
      </c>
      <c r="AC4" s="301">
        <v>2022</v>
      </c>
      <c r="AD4" s="301">
        <v>2023</v>
      </c>
      <c r="AE4" s="299">
        <v>2024</v>
      </c>
    </row>
    <row r="5" spans="1:32" ht="15.75" customHeight="1" thickBot="1" x14ac:dyDescent="0.3">
      <c r="A5" s="311"/>
      <c r="B5" s="309"/>
      <c r="C5" s="302"/>
      <c r="D5" s="302" t="s">
        <v>3</v>
      </c>
      <c r="E5" s="302"/>
      <c r="F5" s="302" t="s">
        <v>4</v>
      </c>
      <c r="G5" s="302"/>
      <c r="H5" s="302" t="s">
        <v>5</v>
      </c>
      <c r="I5" s="302"/>
      <c r="J5" s="302" t="s">
        <v>6</v>
      </c>
      <c r="K5" s="302"/>
      <c r="L5" s="302" t="s">
        <v>7</v>
      </c>
      <c r="M5" s="302"/>
      <c r="N5" s="302" t="s">
        <v>8</v>
      </c>
      <c r="O5" s="302"/>
      <c r="P5" s="302" t="s">
        <v>9</v>
      </c>
      <c r="Q5" s="302"/>
      <c r="R5" s="302" t="s">
        <v>10</v>
      </c>
      <c r="S5" s="302"/>
      <c r="T5" s="302"/>
      <c r="U5" s="302"/>
      <c r="V5" s="302"/>
      <c r="W5" s="302"/>
      <c r="X5" s="302"/>
      <c r="Y5" s="302"/>
      <c r="Z5" s="302"/>
      <c r="AA5" s="302"/>
      <c r="AB5" s="302"/>
      <c r="AC5" s="302"/>
      <c r="AD5" s="302"/>
      <c r="AE5" s="300"/>
    </row>
    <row r="6" spans="1:32" s="11" customFormat="1" ht="15" customHeight="1" thickBot="1" x14ac:dyDescent="0.3">
      <c r="A6" s="144" t="s">
        <v>11</v>
      </c>
      <c r="B6" s="9" t="s">
        <v>12</v>
      </c>
      <c r="C6" s="64">
        <v>263</v>
      </c>
      <c r="D6" s="64">
        <v>278</v>
      </c>
      <c r="E6" s="64">
        <v>298</v>
      </c>
      <c r="F6" s="64">
        <v>312</v>
      </c>
      <c r="G6" s="64">
        <v>298</v>
      </c>
      <c r="H6" s="64">
        <v>297</v>
      </c>
      <c r="I6" s="64">
        <v>266</v>
      </c>
      <c r="J6" s="64">
        <v>266</v>
      </c>
      <c r="K6" s="64">
        <v>271</v>
      </c>
      <c r="L6" s="64">
        <v>285</v>
      </c>
      <c r="M6" s="64">
        <v>310</v>
      </c>
      <c r="N6" s="64">
        <v>324</v>
      </c>
      <c r="O6" s="64">
        <v>328</v>
      </c>
      <c r="P6" s="64">
        <v>320</v>
      </c>
      <c r="Q6" s="64">
        <v>320</v>
      </c>
      <c r="R6" s="64">
        <v>322</v>
      </c>
      <c r="S6" s="64">
        <v>302</v>
      </c>
      <c r="T6" s="64">
        <v>309</v>
      </c>
      <c r="U6" s="64">
        <v>297</v>
      </c>
      <c r="V6" s="64">
        <v>290</v>
      </c>
      <c r="W6" s="64">
        <v>274</v>
      </c>
      <c r="X6" s="64">
        <v>284</v>
      </c>
      <c r="Y6" s="64">
        <v>261</v>
      </c>
      <c r="Z6" s="64">
        <v>249</v>
      </c>
      <c r="AA6" s="64">
        <v>239</v>
      </c>
      <c r="AB6" s="64">
        <v>241</v>
      </c>
      <c r="AC6" s="64">
        <v>249</v>
      </c>
      <c r="AD6" s="64">
        <v>240</v>
      </c>
      <c r="AE6" s="145">
        <v>225</v>
      </c>
      <c r="AF6" s="10"/>
    </row>
    <row r="7" spans="1:32" ht="15" customHeight="1" x14ac:dyDescent="0.25">
      <c r="A7" s="146">
        <v>1</v>
      </c>
      <c r="B7" s="12" t="s">
        <v>13</v>
      </c>
      <c r="C7" s="68">
        <v>257</v>
      </c>
      <c r="D7" s="68">
        <v>272</v>
      </c>
      <c r="E7" s="68">
        <v>290</v>
      </c>
      <c r="F7" s="68">
        <v>304</v>
      </c>
      <c r="G7" s="68">
        <v>291</v>
      </c>
      <c r="H7" s="68">
        <v>290</v>
      </c>
      <c r="I7" s="68">
        <v>259</v>
      </c>
      <c r="J7" s="68">
        <v>260</v>
      </c>
      <c r="K7" s="68">
        <v>265</v>
      </c>
      <c r="L7" s="68">
        <v>278</v>
      </c>
      <c r="M7" s="68">
        <v>303</v>
      </c>
      <c r="N7" s="68">
        <v>317</v>
      </c>
      <c r="O7" s="68">
        <v>321</v>
      </c>
      <c r="P7" s="68">
        <v>314</v>
      </c>
      <c r="Q7" s="68">
        <v>314</v>
      </c>
      <c r="R7" s="68">
        <v>316</v>
      </c>
      <c r="S7" s="68">
        <v>295</v>
      </c>
      <c r="T7" s="68">
        <v>301</v>
      </c>
      <c r="U7" s="68">
        <v>290</v>
      </c>
      <c r="V7" s="68">
        <v>283</v>
      </c>
      <c r="W7" s="68">
        <v>268</v>
      </c>
      <c r="X7" s="68">
        <v>279</v>
      </c>
      <c r="Y7" s="68">
        <v>257</v>
      </c>
      <c r="Z7" s="68" t="s">
        <v>383</v>
      </c>
      <c r="AA7" s="68" t="s">
        <v>383</v>
      </c>
      <c r="AB7" s="68" t="s">
        <v>383</v>
      </c>
      <c r="AC7" s="68" t="s">
        <v>383</v>
      </c>
      <c r="AD7" s="68">
        <v>235</v>
      </c>
      <c r="AE7" s="147">
        <v>221</v>
      </c>
    </row>
    <row r="8" spans="1:32" ht="15" customHeight="1" thickBot="1" x14ac:dyDescent="0.3">
      <c r="A8" s="148">
        <v>2</v>
      </c>
      <c r="B8" s="13" t="s">
        <v>14</v>
      </c>
      <c r="C8" s="69">
        <v>6</v>
      </c>
      <c r="D8" s="69">
        <v>6</v>
      </c>
      <c r="E8" s="69">
        <v>8</v>
      </c>
      <c r="F8" s="69">
        <v>8</v>
      </c>
      <c r="G8" s="69">
        <v>7</v>
      </c>
      <c r="H8" s="69">
        <v>7</v>
      </c>
      <c r="I8" s="69">
        <v>7</v>
      </c>
      <c r="J8" s="69">
        <v>6</v>
      </c>
      <c r="K8" s="69">
        <v>6</v>
      </c>
      <c r="L8" s="69">
        <v>7</v>
      </c>
      <c r="M8" s="69">
        <v>7</v>
      </c>
      <c r="N8" s="69">
        <v>7</v>
      </c>
      <c r="O8" s="69">
        <v>7</v>
      </c>
      <c r="P8" s="69">
        <v>6</v>
      </c>
      <c r="Q8" s="69">
        <v>6</v>
      </c>
      <c r="R8" s="69">
        <v>6</v>
      </c>
      <c r="S8" s="69">
        <v>7</v>
      </c>
      <c r="T8" s="69">
        <v>8</v>
      </c>
      <c r="U8" s="69">
        <v>7</v>
      </c>
      <c r="V8" s="69">
        <v>7</v>
      </c>
      <c r="W8" s="69">
        <v>6</v>
      </c>
      <c r="X8" s="69">
        <v>5</v>
      </c>
      <c r="Y8" s="69">
        <v>4</v>
      </c>
      <c r="Z8" s="69" t="s">
        <v>383</v>
      </c>
      <c r="AA8" s="69" t="s">
        <v>383</v>
      </c>
      <c r="AB8" s="69" t="s">
        <v>383</v>
      </c>
      <c r="AC8" s="69" t="s">
        <v>383</v>
      </c>
      <c r="AD8" s="69">
        <v>5</v>
      </c>
      <c r="AE8" s="149">
        <v>4</v>
      </c>
    </row>
    <row r="9" spans="1:32" s="11" customFormat="1" ht="15" customHeight="1" thickBot="1" x14ac:dyDescent="0.3">
      <c r="A9" s="144" t="s">
        <v>15</v>
      </c>
      <c r="B9" s="9" t="s">
        <v>16</v>
      </c>
      <c r="C9" s="64">
        <v>0</v>
      </c>
      <c r="D9" s="64">
        <v>0</v>
      </c>
      <c r="E9" s="64">
        <v>0</v>
      </c>
      <c r="F9" s="64">
        <v>0</v>
      </c>
      <c r="G9" s="64">
        <v>0</v>
      </c>
      <c r="H9" s="64">
        <v>0</v>
      </c>
      <c r="I9" s="64">
        <v>0</v>
      </c>
      <c r="J9" s="64">
        <v>0</v>
      </c>
      <c r="K9" s="64">
        <v>0</v>
      </c>
      <c r="L9" s="64">
        <v>0</v>
      </c>
      <c r="M9" s="64">
        <v>0</v>
      </c>
      <c r="N9" s="64">
        <v>0</v>
      </c>
      <c r="O9" s="64">
        <v>0</v>
      </c>
      <c r="P9" s="64">
        <v>0</v>
      </c>
      <c r="Q9" s="64">
        <v>0</v>
      </c>
      <c r="R9" s="64">
        <v>0</v>
      </c>
      <c r="S9" s="64">
        <v>0</v>
      </c>
      <c r="T9" s="64">
        <v>0</v>
      </c>
      <c r="U9" s="64">
        <v>0</v>
      </c>
      <c r="V9" s="64">
        <v>0</v>
      </c>
      <c r="W9" s="64">
        <v>0</v>
      </c>
      <c r="X9" s="64">
        <v>0</v>
      </c>
      <c r="Y9" s="64">
        <v>0</v>
      </c>
      <c r="Z9" s="64">
        <v>0</v>
      </c>
      <c r="AA9" s="64">
        <v>0</v>
      </c>
      <c r="AB9" s="64">
        <v>0</v>
      </c>
      <c r="AC9" s="64">
        <v>0</v>
      </c>
      <c r="AD9" s="64">
        <v>0</v>
      </c>
      <c r="AE9" s="145">
        <v>0</v>
      </c>
      <c r="AF9" s="10"/>
    </row>
    <row r="10" spans="1:32" ht="15" customHeight="1" thickBot="1" x14ac:dyDescent="0.3">
      <c r="A10" s="150">
        <v>5</v>
      </c>
      <c r="B10" s="14" t="s">
        <v>17</v>
      </c>
      <c r="C10" s="67">
        <v>0</v>
      </c>
      <c r="D10" s="67">
        <v>0</v>
      </c>
      <c r="E10" s="67">
        <v>0</v>
      </c>
      <c r="F10" s="67">
        <v>0</v>
      </c>
      <c r="G10" s="67">
        <v>0</v>
      </c>
      <c r="H10" s="67">
        <v>0</v>
      </c>
      <c r="I10" s="67">
        <v>0</v>
      </c>
      <c r="J10" s="67">
        <v>0</v>
      </c>
      <c r="K10" s="67">
        <v>0</v>
      </c>
      <c r="L10" s="67">
        <v>0</v>
      </c>
      <c r="M10" s="67">
        <v>0</v>
      </c>
      <c r="N10" s="67">
        <v>0</v>
      </c>
      <c r="O10" s="67">
        <v>0</v>
      </c>
      <c r="P10" s="67">
        <v>0</v>
      </c>
      <c r="Q10" s="67">
        <v>0</v>
      </c>
      <c r="R10" s="67">
        <v>0</v>
      </c>
      <c r="S10" s="67">
        <v>0</v>
      </c>
      <c r="T10" s="67">
        <v>0</v>
      </c>
      <c r="U10" s="67">
        <v>0</v>
      </c>
      <c r="V10" s="67">
        <v>0</v>
      </c>
      <c r="W10" s="67">
        <v>0</v>
      </c>
      <c r="X10" s="67">
        <v>0</v>
      </c>
      <c r="Y10" s="67">
        <v>0</v>
      </c>
      <c r="Z10" s="67">
        <v>0</v>
      </c>
      <c r="AA10" s="67">
        <v>0</v>
      </c>
      <c r="AB10" s="67">
        <v>0</v>
      </c>
      <c r="AC10" s="67">
        <v>0</v>
      </c>
      <c r="AD10" s="67">
        <v>0</v>
      </c>
      <c r="AE10" s="151">
        <v>0</v>
      </c>
    </row>
    <row r="11" spans="1:32" s="11" customFormat="1" ht="15" customHeight="1" thickBot="1" x14ac:dyDescent="0.3">
      <c r="A11" s="144" t="s">
        <v>18</v>
      </c>
      <c r="B11" s="9" t="s">
        <v>19</v>
      </c>
      <c r="C11" s="64">
        <v>19</v>
      </c>
      <c r="D11" s="64">
        <v>19</v>
      </c>
      <c r="E11" s="64">
        <v>19</v>
      </c>
      <c r="F11" s="64">
        <v>22</v>
      </c>
      <c r="G11" s="64">
        <v>14</v>
      </c>
      <c r="H11" s="64">
        <v>17</v>
      </c>
      <c r="I11" s="64">
        <v>11</v>
      </c>
      <c r="J11" s="64">
        <v>16</v>
      </c>
      <c r="K11" s="64">
        <v>15</v>
      </c>
      <c r="L11" s="64">
        <v>17</v>
      </c>
      <c r="M11" s="64">
        <v>20</v>
      </c>
      <c r="N11" s="64">
        <v>22</v>
      </c>
      <c r="O11" s="64">
        <v>24</v>
      </c>
      <c r="P11" s="64">
        <v>22</v>
      </c>
      <c r="Q11" s="64">
        <v>22</v>
      </c>
      <c r="R11" s="64">
        <v>18</v>
      </c>
      <c r="S11" s="64">
        <v>19</v>
      </c>
      <c r="T11" s="64">
        <v>21</v>
      </c>
      <c r="U11" s="64">
        <v>17</v>
      </c>
      <c r="V11" s="64">
        <v>15</v>
      </c>
      <c r="W11" s="64">
        <v>13</v>
      </c>
      <c r="X11" s="64">
        <v>17</v>
      </c>
      <c r="Y11" s="64">
        <v>18</v>
      </c>
      <c r="Z11" s="64">
        <v>18</v>
      </c>
      <c r="AA11" s="64">
        <v>18</v>
      </c>
      <c r="AB11" s="64">
        <v>18</v>
      </c>
      <c r="AC11" s="64">
        <v>23</v>
      </c>
      <c r="AD11" s="64">
        <v>28</v>
      </c>
      <c r="AE11" s="145">
        <v>31</v>
      </c>
      <c r="AF11" s="10"/>
    </row>
    <row r="12" spans="1:32" ht="15" customHeight="1" x14ac:dyDescent="0.25">
      <c r="A12" s="152">
        <v>11</v>
      </c>
      <c r="B12" s="15" t="s">
        <v>20</v>
      </c>
      <c r="C12" s="68" t="s">
        <v>383</v>
      </c>
      <c r="D12" s="68" t="s">
        <v>383</v>
      </c>
      <c r="E12" s="68">
        <v>7</v>
      </c>
      <c r="F12" s="68">
        <v>8</v>
      </c>
      <c r="G12" s="68" t="s">
        <v>383</v>
      </c>
      <c r="H12" s="68" t="s">
        <v>383</v>
      </c>
      <c r="I12" s="68" t="s">
        <v>383</v>
      </c>
      <c r="J12" s="68" t="s">
        <v>383</v>
      </c>
      <c r="K12" s="68" t="s">
        <v>383</v>
      </c>
      <c r="L12" s="68" t="s">
        <v>383</v>
      </c>
      <c r="M12" s="68" t="s">
        <v>383</v>
      </c>
      <c r="N12" s="68" t="s">
        <v>383</v>
      </c>
      <c r="O12" s="68" t="s">
        <v>383</v>
      </c>
      <c r="P12" s="68" t="s">
        <v>383</v>
      </c>
      <c r="Q12" s="68" t="s">
        <v>383</v>
      </c>
      <c r="R12" s="68" t="s">
        <v>383</v>
      </c>
      <c r="S12" s="68" t="s">
        <v>383</v>
      </c>
      <c r="T12" s="68" t="s">
        <v>383</v>
      </c>
      <c r="U12" s="68" t="s">
        <v>383</v>
      </c>
      <c r="V12" s="68" t="s">
        <v>383</v>
      </c>
      <c r="W12" s="68" t="s">
        <v>383</v>
      </c>
      <c r="X12" s="68" t="s">
        <v>383</v>
      </c>
      <c r="Y12" s="68" t="s">
        <v>383</v>
      </c>
      <c r="Z12" s="68" t="s">
        <v>383</v>
      </c>
      <c r="AA12" s="68" t="s">
        <v>383</v>
      </c>
      <c r="AB12" s="68" t="s">
        <v>383</v>
      </c>
      <c r="AC12" s="68" t="s">
        <v>383</v>
      </c>
      <c r="AD12" s="68" t="s">
        <v>383</v>
      </c>
      <c r="AE12" s="153" t="s">
        <v>383</v>
      </c>
    </row>
    <row r="13" spans="1:32" ht="15" customHeight="1" x14ac:dyDescent="0.25">
      <c r="A13" s="154">
        <v>13</v>
      </c>
      <c r="B13" s="16" t="s">
        <v>21</v>
      </c>
      <c r="C13" s="69" t="s">
        <v>383</v>
      </c>
      <c r="D13" s="69" t="s">
        <v>383</v>
      </c>
      <c r="E13" s="69" t="s">
        <v>383</v>
      </c>
      <c r="F13" s="69" t="s">
        <v>383</v>
      </c>
      <c r="G13" s="69" t="s">
        <v>383</v>
      </c>
      <c r="H13" s="69" t="s">
        <v>383</v>
      </c>
      <c r="I13" s="69" t="s">
        <v>383</v>
      </c>
      <c r="J13" s="69" t="s">
        <v>383</v>
      </c>
      <c r="K13" s="69" t="s">
        <v>383</v>
      </c>
      <c r="L13" s="69" t="s">
        <v>383</v>
      </c>
      <c r="M13" s="69" t="s">
        <v>383</v>
      </c>
      <c r="N13" s="69" t="s">
        <v>383</v>
      </c>
      <c r="O13" s="69">
        <v>4</v>
      </c>
      <c r="P13" s="69" t="s">
        <v>383</v>
      </c>
      <c r="Q13" s="69">
        <v>4</v>
      </c>
      <c r="R13" s="69" t="s">
        <v>383</v>
      </c>
      <c r="S13" s="69" t="s">
        <v>383</v>
      </c>
      <c r="T13" s="69" t="s">
        <v>383</v>
      </c>
      <c r="U13" s="69" t="s">
        <v>383</v>
      </c>
      <c r="V13" s="69" t="s">
        <v>383</v>
      </c>
      <c r="W13" s="69" t="s">
        <v>383</v>
      </c>
      <c r="X13" s="69" t="s">
        <v>383</v>
      </c>
      <c r="Y13" s="69" t="s">
        <v>383</v>
      </c>
      <c r="Z13" s="69" t="s">
        <v>383</v>
      </c>
      <c r="AA13" s="69" t="s">
        <v>383</v>
      </c>
      <c r="AB13" s="69" t="s">
        <v>383</v>
      </c>
      <c r="AC13" s="69" t="s">
        <v>383</v>
      </c>
      <c r="AD13" s="69">
        <v>7</v>
      </c>
      <c r="AE13" s="155">
        <v>10</v>
      </c>
    </row>
    <row r="14" spans="1:32" ht="15" customHeight="1" thickBot="1" x14ac:dyDescent="0.3">
      <c r="A14" s="152">
        <v>14</v>
      </c>
      <c r="B14" s="15" t="s">
        <v>22</v>
      </c>
      <c r="C14" s="68">
        <v>13</v>
      </c>
      <c r="D14" s="68">
        <v>14</v>
      </c>
      <c r="E14" s="68" t="s">
        <v>383</v>
      </c>
      <c r="F14" s="68" t="s">
        <v>383</v>
      </c>
      <c r="G14" s="68">
        <v>9</v>
      </c>
      <c r="H14" s="68">
        <v>11</v>
      </c>
      <c r="I14" s="68">
        <v>9</v>
      </c>
      <c r="J14" s="68">
        <v>13</v>
      </c>
      <c r="K14" s="68">
        <v>12</v>
      </c>
      <c r="L14" s="68">
        <v>14</v>
      </c>
      <c r="M14" s="68">
        <v>16</v>
      </c>
      <c r="N14" s="68">
        <v>17</v>
      </c>
      <c r="O14" s="68" t="s">
        <v>383</v>
      </c>
      <c r="P14" s="68">
        <v>18</v>
      </c>
      <c r="Q14" s="68" t="s">
        <v>383</v>
      </c>
      <c r="R14" s="68">
        <v>15</v>
      </c>
      <c r="S14" s="68">
        <v>16</v>
      </c>
      <c r="T14" s="68">
        <v>15</v>
      </c>
      <c r="U14" s="68">
        <v>13</v>
      </c>
      <c r="V14" s="68">
        <v>13</v>
      </c>
      <c r="W14" s="68">
        <v>12</v>
      </c>
      <c r="X14" s="68">
        <v>15</v>
      </c>
      <c r="Y14" s="68">
        <v>15</v>
      </c>
      <c r="Z14" s="68">
        <v>12</v>
      </c>
      <c r="AA14" s="68">
        <v>14</v>
      </c>
      <c r="AB14" s="68">
        <v>15</v>
      </c>
      <c r="AC14" s="68">
        <v>18</v>
      </c>
      <c r="AD14" s="68" t="s">
        <v>383</v>
      </c>
      <c r="AE14" s="153" t="s">
        <v>383</v>
      </c>
    </row>
    <row r="15" spans="1:32" s="11" customFormat="1" ht="15" customHeight="1" thickBot="1" x14ac:dyDescent="0.3">
      <c r="A15" s="144" t="s">
        <v>23</v>
      </c>
      <c r="B15" s="9" t="s">
        <v>24</v>
      </c>
      <c r="C15" s="64">
        <v>253</v>
      </c>
      <c r="D15" s="64">
        <v>268</v>
      </c>
      <c r="E15" s="64">
        <v>253</v>
      </c>
      <c r="F15" s="64">
        <v>256</v>
      </c>
      <c r="G15" s="64">
        <v>229</v>
      </c>
      <c r="H15" s="64">
        <v>226</v>
      </c>
      <c r="I15" s="64">
        <v>208</v>
      </c>
      <c r="J15" s="64">
        <v>226</v>
      </c>
      <c r="K15" s="64">
        <v>209</v>
      </c>
      <c r="L15" s="64">
        <v>222</v>
      </c>
      <c r="M15" s="64">
        <v>236</v>
      </c>
      <c r="N15" s="64">
        <v>266</v>
      </c>
      <c r="O15" s="64">
        <v>257</v>
      </c>
      <c r="P15" s="64">
        <v>247</v>
      </c>
      <c r="Q15" s="64">
        <v>260</v>
      </c>
      <c r="R15" s="64">
        <v>256</v>
      </c>
      <c r="S15" s="64">
        <v>263</v>
      </c>
      <c r="T15" s="64">
        <v>261</v>
      </c>
      <c r="U15" s="64">
        <v>265</v>
      </c>
      <c r="V15" s="64">
        <v>276</v>
      </c>
      <c r="W15" s="64">
        <v>264</v>
      </c>
      <c r="X15" s="64">
        <v>279</v>
      </c>
      <c r="Y15" s="64">
        <v>256</v>
      </c>
      <c r="Z15" s="64">
        <v>244</v>
      </c>
      <c r="AA15" s="64">
        <v>240</v>
      </c>
      <c r="AB15" s="64">
        <v>246</v>
      </c>
      <c r="AC15" s="64">
        <v>272</v>
      </c>
      <c r="AD15" s="64">
        <v>297</v>
      </c>
      <c r="AE15" s="145">
        <v>272</v>
      </c>
      <c r="AF15" s="10"/>
    </row>
    <row r="16" spans="1:32" ht="15" customHeight="1" x14ac:dyDescent="0.25">
      <c r="A16" s="152">
        <v>15</v>
      </c>
      <c r="B16" s="15" t="s">
        <v>25</v>
      </c>
      <c r="C16" s="68">
        <v>90</v>
      </c>
      <c r="D16" s="68">
        <v>98</v>
      </c>
      <c r="E16" s="68">
        <v>104</v>
      </c>
      <c r="F16" s="68">
        <v>105</v>
      </c>
      <c r="G16" s="68">
        <v>92</v>
      </c>
      <c r="H16" s="68">
        <v>88</v>
      </c>
      <c r="I16" s="68">
        <v>91</v>
      </c>
      <c r="J16" s="68">
        <v>103</v>
      </c>
      <c r="K16" s="68">
        <v>95</v>
      </c>
      <c r="L16" s="68">
        <v>104</v>
      </c>
      <c r="M16" s="68">
        <v>103</v>
      </c>
      <c r="N16" s="68">
        <v>117</v>
      </c>
      <c r="O16" s="68">
        <v>118</v>
      </c>
      <c r="P16" s="68">
        <v>119</v>
      </c>
      <c r="Q16" s="68">
        <v>126</v>
      </c>
      <c r="R16" s="68">
        <v>123</v>
      </c>
      <c r="S16" s="68">
        <v>125</v>
      </c>
      <c r="T16" s="68">
        <v>124</v>
      </c>
      <c r="U16" s="68">
        <v>123</v>
      </c>
      <c r="V16" s="68">
        <v>133</v>
      </c>
      <c r="W16" s="68">
        <v>123</v>
      </c>
      <c r="X16" s="68">
        <v>125</v>
      </c>
      <c r="Y16" s="68">
        <v>116</v>
      </c>
      <c r="Z16" s="68">
        <v>111</v>
      </c>
      <c r="AA16" s="68">
        <v>109</v>
      </c>
      <c r="AB16" s="68">
        <v>109</v>
      </c>
      <c r="AC16" s="68">
        <v>122</v>
      </c>
      <c r="AD16" s="68">
        <v>129</v>
      </c>
      <c r="AE16" s="153">
        <v>130</v>
      </c>
    </row>
    <row r="17" spans="1:31" ht="15" customHeight="1" x14ac:dyDescent="0.25">
      <c r="A17" s="156">
        <v>16</v>
      </c>
      <c r="B17" s="17" t="s">
        <v>26</v>
      </c>
      <c r="C17" s="70" t="s">
        <v>383</v>
      </c>
      <c r="D17" s="70" t="s">
        <v>383</v>
      </c>
      <c r="E17" s="70" t="s">
        <v>383</v>
      </c>
      <c r="F17" s="70" t="s">
        <v>383</v>
      </c>
      <c r="G17" s="70" t="s">
        <v>383</v>
      </c>
      <c r="H17" s="70" t="s">
        <v>383</v>
      </c>
      <c r="I17" s="70" t="s">
        <v>383</v>
      </c>
      <c r="J17" s="70" t="s">
        <v>383</v>
      </c>
      <c r="K17" s="70" t="s">
        <v>383</v>
      </c>
      <c r="L17" s="70" t="s">
        <v>383</v>
      </c>
      <c r="M17" s="70" t="s">
        <v>383</v>
      </c>
      <c r="N17" s="70" t="s">
        <v>383</v>
      </c>
      <c r="O17" s="70" t="s">
        <v>383</v>
      </c>
      <c r="P17" s="70" t="s">
        <v>383</v>
      </c>
      <c r="Q17" s="70" t="s">
        <v>383</v>
      </c>
      <c r="R17" s="70" t="s">
        <v>383</v>
      </c>
      <c r="S17" s="70" t="s">
        <v>383</v>
      </c>
      <c r="T17" s="70" t="s">
        <v>383</v>
      </c>
      <c r="U17" s="70" t="s">
        <v>383</v>
      </c>
      <c r="V17" s="70" t="s">
        <v>383</v>
      </c>
      <c r="W17" s="70" t="s">
        <v>383</v>
      </c>
      <c r="X17" s="70" t="s">
        <v>383</v>
      </c>
      <c r="Y17" s="70" t="s">
        <v>383</v>
      </c>
      <c r="Z17" s="70" t="s">
        <v>383</v>
      </c>
      <c r="AA17" s="70" t="s">
        <v>383</v>
      </c>
      <c r="AB17" s="70" t="s">
        <v>383</v>
      </c>
      <c r="AC17" s="70" t="s">
        <v>383</v>
      </c>
      <c r="AD17" s="70" t="s">
        <v>383</v>
      </c>
      <c r="AE17" s="157" t="s">
        <v>383</v>
      </c>
    </row>
    <row r="18" spans="1:31" ht="15" customHeight="1" x14ac:dyDescent="0.25">
      <c r="A18" s="156">
        <v>17</v>
      </c>
      <c r="B18" s="17" t="s">
        <v>27</v>
      </c>
      <c r="C18" s="70">
        <v>14</v>
      </c>
      <c r="D18" s="70">
        <v>17</v>
      </c>
      <c r="E18" s="70">
        <v>15</v>
      </c>
      <c r="F18" s="70">
        <v>15</v>
      </c>
      <c r="G18" s="70">
        <v>13</v>
      </c>
      <c r="H18" s="70">
        <v>13</v>
      </c>
      <c r="I18" s="70">
        <v>13</v>
      </c>
      <c r="J18" s="70">
        <v>14</v>
      </c>
      <c r="K18" s="70">
        <v>13</v>
      </c>
      <c r="L18" s="70">
        <v>15</v>
      </c>
      <c r="M18" s="70">
        <v>14</v>
      </c>
      <c r="N18" s="70">
        <v>14</v>
      </c>
      <c r="O18" s="70">
        <v>14</v>
      </c>
      <c r="P18" s="70">
        <v>12</v>
      </c>
      <c r="Q18" s="70">
        <v>12</v>
      </c>
      <c r="R18" s="70">
        <v>12</v>
      </c>
      <c r="S18" s="70">
        <v>9</v>
      </c>
      <c r="T18" s="70">
        <v>10</v>
      </c>
      <c r="U18" s="70">
        <v>12</v>
      </c>
      <c r="V18" s="70">
        <v>11</v>
      </c>
      <c r="W18" s="70">
        <v>12</v>
      </c>
      <c r="X18" s="70">
        <v>13</v>
      </c>
      <c r="Y18" s="70">
        <v>13</v>
      </c>
      <c r="Z18" s="70">
        <v>15</v>
      </c>
      <c r="AA18" s="70">
        <v>14</v>
      </c>
      <c r="AB18" s="70">
        <v>17</v>
      </c>
      <c r="AC18" s="70">
        <v>20</v>
      </c>
      <c r="AD18" s="70">
        <v>21</v>
      </c>
      <c r="AE18" s="157">
        <v>20</v>
      </c>
    </row>
    <row r="19" spans="1:31" ht="15" customHeight="1" x14ac:dyDescent="0.25">
      <c r="A19" s="156">
        <v>18</v>
      </c>
      <c r="B19" s="17" t="s">
        <v>28</v>
      </c>
      <c r="C19" s="70">
        <v>15</v>
      </c>
      <c r="D19" s="70">
        <v>16</v>
      </c>
      <c r="E19" s="70">
        <v>14</v>
      </c>
      <c r="F19" s="70">
        <v>14</v>
      </c>
      <c r="G19" s="70">
        <v>14</v>
      </c>
      <c r="H19" s="70">
        <v>16</v>
      </c>
      <c r="I19" s="70">
        <v>13</v>
      </c>
      <c r="J19" s="70">
        <v>15</v>
      </c>
      <c r="K19" s="70">
        <v>14</v>
      </c>
      <c r="L19" s="70">
        <v>12</v>
      </c>
      <c r="M19" s="70">
        <v>13</v>
      </c>
      <c r="N19" s="70">
        <v>13</v>
      </c>
      <c r="O19" s="70">
        <v>14</v>
      </c>
      <c r="P19" s="70">
        <v>9</v>
      </c>
      <c r="Q19" s="70">
        <v>11</v>
      </c>
      <c r="R19" s="70">
        <v>12</v>
      </c>
      <c r="S19" s="70">
        <v>14</v>
      </c>
      <c r="T19" s="70">
        <v>14</v>
      </c>
      <c r="U19" s="70">
        <v>14</v>
      </c>
      <c r="V19" s="70">
        <v>14</v>
      </c>
      <c r="W19" s="70">
        <v>15</v>
      </c>
      <c r="X19" s="70">
        <v>13</v>
      </c>
      <c r="Y19" s="70">
        <v>12</v>
      </c>
      <c r="Z19" s="70">
        <v>13</v>
      </c>
      <c r="AA19" s="70">
        <v>12</v>
      </c>
      <c r="AB19" s="70">
        <v>14</v>
      </c>
      <c r="AC19" s="70">
        <v>17</v>
      </c>
      <c r="AD19" s="70">
        <v>18</v>
      </c>
      <c r="AE19" s="157">
        <v>18</v>
      </c>
    </row>
    <row r="20" spans="1:31" ht="15" customHeight="1" x14ac:dyDescent="0.25">
      <c r="A20" s="156">
        <v>19</v>
      </c>
      <c r="B20" s="17" t="s">
        <v>115</v>
      </c>
      <c r="C20" s="70">
        <v>6</v>
      </c>
      <c r="D20" s="70">
        <v>8</v>
      </c>
      <c r="E20" s="70">
        <v>5</v>
      </c>
      <c r="F20" s="70">
        <v>5</v>
      </c>
      <c r="G20" s="70">
        <v>6</v>
      </c>
      <c r="H20" s="70">
        <v>5</v>
      </c>
      <c r="I20" s="70">
        <v>5</v>
      </c>
      <c r="J20" s="70">
        <v>6</v>
      </c>
      <c r="K20" s="70">
        <v>7</v>
      </c>
      <c r="L20" s="70">
        <v>6</v>
      </c>
      <c r="M20" s="70">
        <v>7</v>
      </c>
      <c r="N20" s="70">
        <v>10</v>
      </c>
      <c r="O20" s="70">
        <v>9</v>
      </c>
      <c r="P20" s="70">
        <v>7</v>
      </c>
      <c r="Q20" s="70">
        <v>9</v>
      </c>
      <c r="R20" s="70">
        <v>10</v>
      </c>
      <c r="S20" s="70">
        <v>11</v>
      </c>
      <c r="T20" s="70">
        <v>6</v>
      </c>
      <c r="U20" s="70">
        <v>6</v>
      </c>
      <c r="V20" s="70">
        <v>4</v>
      </c>
      <c r="W20" s="70">
        <v>4</v>
      </c>
      <c r="X20" s="70">
        <v>5</v>
      </c>
      <c r="Y20" s="70">
        <v>5</v>
      </c>
      <c r="Z20" s="70">
        <v>5</v>
      </c>
      <c r="AA20" s="70">
        <v>5</v>
      </c>
      <c r="AB20" s="70">
        <v>6</v>
      </c>
      <c r="AC20" s="70">
        <v>8</v>
      </c>
      <c r="AD20" s="70">
        <v>8</v>
      </c>
      <c r="AE20" s="157">
        <v>7</v>
      </c>
    </row>
    <row r="21" spans="1:31" ht="15" customHeight="1" x14ac:dyDescent="0.25">
      <c r="A21" s="156">
        <v>20</v>
      </c>
      <c r="B21" s="17" t="s">
        <v>30</v>
      </c>
      <c r="C21" s="70">
        <v>11</v>
      </c>
      <c r="D21" s="70">
        <v>10</v>
      </c>
      <c r="E21" s="70">
        <v>11</v>
      </c>
      <c r="F21" s="70">
        <v>7</v>
      </c>
      <c r="G21" s="70">
        <v>7</v>
      </c>
      <c r="H21" s="70">
        <v>7</v>
      </c>
      <c r="I21" s="70">
        <v>7</v>
      </c>
      <c r="J21" s="70">
        <v>8</v>
      </c>
      <c r="K21" s="70">
        <v>7</v>
      </c>
      <c r="L21" s="70">
        <v>6</v>
      </c>
      <c r="M21" s="70">
        <v>9</v>
      </c>
      <c r="N21" s="70">
        <v>11</v>
      </c>
      <c r="O21" s="70">
        <v>12</v>
      </c>
      <c r="P21" s="70">
        <v>9</v>
      </c>
      <c r="Q21" s="70">
        <v>9</v>
      </c>
      <c r="R21" s="70">
        <v>8</v>
      </c>
      <c r="S21" s="70">
        <v>9</v>
      </c>
      <c r="T21" s="70">
        <v>9</v>
      </c>
      <c r="U21" s="70">
        <v>9</v>
      </c>
      <c r="V21" s="70">
        <v>9</v>
      </c>
      <c r="W21" s="70">
        <v>8</v>
      </c>
      <c r="X21" s="70">
        <v>8</v>
      </c>
      <c r="Y21" s="70">
        <v>8</v>
      </c>
      <c r="Z21" s="70">
        <v>7</v>
      </c>
      <c r="AA21" s="70">
        <v>5</v>
      </c>
      <c r="AB21" s="70">
        <v>5</v>
      </c>
      <c r="AC21" s="70">
        <v>7</v>
      </c>
      <c r="AD21" s="70">
        <v>5</v>
      </c>
      <c r="AE21" s="157">
        <v>6</v>
      </c>
    </row>
    <row r="22" spans="1:31" ht="15" customHeight="1" x14ac:dyDescent="0.25">
      <c r="A22" s="156">
        <v>21</v>
      </c>
      <c r="B22" s="17" t="s">
        <v>31</v>
      </c>
      <c r="C22" s="70">
        <v>5</v>
      </c>
      <c r="D22" s="70">
        <v>7</v>
      </c>
      <c r="E22" s="70">
        <v>6</v>
      </c>
      <c r="F22" s="70">
        <v>5</v>
      </c>
      <c r="G22" s="70">
        <v>4</v>
      </c>
      <c r="H22" s="70" t="s">
        <v>383</v>
      </c>
      <c r="I22" s="70" t="s">
        <v>383</v>
      </c>
      <c r="J22" s="70">
        <v>6</v>
      </c>
      <c r="K22" s="70">
        <v>4</v>
      </c>
      <c r="L22" s="70" t="s">
        <v>383</v>
      </c>
      <c r="M22" s="70" t="s">
        <v>383</v>
      </c>
      <c r="N22" s="70" t="s">
        <v>383</v>
      </c>
      <c r="O22" s="70" t="s">
        <v>383</v>
      </c>
      <c r="P22" s="70" t="s">
        <v>383</v>
      </c>
      <c r="Q22" s="70" t="s">
        <v>383</v>
      </c>
      <c r="R22" s="70" t="s">
        <v>383</v>
      </c>
      <c r="S22" s="70">
        <v>5</v>
      </c>
      <c r="T22" s="70">
        <v>4</v>
      </c>
      <c r="U22" s="70">
        <v>4</v>
      </c>
      <c r="V22" s="70">
        <v>4</v>
      </c>
      <c r="W22" s="70">
        <v>4</v>
      </c>
      <c r="X22" s="70">
        <v>4</v>
      </c>
      <c r="Y22" s="70">
        <v>4</v>
      </c>
      <c r="Z22" s="70">
        <v>5</v>
      </c>
      <c r="AA22" s="70" t="s">
        <v>383</v>
      </c>
      <c r="AB22" s="70">
        <v>4</v>
      </c>
      <c r="AC22" s="70" t="s">
        <v>383</v>
      </c>
      <c r="AD22" s="70" t="s">
        <v>383</v>
      </c>
      <c r="AE22" s="157" t="s">
        <v>383</v>
      </c>
    </row>
    <row r="23" spans="1:31" ht="15" customHeight="1" x14ac:dyDescent="0.25">
      <c r="A23" s="156">
        <v>22</v>
      </c>
      <c r="B23" s="17" t="s">
        <v>98</v>
      </c>
      <c r="C23" s="70">
        <v>18</v>
      </c>
      <c r="D23" s="70">
        <v>17</v>
      </c>
      <c r="E23" s="70">
        <v>17</v>
      </c>
      <c r="F23" s="70">
        <v>18</v>
      </c>
      <c r="G23" s="70">
        <v>18</v>
      </c>
      <c r="H23" s="70">
        <v>15</v>
      </c>
      <c r="I23" s="70">
        <v>12</v>
      </c>
      <c r="J23" s="70">
        <v>15</v>
      </c>
      <c r="K23" s="70">
        <v>13</v>
      </c>
      <c r="L23" s="70">
        <v>12</v>
      </c>
      <c r="M23" s="70">
        <v>12</v>
      </c>
      <c r="N23" s="70">
        <v>16</v>
      </c>
      <c r="O23" s="70">
        <v>20</v>
      </c>
      <c r="P23" s="70">
        <v>19</v>
      </c>
      <c r="Q23" s="70">
        <v>20</v>
      </c>
      <c r="R23" s="70">
        <v>19</v>
      </c>
      <c r="S23" s="70">
        <v>18</v>
      </c>
      <c r="T23" s="70">
        <v>22</v>
      </c>
      <c r="U23" s="70">
        <v>22</v>
      </c>
      <c r="V23" s="70">
        <v>23</v>
      </c>
      <c r="W23" s="70">
        <v>24</v>
      </c>
      <c r="X23" s="70">
        <v>25</v>
      </c>
      <c r="Y23" s="70">
        <v>19</v>
      </c>
      <c r="Z23" s="70">
        <v>15</v>
      </c>
      <c r="AA23" s="70">
        <v>15</v>
      </c>
      <c r="AB23" s="70">
        <v>17</v>
      </c>
      <c r="AC23" s="70">
        <v>16</v>
      </c>
      <c r="AD23" s="70">
        <v>20</v>
      </c>
      <c r="AE23" s="157">
        <v>18</v>
      </c>
    </row>
    <row r="24" spans="1:31" ht="15" customHeight="1" x14ac:dyDescent="0.25">
      <c r="A24" s="156">
        <v>23</v>
      </c>
      <c r="B24" s="17" t="s">
        <v>33</v>
      </c>
      <c r="C24" s="70" t="s">
        <v>383</v>
      </c>
      <c r="D24" s="70" t="s">
        <v>383</v>
      </c>
      <c r="E24" s="70" t="s">
        <v>383</v>
      </c>
      <c r="F24" s="70" t="s">
        <v>383</v>
      </c>
      <c r="G24" s="70" t="s">
        <v>383</v>
      </c>
      <c r="H24" s="70" t="s">
        <v>383</v>
      </c>
      <c r="I24" s="70" t="s">
        <v>383</v>
      </c>
      <c r="J24" s="70" t="s">
        <v>383</v>
      </c>
      <c r="K24" s="70" t="s">
        <v>383</v>
      </c>
      <c r="L24" s="70" t="s">
        <v>383</v>
      </c>
      <c r="M24" s="70" t="s">
        <v>383</v>
      </c>
      <c r="N24" s="70" t="s">
        <v>383</v>
      </c>
      <c r="O24" s="70" t="s">
        <v>383</v>
      </c>
      <c r="P24" s="70" t="s">
        <v>383</v>
      </c>
      <c r="Q24" s="70" t="s">
        <v>383</v>
      </c>
      <c r="R24" s="70" t="s">
        <v>383</v>
      </c>
      <c r="S24" s="70" t="s">
        <v>383</v>
      </c>
      <c r="T24" s="70" t="s">
        <v>383</v>
      </c>
      <c r="U24" s="70" t="s">
        <v>383</v>
      </c>
      <c r="V24" s="70" t="s">
        <v>383</v>
      </c>
      <c r="W24" s="70" t="s">
        <v>383</v>
      </c>
      <c r="X24" s="70" t="s">
        <v>383</v>
      </c>
      <c r="Y24" s="70" t="s">
        <v>383</v>
      </c>
      <c r="Z24" s="70" t="s">
        <v>383</v>
      </c>
      <c r="AA24" s="70" t="s">
        <v>383</v>
      </c>
      <c r="AB24" s="70" t="s">
        <v>383</v>
      </c>
      <c r="AC24" s="70" t="s">
        <v>383</v>
      </c>
      <c r="AD24" s="70" t="s">
        <v>383</v>
      </c>
      <c r="AE24" s="157" t="s">
        <v>383</v>
      </c>
    </row>
    <row r="25" spans="1:31" ht="15" customHeight="1" x14ac:dyDescent="0.25">
      <c r="A25" s="156">
        <v>24</v>
      </c>
      <c r="B25" s="17" t="s">
        <v>34</v>
      </c>
      <c r="C25" s="70">
        <v>28</v>
      </c>
      <c r="D25" s="70">
        <v>24</v>
      </c>
      <c r="E25" s="70">
        <v>20</v>
      </c>
      <c r="F25" s="70">
        <v>23</v>
      </c>
      <c r="G25" s="70">
        <v>21</v>
      </c>
      <c r="H25" s="70">
        <v>25</v>
      </c>
      <c r="I25" s="70">
        <v>20</v>
      </c>
      <c r="J25" s="70">
        <v>20</v>
      </c>
      <c r="K25" s="70">
        <v>18</v>
      </c>
      <c r="L25" s="70">
        <v>22</v>
      </c>
      <c r="M25" s="70">
        <v>23</v>
      </c>
      <c r="N25" s="70">
        <v>25</v>
      </c>
      <c r="O25" s="70">
        <v>21</v>
      </c>
      <c r="P25" s="70">
        <v>19</v>
      </c>
      <c r="Q25" s="70">
        <v>22</v>
      </c>
      <c r="R25" s="70">
        <v>19</v>
      </c>
      <c r="S25" s="70">
        <v>22</v>
      </c>
      <c r="T25" s="70">
        <v>22</v>
      </c>
      <c r="U25" s="70">
        <v>24</v>
      </c>
      <c r="V25" s="70">
        <v>23</v>
      </c>
      <c r="W25" s="70">
        <v>22</v>
      </c>
      <c r="X25" s="70">
        <v>21</v>
      </c>
      <c r="Y25" s="70">
        <v>21</v>
      </c>
      <c r="Z25" s="70">
        <v>19</v>
      </c>
      <c r="AA25" s="70">
        <v>19</v>
      </c>
      <c r="AB25" s="70">
        <v>21</v>
      </c>
      <c r="AC25" s="70">
        <v>18</v>
      </c>
      <c r="AD25" s="70">
        <v>19</v>
      </c>
      <c r="AE25" s="157">
        <v>16</v>
      </c>
    </row>
    <row r="26" spans="1:31" ht="15" customHeight="1" x14ac:dyDescent="0.25">
      <c r="A26" s="156">
        <v>25</v>
      </c>
      <c r="B26" s="17" t="s">
        <v>35</v>
      </c>
      <c r="C26" s="70">
        <v>8</v>
      </c>
      <c r="D26" s="70">
        <v>8</v>
      </c>
      <c r="E26" s="70">
        <v>5</v>
      </c>
      <c r="F26" s="70">
        <v>7</v>
      </c>
      <c r="G26" s="70">
        <v>5</v>
      </c>
      <c r="H26" s="70">
        <v>4</v>
      </c>
      <c r="I26" s="70">
        <v>4</v>
      </c>
      <c r="J26" s="70" t="s">
        <v>383</v>
      </c>
      <c r="K26" s="70" t="s">
        <v>383</v>
      </c>
      <c r="L26" s="70" t="s">
        <v>383</v>
      </c>
      <c r="M26" s="70">
        <v>4</v>
      </c>
      <c r="N26" s="70">
        <v>5</v>
      </c>
      <c r="O26" s="70" t="s">
        <v>383</v>
      </c>
      <c r="P26" s="70">
        <v>6</v>
      </c>
      <c r="Q26" s="70">
        <v>5</v>
      </c>
      <c r="R26" s="70">
        <v>4</v>
      </c>
      <c r="S26" s="70">
        <v>5</v>
      </c>
      <c r="T26" s="70" t="s">
        <v>383</v>
      </c>
      <c r="U26" s="70" t="s">
        <v>383</v>
      </c>
      <c r="V26" s="70">
        <v>4</v>
      </c>
      <c r="W26" s="70" t="s">
        <v>383</v>
      </c>
      <c r="X26" s="70" t="s">
        <v>383</v>
      </c>
      <c r="Y26" s="70" t="s">
        <v>383</v>
      </c>
      <c r="Z26" s="70" t="s">
        <v>383</v>
      </c>
      <c r="AA26" s="70" t="s">
        <v>383</v>
      </c>
      <c r="AB26" s="70" t="s">
        <v>383</v>
      </c>
      <c r="AC26" s="70" t="s">
        <v>383</v>
      </c>
      <c r="AD26" s="70" t="s">
        <v>383</v>
      </c>
      <c r="AE26" s="157" t="s">
        <v>383</v>
      </c>
    </row>
    <row r="27" spans="1:31" ht="15" customHeight="1" x14ac:dyDescent="0.25">
      <c r="A27" s="156">
        <v>26</v>
      </c>
      <c r="B27" s="17" t="s">
        <v>36</v>
      </c>
      <c r="C27" s="70">
        <v>9</v>
      </c>
      <c r="D27" s="70">
        <v>11</v>
      </c>
      <c r="E27" s="70">
        <v>10</v>
      </c>
      <c r="F27" s="70">
        <v>10</v>
      </c>
      <c r="G27" s="70">
        <v>9</v>
      </c>
      <c r="H27" s="70">
        <v>10</v>
      </c>
      <c r="I27" s="70">
        <v>7</v>
      </c>
      <c r="J27" s="70">
        <v>9</v>
      </c>
      <c r="K27" s="70">
        <v>7</v>
      </c>
      <c r="L27" s="70">
        <v>8</v>
      </c>
      <c r="M27" s="70">
        <v>7</v>
      </c>
      <c r="N27" s="70">
        <v>9</v>
      </c>
      <c r="O27" s="70">
        <v>7</v>
      </c>
      <c r="P27" s="70">
        <v>8</v>
      </c>
      <c r="Q27" s="70">
        <v>9</v>
      </c>
      <c r="R27" s="70">
        <v>12</v>
      </c>
      <c r="S27" s="70">
        <v>11</v>
      </c>
      <c r="T27" s="70">
        <v>12</v>
      </c>
      <c r="U27" s="70">
        <v>11</v>
      </c>
      <c r="V27" s="70">
        <v>10</v>
      </c>
      <c r="W27" s="70">
        <v>11</v>
      </c>
      <c r="X27" s="70">
        <v>13</v>
      </c>
      <c r="Y27" s="70">
        <v>11</v>
      </c>
      <c r="Z27" s="70">
        <v>11</v>
      </c>
      <c r="AA27" s="70">
        <v>10</v>
      </c>
      <c r="AB27" s="70">
        <v>11</v>
      </c>
      <c r="AC27" s="70">
        <v>10</v>
      </c>
      <c r="AD27" s="70">
        <v>10</v>
      </c>
      <c r="AE27" s="157">
        <v>9</v>
      </c>
    </row>
    <row r="28" spans="1:31" ht="15" customHeight="1" x14ac:dyDescent="0.25">
      <c r="A28" s="156">
        <v>27</v>
      </c>
      <c r="B28" s="17" t="s">
        <v>37</v>
      </c>
      <c r="C28" s="70" t="s">
        <v>383</v>
      </c>
      <c r="D28" s="70" t="s">
        <v>383</v>
      </c>
      <c r="E28" s="70" t="s">
        <v>383</v>
      </c>
      <c r="F28" s="70" t="s">
        <v>383</v>
      </c>
      <c r="G28" s="70" t="s">
        <v>383</v>
      </c>
      <c r="H28" s="70" t="s">
        <v>383</v>
      </c>
      <c r="I28" s="70" t="s">
        <v>383</v>
      </c>
      <c r="J28" s="70" t="s">
        <v>383</v>
      </c>
      <c r="K28" s="70" t="s">
        <v>383</v>
      </c>
      <c r="L28" s="70" t="s">
        <v>383</v>
      </c>
      <c r="M28" s="70" t="s">
        <v>383</v>
      </c>
      <c r="N28" s="70" t="s">
        <v>383</v>
      </c>
      <c r="O28" s="70" t="s">
        <v>383</v>
      </c>
      <c r="P28" s="70" t="s">
        <v>383</v>
      </c>
      <c r="Q28" s="70" t="s">
        <v>383</v>
      </c>
      <c r="R28" s="70" t="s">
        <v>383</v>
      </c>
      <c r="S28" s="70" t="s">
        <v>383</v>
      </c>
      <c r="T28" s="70" t="s">
        <v>383</v>
      </c>
      <c r="U28" s="70">
        <v>4</v>
      </c>
      <c r="V28" s="70">
        <v>4</v>
      </c>
      <c r="W28" s="70" t="s">
        <v>383</v>
      </c>
      <c r="X28" s="70" t="s">
        <v>383</v>
      </c>
      <c r="Y28" s="70" t="s">
        <v>383</v>
      </c>
      <c r="Z28" s="70" t="s">
        <v>383</v>
      </c>
      <c r="AA28" s="70" t="s">
        <v>383</v>
      </c>
      <c r="AB28" s="70" t="s">
        <v>383</v>
      </c>
      <c r="AC28" s="70" t="s">
        <v>383</v>
      </c>
      <c r="AD28" s="70" t="s">
        <v>383</v>
      </c>
      <c r="AE28" s="157" t="s">
        <v>383</v>
      </c>
    </row>
    <row r="29" spans="1:31" ht="15" customHeight="1" x14ac:dyDescent="0.25">
      <c r="A29" s="156">
        <v>28</v>
      </c>
      <c r="B29" s="17" t="s">
        <v>38</v>
      </c>
      <c r="C29" s="70">
        <v>13</v>
      </c>
      <c r="D29" s="70">
        <v>12</v>
      </c>
      <c r="E29" s="70">
        <v>11</v>
      </c>
      <c r="F29" s="70">
        <v>11</v>
      </c>
      <c r="G29" s="70">
        <v>10</v>
      </c>
      <c r="H29" s="70">
        <v>11</v>
      </c>
      <c r="I29" s="70">
        <v>8</v>
      </c>
      <c r="J29" s="70">
        <v>7</v>
      </c>
      <c r="K29" s="70">
        <v>7</v>
      </c>
      <c r="L29" s="70">
        <v>9</v>
      </c>
      <c r="M29" s="70">
        <v>11</v>
      </c>
      <c r="N29" s="70">
        <v>9</v>
      </c>
      <c r="O29" s="70">
        <v>8</v>
      </c>
      <c r="P29" s="70">
        <v>9</v>
      </c>
      <c r="Q29" s="70">
        <v>9</v>
      </c>
      <c r="R29" s="70">
        <v>9</v>
      </c>
      <c r="S29" s="70">
        <v>9</v>
      </c>
      <c r="T29" s="70">
        <v>9</v>
      </c>
      <c r="U29" s="70">
        <v>9</v>
      </c>
      <c r="V29" s="70">
        <v>10</v>
      </c>
      <c r="W29" s="70">
        <v>9</v>
      </c>
      <c r="X29" s="70">
        <v>11</v>
      </c>
      <c r="Y29" s="70">
        <v>10</v>
      </c>
      <c r="Z29" s="70">
        <v>8</v>
      </c>
      <c r="AA29" s="70">
        <v>12</v>
      </c>
      <c r="AB29" s="70">
        <v>10</v>
      </c>
      <c r="AC29" s="70">
        <v>18</v>
      </c>
      <c r="AD29" s="70">
        <v>22</v>
      </c>
      <c r="AE29" s="157">
        <v>16</v>
      </c>
    </row>
    <row r="30" spans="1:31" ht="15" customHeight="1" x14ac:dyDescent="0.25">
      <c r="A30" s="156">
        <v>29</v>
      </c>
      <c r="B30" s="17" t="s">
        <v>39</v>
      </c>
      <c r="C30" s="70">
        <v>13</v>
      </c>
      <c r="D30" s="70">
        <v>13</v>
      </c>
      <c r="E30" s="70">
        <v>12</v>
      </c>
      <c r="F30" s="70">
        <v>13</v>
      </c>
      <c r="G30" s="70">
        <v>13</v>
      </c>
      <c r="H30" s="70">
        <v>16</v>
      </c>
      <c r="I30" s="70">
        <v>14</v>
      </c>
      <c r="J30" s="70">
        <v>11</v>
      </c>
      <c r="K30" s="70">
        <v>11</v>
      </c>
      <c r="L30" s="70">
        <v>9</v>
      </c>
      <c r="M30" s="70">
        <v>11</v>
      </c>
      <c r="N30" s="70">
        <v>10</v>
      </c>
      <c r="O30" s="70">
        <v>10</v>
      </c>
      <c r="P30" s="70">
        <v>9</v>
      </c>
      <c r="Q30" s="70">
        <v>9</v>
      </c>
      <c r="R30" s="70">
        <v>12</v>
      </c>
      <c r="S30" s="70">
        <v>11</v>
      </c>
      <c r="T30" s="70">
        <v>8</v>
      </c>
      <c r="U30" s="70">
        <v>8</v>
      </c>
      <c r="V30" s="70">
        <v>8</v>
      </c>
      <c r="W30" s="70">
        <v>7</v>
      </c>
      <c r="X30" s="70">
        <v>8</v>
      </c>
      <c r="Y30" s="70">
        <v>7</v>
      </c>
      <c r="Z30" s="70">
        <v>9</v>
      </c>
      <c r="AA30" s="70">
        <v>8</v>
      </c>
      <c r="AB30" s="70">
        <v>6</v>
      </c>
      <c r="AC30" s="70">
        <v>7</v>
      </c>
      <c r="AD30" s="70">
        <v>9</v>
      </c>
      <c r="AE30" s="157">
        <v>7</v>
      </c>
    </row>
    <row r="31" spans="1:31" ht="15" customHeight="1" x14ac:dyDescent="0.25">
      <c r="A31" s="156">
        <v>30</v>
      </c>
      <c r="B31" s="17" t="s">
        <v>40</v>
      </c>
      <c r="C31" s="70" t="s">
        <v>383</v>
      </c>
      <c r="D31" s="70" t="s">
        <v>383</v>
      </c>
      <c r="E31" s="70" t="s">
        <v>383</v>
      </c>
      <c r="F31" s="70" t="s">
        <v>383</v>
      </c>
      <c r="G31" s="70" t="s">
        <v>383</v>
      </c>
      <c r="H31" s="70" t="s">
        <v>383</v>
      </c>
      <c r="I31" s="70" t="s">
        <v>383</v>
      </c>
      <c r="J31" s="70" t="s">
        <v>383</v>
      </c>
      <c r="K31" s="70" t="s">
        <v>383</v>
      </c>
      <c r="L31" s="70" t="s">
        <v>383</v>
      </c>
      <c r="M31" s="70" t="s">
        <v>383</v>
      </c>
      <c r="N31" s="70" t="s">
        <v>383</v>
      </c>
      <c r="O31" s="70" t="s">
        <v>383</v>
      </c>
      <c r="P31" s="70" t="s">
        <v>383</v>
      </c>
      <c r="Q31" s="70" t="s">
        <v>383</v>
      </c>
      <c r="R31" s="70" t="s">
        <v>383</v>
      </c>
      <c r="S31" s="70" t="s">
        <v>383</v>
      </c>
      <c r="T31" s="70" t="s">
        <v>383</v>
      </c>
      <c r="U31" s="70" t="s">
        <v>383</v>
      </c>
      <c r="V31" s="70" t="s">
        <v>383</v>
      </c>
      <c r="W31" s="70" t="s">
        <v>383</v>
      </c>
      <c r="X31" s="70" t="s">
        <v>383</v>
      </c>
      <c r="Y31" s="70" t="s">
        <v>383</v>
      </c>
      <c r="Z31" s="70" t="s">
        <v>383</v>
      </c>
      <c r="AA31" s="70" t="s">
        <v>383</v>
      </c>
      <c r="AB31" s="70" t="s">
        <v>383</v>
      </c>
      <c r="AC31" s="70" t="s">
        <v>383</v>
      </c>
      <c r="AD31" s="70" t="s">
        <v>383</v>
      </c>
      <c r="AE31" s="157" t="s">
        <v>383</v>
      </c>
    </row>
    <row r="32" spans="1:31" ht="15" customHeight="1" x14ac:dyDescent="0.25">
      <c r="A32" s="156">
        <v>31</v>
      </c>
      <c r="B32" s="17" t="s">
        <v>41</v>
      </c>
      <c r="C32" s="70" t="s">
        <v>383</v>
      </c>
      <c r="D32" s="70" t="s">
        <v>383</v>
      </c>
      <c r="E32" s="70" t="s">
        <v>383</v>
      </c>
      <c r="F32" s="70" t="s">
        <v>383</v>
      </c>
      <c r="G32" s="70" t="s">
        <v>383</v>
      </c>
      <c r="H32" s="70" t="s">
        <v>383</v>
      </c>
      <c r="I32" s="70" t="s">
        <v>383</v>
      </c>
      <c r="J32" s="70" t="s">
        <v>383</v>
      </c>
      <c r="K32" s="70" t="s">
        <v>383</v>
      </c>
      <c r="L32" s="70" t="s">
        <v>383</v>
      </c>
      <c r="M32" s="70" t="s">
        <v>383</v>
      </c>
      <c r="N32" s="70" t="s">
        <v>383</v>
      </c>
      <c r="O32" s="70" t="s">
        <v>383</v>
      </c>
      <c r="P32" s="70" t="s">
        <v>383</v>
      </c>
      <c r="Q32" s="70" t="s">
        <v>383</v>
      </c>
      <c r="R32" s="70" t="s">
        <v>383</v>
      </c>
      <c r="S32" s="70" t="s">
        <v>383</v>
      </c>
      <c r="T32" s="70" t="s">
        <v>383</v>
      </c>
      <c r="U32" s="70" t="s">
        <v>383</v>
      </c>
      <c r="V32" s="70" t="s">
        <v>383</v>
      </c>
      <c r="W32" s="70" t="s">
        <v>383</v>
      </c>
      <c r="X32" s="70">
        <v>4</v>
      </c>
      <c r="Y32" s="70">
        <v>6</v>
      </c>
      <c r="Z32" s="70">
        <v>5</v>
      </c>
      <c r="AA32" s="70">
        <v>5</v>
      </c>
      <c r="AB32" s="70">
        <v>4</v>
      </c>
      <c r="AC32" s="70">
        <v>4</v>
      </c>
      <c r="AD32" s="70">
        <v>4</v>
      </c>
      <c r="AE32" s="157" t="s">
        <v>383</v>
      </c>
    </row>
    <row r="33" spans="1:32" ht="15" customHeight="1" x14ac:dyDescent="0.25">
      <c r="A33" s="156">
        <v>32</v>
      </c>
      <c r="B33" s="17" t="s">
        <v>42</v>
      </c>
      <c r="C33" s="70" t="s">
        <v>383</v>
      </c>
      <c r="D33" s="70" t="s">
        <v>383</v>
      </c>
      <c r="E33" s="70" t="s">
        <v>383</v>
      </c>
      <c r="F33" s="70" t="s">
        <v>383</v>
      </c>
      <c r="G33" s="70" t="s">
        <v>383</v>
      </c>
      <c r="H33" s="70" t="s">
        <v>383</v>
      </c>
      <c r="I33" s="70" t="s">
        <v>383</v>
      </c>
      <c r="J33" s="70" t="s">
        <v>383</v>
      </c>
      <c r="K33" s="70" t="s">
        <v>383</v>
      </c>
      <c r="L33" s="70" t="s">
        <v>383</v>
      </c>
      <c r="M33" s="70" t="s">
        <v>383</v>
      </c>
      <c r="N33" s="70" t="s">
        <v>383</v>
      </c>
      <c r="O33" s="70" t="s">
        <v>383</v>
      </c>
      <c r="P33" s="70" t="s">
        <v>383</v>
      </c>
      <c r="Q33" s="70" t="s">
        <v>383</v>
      </c>
      <c r="R33" s="70" t="s">
        <v>383</v>
      </c>
      <c r="S33" s="70" t="s">
        <v>383</v>
      </c>
      <c r="T33" s="70" t="s">
        <v>383</v>
      </c>
      <c r="U33" s="70" t="s">
        <v>383</v>
      </c>
      <c r="V33" s="70" t="s">
        <v>383</v>
      </c>
      <c r="W33" s="70" t="s">
        <v>383</v>
      </c>
      <c r="X33" s="70" t="s">
        <v>383</v>
      </c>
      <c r="Y33" s="70" t="s">
        <v>383</v>
      </c>
      <c r="Z33" s="70" t="s">
        <v>383</v>
      </c>
      <c r="AA33" s="70" t="s">
        <v>383</v>
      </c>
      <c r="AB33" s="70" t="s">
        <v>383</v>
      </c>
      <c r="AC33" s="70" t="s">
        <v>383</v>
      </c>
      <c r="AD33" s="70" t="s">
        <v>383</v>
      </c>
      <c r="AE33" s="157" t="s">
        <v>383</v>
      </c>
    </row>
    <row r="34" spans="1:32" ht="15" customHeight="1" x14ac:dyDescent="0.25">
      <c r="A34" s="156">
        <v>33</v>
      </c>
      <c r="B34" s="17" t="s">
        <v>43</v>
      </c>
      <c r="C34" s="70" t="s">
        <v>383</v>
      </c>
      <c r="D34" s="70" t="s">
        <v>383</v>
      </c>
      <c r="E34" s="70" t="s">
        <v>383</v>
      </c>
      <c r="F34" s="70" t="s">
        <v>383</v>
      </c>
      <c r="G34" s="70" t="s">
        <v>383</v>
      </c>
      <c r="H34" s="70" t="s">
        <v>383</v>
      </c>
      <c r="I34" s="70" t="s">
        <v>383</v>
      </c>
      <c r="J34" s="70" t="s">
        <v>383</v>
      </c>
      <c r="K34" s="70" t="s">
        <v>383</v>
      </c>
      <c r="L34" s="70" t="s">
        <v>383</v>
      </c>
      <c r="M34" s="70" t="s">
        <v>383</v>
      </c>
      <c r="N34" s="70" t="s">
        <v>383</v>
      </c>
      <c r="O34" s="70" t="s">
        <v>383</v>
      </c>
      <c r="P34" s="70" t="s">
        <v>383</v>
      </c>
      <c r="Q34" s="70" t="s">
        <v>383</v>
      </c>
      <c r="R34" s="70" t="s">
        <v>383</v>
      </c>
      <c r="S34" s="70" t="s">
        <v>383</v>
      </c>
      <c r="T34" s="70" t="s">
        <v>383</v>
      </c>
      <c r="U34" s="70" t="s">
        <v>383</v>
      </c>
      <c r="V34" s="70" t="s">
        <v>383</v>
      </c>
      <c r="W34" s="70" t="s">
        <v>383</v>
      </c>
      <c r="X34" s="70" t="s">
        <v>383</v>
      </c>
      <c r="Y34" s="70" t="s">
        <v>383</v>
      </c>
      <c r="Z34" s="70" t="s">
        <v>383</v>
      </c>
      <c r="AA34" s="70" t="s">
        <v>383</v>
      </c>
      <c r="AB34" s="70" t="s">
        <v>383</v>
      </c>
      <c r="AC34" s="70" t="s">
        <v>383</v>
      </c>
      <c r="AD34" s="70" t="s">
        <v>383</v>
      </c>
      <c r="AE34" s="157" t="s">
        <v>383</v>
      </c>
    </row>
    <row r="35" spans="1:32" ht="15" customHeight="1" x14ac:dyDescent="0.25">
      <c r="A35" s="156">
        <v>34</v>
      </c>
      <c r="B35" s="17" t="s">
        <v>44</v>
      </c>
      <c r="C35" s="70" t="s">
        <v>383</v>
      </c>
      <c r="D35" s="70" t="s">
        <v>383</v>
      </c>
      <c r="E35" s="70" t="s">
        <v>383</v>
      </c>
      <c r="F35" s="70" t="s">
        <v>383</v>
      </c>
      <c r="G35" s="70" t="s">
        <v>383</v>
      </c>
      <c r="H35" s="70" t="s">
        <v>383</v>
      </c>
      <c r="I35" s="70" t="s">
        <v>383</v>
      </c>
      <c r="J35" s="70" t="s">
        <v>383</v>
      </c>
      <c r="K35" s="70" t="s">
        <v>383</v>
      </c>
      <c r="L35" s="70" t="s">
        <v>383</v>
      </c>
      <c r="M35" s="70" t="s">
        <v>383</v>
      </c>
      <c r="N35" s="70" t="s">
        <v>383</v>
      </c>
      <c r="O35" s="70" t="s">
        <v>383</v>
      </c>
      <c r="P35" s="70" t="s">
        <v>383</v>
      </c>
      <c r="Q35" s="70" t="s">
        <v>383</v>
      </c>
      <c r="R35" s="70" t="s">
        <v>383</v>
      </c>
      <c r="S35" s="70" t="s">
        <v>383</v>
      </c>
      <c r="T35" s="70" t="s">
        <v>383</v>
      </c>
      <c r="U35" s="70" t="s">
        <v>383</v>
      </c>
      <c r="V35" s="70" t="s">
        <v>383</v>
      </c>
      <c r="W35" s="70" t="s">
        <v>383</v>
      </c>
      <c r="X35" s="70" t="s">
        <v>383</v>
      </c>
      <c r="Y35" s="70" t="s">
        <v>383</v>
      </c>
      <c r="Z35" s="70" t="s">
        <v>383</v>
      </c>
      <c r="AA35" s="70" t="s">
        <v>383</v>
      </c>
      <c r="AB35" s="70" t="s">
        <v>383</v>
      </c>
      <c r="AC35" s="70" t="s">
        <v>383</v>
      </c>
      <c r="AD35" s="70" t="s">
        <v>383</v>
      </c>
      <c r="AE35" s="157" t="s">
        <v>383</v>
      </c>
    </row>
    <row r="36" spans="1:32" ht="15" customHeight="1" x14ac:dyDescent="0.25">
      <c r="A36" s="156">
        <v>35</v>
      </c>
      <c r="B36" s="17" t="s">
        <v>45</v>
      </c>
      <c r="C36" s="70" t="s">
        <v>383</v>
      </c>
      <c r="D36" s="70" t="s">
        <v>383</v>
      </c>
      <c r="E36" s="70" t="s">
        <v>383</v>
      </c>
      <c r="F36" s="70" t="s">
        <v>383</v>
      </c>
      <c r="G36" s="70" t="s">
        <v>383</v>
      </c>
      <c r="H36" s="70" t="s">
        <v>383</v>
      </c>
      <c r="I36" s="70" t="s">
        <v>383</v>
      </c>
      <c r="J36" s="70" t="s">
        <v>383</v>
      </c>
      <c r="K36" s="70" t="s">
        <v>383</v>
      </c>
      <c r="L36" s="70" t="s">
        <v>383</v>
      </c>
      <c r="M36" s="70" t="s">
        <v>383</v>
      </c>
      <c r="N36" s="70" t="s">
        <v>383</v>
      </c>
      <c r="O36" s="70" t="s">
        <v>383</v>
      </c>
      <c r="P36" s="70" t="s">
        <v>383</v>
      </c>
      <c r="Q36" s="70" t="s">
        <v>383</v>
      </c>
      <c r="R36" s="70" t="s">
        <v>383</v>
      </c>
      <c r="S36" s="70" t="s">
        <v>383</v>
      </c>
      <c r="T36" s="70" t="s">
        <v>383</v>
      </c>
      <c r="U36" s="70" t="s">
        <v>383</v>
      </c>
      <c r="V36" s="70" t="s">
        <v>383</v>
      </c>
      <c r="W36" s="70" t="s">
        <v>383</v>
      </c>
      <c r="X36" s="70" t="s">
        <v>383</v>
      </c>
      <c r="Y36" s="70" t="s">
        <v>383</v>
      </c>
      <c r="Z36" s="70" t="s">
        <v>383</v>
      </c>
      <c r="AA36" s="70" t="s">
        <v>383</v>
      </c>
      <c r="AB36" s="70" t="s">
        <v>383</v>
      </c>
      <c r="AC36" s="70" t="s">
        <v>383</v>
      </c>
      <c r="AD36" s="70">
        <v>4</v>
      </c>
      <c r="AE36" s="157" t="s">
        <v>383</v>
      </c>
    </row>
    <row r="37" spans="1:32" ht="15" customHeight="1" x14ac:dyDescent="0.25">
      <c r="A37" s="156">
        <v>36</v>
      </c>
      <c r="B37" s="17" t="s">
        <v>46</v>
      </c>
      <c r="C37" s="70">
        <v>12</v>
      </c>
      <c r="D37" s="70">
        <v>13</v>
      </c>
      <c r="E37" s="70">
        <v>11</v>
      </c>
      <c r="F37" s="70">
        <v>10</v>
      </c>
      <c r="G37" s="70">
        <v>8</v>
      </c>
      <c r="H37" s="70">
        <v>5</v>
      </c>
      <c r="I37" s="70">
        <v>4</v>
      </c>
      <c r="J37" s="70" t="s">
        <v>383</v>
      </c>
      <c r="K37" s="70">
        <v>5</v>
      </c>
      <c r="L37" s="70">
        <v>7</v>
      </c>
      <c r="M37" s="70">
        <v>11</v>
      </c>
      <c r="N37" s="70">
        <v>13</v>
      </c>
      <c r="O37" s="70">
        <v>12</v>
      </c>
      <c r="P37" s="70">
        <v>11</v>
      </c>
      <c r="Q37" s="70">
        <v>8</v>
      </c>
      <c r="R37" s="70">
        <v>5</v>
      </c>
      <c r="S37" s="70">
        <v>5</v>
      </c>
      <c r="T37" s="70">
        <v>8</v>
      </c>
      <c r="U37" s="70">
        <v>9</v>
      </c>
      <c r="V37" s="70">
        <v>12</v>
      </c>
      <c r="W37" s="70">
        <v>13</v>
      </c>
      <c r="X37" s="70">
        <v>14</v>
      </c>
      <c r="Y37" s="70">
        <v>15</v>
      </c>
      <c r="Z37" s="70">
        <v>11</v>
      </c>
      <c r="AA37" s="70">
        <v>12</v>
      </c>
      <c r="AB37" s="70">
        <v>11</v>
      </c>
      <c r="AC37" s="70">
        <v>12</v>
      </c>
      <c r="AD37" s="70">
        <v>15</v>
      </c>
      <c r="AE37" s="157">
        <v>10</v>
      </c>
    </row>
    <row r="38" spans="1:32" ht="15" customHeight="1" thickBot="1" x14ac:dyDescent="0.3">
      <c r="A38" s="152">
        <v>37</v>
      </c>
      <c r="B38" s="15" t="s">
        <v>47</v>
      </c>
      <c r="C38" s="68" t="s">
        <v>383</v>
      </c>
      <c r="D38" s="68" t="s">
        <v>383</v>
      </c>
      <c r="E38" s="68" t="s">
        <v>383</v>
      </c>
      <c r="F38" s="68" t="s">
        <v>383</v>
      </c>
      <c r="G38" s="68" t="s">
        <v>383</v>
      </c>
      <c r="H38" s="68" t="s">
        <v>383</v>
      </c>
      <c r="I38" s="68" t="s">
        <v>383</v>
      </c>
      <c r="J38" s="68" t="s">
        <v>383</v>
      </c>
      <c r="K38" s="68" t="s">
        <v>383</v>
      </c>
      <c r="L38" s="68" t="s">
        <v>383</v>
      </c>
      <c r="M38" s="68" t="s">
        <v>383</v>
      </c>
      <c r="N38" s="68" t="s">
        <v>383</v>
      </c>
      <c r="O38" s="68" t="s">
        <v>383</v>
      </c>
      <c r="P38" s="68" t="s">
        <v>383</v>
      </c>
      <c r="Q38" s="68" t="s">
        <v>383</v>
      </c>
      <c r="R38" s="68" t="s">
        <v>383</v>
      </c>
      <c r="S38" s="68" t="s">
        <v>383</v>
      </c>
      <c r="T38" s="68" t="s">
        <v>383</v>
      </c>
      <c r="U38" s="68" t="s">
        <v>383</v>
      </c>
      <c r="V38" s="68" t="s">
        <v>383</v>
      </c>
      <c r="W38" s="68" t="s">
        <v>383</v>
      </c>
      <c r="X38" s="68" t="s">
        <v>383</v>
      </c>
      <c r="Y38" s="68" t="s">
        <v>383</v>
      </c>
      <c r="Z38" s="68" t="s">
        <v>383</v>
      </c>
      <c r="AA38" s="68" t="s">
        <v>383</v>
      </c>
      <c r="AB38" s="68" t="s">
        <v>383</v>
      </c>
      <c r="AC38" s="68" t="s">
        <v>383</v>
      </c>
      <c r="AD38" s="68" t="s">
        <v>383</v>
      </c>
      <c r="AE38" s="153" t="s">
        <v>383</v>
      </c>
    </row>
    <row r="39" spans="1:32" s="11" customFormat="1" ht="15" customHeight="1" thickBot="1" x14ac:dyDescent="0.3">
      <c r="A39" s="144" t="s">
        <v>48</v>
      </c>
      <c r="B39" s="9" t="s">
        <v>49</v>
      </c>
      <c r="C39" s="64">
        <v>4</v>
      </c>
      <c r="D39" s="64">
        <v>4</v>
      </c>
      <c r="E39" s="64">
        <v>6</v>
      </c>
      <c r="F39" s="64">
        <v>6</v>
      </c>
      <c r="G39" s="64">
        <v>7</v>
      </c>
      <c r="H39" s="64">
        <v>6</v>
      </c>
      <c r="I39" s="64">
        <v>7</v>
      </c>
      <c r="J39" s="64">
        <v>6</v>
      </c>
      <c r="K39" s="64">
        <v>7</v>
      </c>
      <c r="L39" s="64">
        <v>6</v>
      </c>
      <c r="M39" s="64">
        <v>6</v>
      </c>
      <c r="N39" s="64">
        <v>6</v>
      </c>
      <c r="O39" s="64">
        <v>7</v>
      </c>
      <c r="P39" s="64">
        <v>9</v>
      </c>
      <c r="Q39" s="64">
        <v>9</v>
      </c>
      <c r="R39" s="64">
        <v>10</v>
      </c>
      <c r="S39" s="64">
        <v>9</v>
      </c>
      <c r="T39" s="64">
        <v>9</v>
      </c>
      <c r="U39" s="64">
        <v>8</v>
      </c>
      <c r="V39" s="64">
        <v>8</v>
      </c>
      <c r="W39" s="64">
        <v>9</v>
      </c>
      <c r="X39" s="64">
        <v>11</v>
      </c>
      <c r="Y39" s="64">
        <v>11</v>
      </c>
      <c r="Z39" s="64">
        <v>11</v>
      </c>
      <c r="AA39" s="64">
        <v>9</v>
      </c>
      <c r="AB39" s="64">
        <v>11</v>
      </c>
      <c r="AC39" s="64">
        <v>10</v>
      </c>
      <c r="AD39" s="64">
        <v>11</v>
      </c>
      <c r="AE39" s="145">
        <v>11</v>
      </c>
      <c r="AF39" s="10"/>
    </row>
    <row r="40" spans="1:32" ht="15" customHeight="1" x14ac:dyDescent="0.25">
      <c r="A40" s="146">
        <v>40</v>
      </c>
      <c r="B40" s="12" t="s">
        <v>50</v>
      </c>
      <c r="C40" s="65" t="s">
        <v>383</v>
      </c>
      <c r="D40" s="65" t="s">
        <v>383</v>
      </c>
      <c r="E40" s="65" t="s">
        <v>383</v>
      </c>
      <c r="F40" s="65" t="s">
        <v>383</v>
      </c>
      <c r="G40" s="65" t="s">
        <v>383</v>
      </c>
      <c r="H40" s="65" t="s">
        <v>383</v>
      </c>
      <c r="I40" s="65" t="s">
        <v>383</v>
      </c>
      <c r="J40" s="65" t="s">
        <v>383</v>
      </c>
      <c r="K40" s="65" t="s">
        <v>383</v>
      </c>
      <c r="L40" s="65" t="s">
        <v>383</v>
      </c>
      <c r="M40" s="65" t="s">
        <v>383</v>
      </c>
      <c r="N40" s="65" t="s">
        <v>383</v>
      </c>
      <c r="O40" s="65" t="s">
        <v>383</v>
      </c>
      <c r="P40" s="65" t="s">
        <v>383</v>
      </c>
      <c r="Q40" s="65" t="s">
        <v>383</v>
      </c>
      <c r="R40" s="65" t="s">
        <v>383</v>
      </c>
      <c r="S40" s="65" t="s">
        <v>383</v>
      </c>
      <c r="T40" s="65" t="s">
        <v>383</v>
      </c>
      <c r="U40" s="65" t="s">
        <v>383</v>
      </c>
      <c r="V40" s="65" t="s">
        <v>383</v>
      </c>
      <c r="W40" s="65" t="s">
        <v>383</v>
      </c>
      <c r="X40" s="65" t="s">
        <v>383</v>
      </c>
      <c r="Y40" s="65" t="s">
        <v>383</v>
      </c>
      <c r="Z40" s="65" t="s">
        <v>383</v>
      </c>
      <c r="AA40" s="65" t="s">
        <v>383</v>
      </c>
      <c r="AB40" s="65" t="s">
        <v>383</v>
      </c>
      <c r="AC40" s="65" t="s">
        <v>383</v>
      </c>
      <c r="AD40" s="65" t="s">
        <v>383</v>
      </c>
      <c r="AE40" s="147" t="s">
        <v>383</v>
      </c>
    </row>
    <row r="41" spans="1:32" ht="15" customHeight="1" thickBot="1" x14ac:dyDescent="0.3">
      <c r="A41" s="158">
        <v>41</v>
      </c>
      <c r="B41" s="18" t="s">
        <v>51</v>
      </c>
      <c r="C41" s="71" t="s">
        <v>383</v>
      </c>
      <c r="D41" s="71" t="s">
        <v>383</v>
      </c>
      <c r="E41" s="71" t="s">
        <v>383</v>
      </c>
      <c r="F41" s="71" t="s">
        <v>383</v>
      </c>
      <c r="G41" s="71" t="s">
        <v>383</v>
      </c>
      <c r="H41" s="71" t="s">
        <v>383</v>
      </c>
      <c r="I41" s="71" t="s">
        <v>383</v>
      </c>
      <c r="J41" s="71" t="s">
        <v>383</v>
      </c>
      <c r="K41" s="71" t="s">
        <v>383</v>
      </c>
      <c r="L41" s="71" t="s">
        <v>383</v>
      </c>
      <c r="M41" s="71" t="s">
        <v>383</v>
      </c>
      <c r="N41" s="71" t="s">
        <v>383</v>
      </c>
      <c r="O41" s="71" t="s">
        <v>383</v>
      </c>
      <c r="P41" s="71" t="s">
        <v>383</v>
      </c>
      <c r="Q41" s="71" t="s">
        <v>383</v>
      </c>
      <c r="R41" s="71" t="s">
        <v>383</v>
      </c>
      <c r="S41" s="71" t="s">
        <v>383</v>
      </c>
      <c r="T41" s="71" t="s">
        <v>383</v>
      </c>
      <c r="U41" s="71" t="s">
        <v>383</v>
      </c>
      <c r="V41" s="71" t="s">
        <v>383</v>
      </c>
      <c r="W41" s="71" t="s">
        <v>383</v>
      </c>
      <c r="X41" s="71" t="s">
        <v>383</v>
      </c>
      <c r="Y41" s="71" t="s">
        <v>383</v>
      </c>
      <c r="Z41" s="71" t="s">
        <v>383</v>
      </c>
      <c r="AA41" s="71" t="s">
        <v>383</v>
      </c>
      <c r="AB41" s="71" t="s">
        <v>383</v>
      </c>
      <c r="AC41" s="71" t="s">
        <v>383</v>
      </c>
      <c r="AD41" s="71" t="s">
        <v>383</v>
      </c>
      <c r="AE41" s="159" t="s">
        <v>383</v>
      </c>
    </row>
    <row r="42" spans="1:32" s="11" customFormat="1" ht="15" customHeight="1" thickBot="1" x14ac:dyDescent="0.3">
      <c r="A42" s="160" t="s">
        <v>52</v>
      </c>
      <c r="B42" s="19" t="s">
        <v>53</v>
      </c>
      <c r="C42" s="64">
        <v>110</v>
      </c>
      <c r="D42" s="64">
        <v>113</v>
      </c>
      <c r="E42" s="64">
        <v>114</v>
      </c>
      <c r="F42" s="64">
        <v>107</v>
      </c>
      <c r="G42" s="64">
        <v>95</v>
      </c>
      <c r="H42" s="64">
        <v>84</v>
      </c>
      <c r="I42" s="64">
        <v>78</v>
      </c>
      <c r="J42" s="64">
        <v>93</v>
      </c>
      <c r="K42" s="64">
        <v>109</v>
      </c>
      <c r="L42" s="64">
        <v>139</v>
      </c>
      <c r="M42" s="64">
        <v>170</v>
      </c>
      <c r="N42" s="64">
        <v>195</v>
      </c>
      <c r="O42" s="64">
        <v>216</v>
      </c>
      <c r="P42" s="64">
        <v>190</v>
      </c>
      <c r="Q42" s="64">
        <v>195</v>
      </c>
      <c r="R42" s="64">
        <v>194</v>
      </c>
      <c r="S42" s="64">
        <v>208</v>
      </c>
      <c r="T42" s="64">
        <v>217</v>
      </c>
      <c r="U42" s="64">
        <v>210</v>
      </c>
      <c r="V42" s="64">
        <v>210</v>
      </c>
      <c r="W42" s="64">
        <v>206</v>
      </c>
      <c r="X42" s="64">
        <v>240</v>
      </c>
      <c r="Y42" s="64">
        <v>212</v>
      </c>
      <c r="Z42" s="64">
        <v>201</v>
      </c>
      <c r="AA42" s="64">
        <v>204</v>
      </c>
      <c r="AB42" s="64">
        <v>232</v>
      </c>
      <c r="AC42" s="64">
        <v>279</v>
      </c>
      <c r="AD42" s="64">
        <v>281</v>
      </c>
      <c r="AE42" s="145">
        <v>280</v>
      </c>
      <c r="AF42" s="10"/>
    </row>
    <row r="43" spans="1:32" ht="15" customHeight="1" thickBot="1" x14ac:dyDescent="0.3">
      <c r="A43" s="150">
        <v>45</v>
      </c>
      <c r="B43" s="14" t="s">
        <v>54</v>
      </c>
      <c r="C43" s="67">
        <v>110</v>
      </c>
      <c r="D43" s="67">
        <v>113</v>
      </c>
      <c r="E43" s="67">
        <v>114</v>
      </c>
      <c r="F43" s="67">
        <v>107</v>
      </c>
      <c r="G43" s="67">
        <v>95</v>
      </c>
      <c r="H43" s="67">
        <v>84</v>
      </c>
      <c r="I43" s="67">
        <v>78</v>
      </c>
      <c r="J43" s="67">
        <v>93</v>
      </c>
      <c r="K43" s="67">
        <v>109</v>
      </c>
      <c r="L43" s="67">
        <v>139</v>
      </c>
      <c r="M43" s="67">
        <v>170</v>
      </c>
      <c r="N43" s="67">
        <v>195</v>
      </c>
      <c r="O43" s="67">
        <v>216</v>
      </c>
      <c r="P43" s="67">
        <v>190</v>
      </c>
      <c r="Q43" s="67">
        <v>195</v>
      </c>
      <c r="R43" s="67">
        <v>194</v>
      </c>
      <c r="S43" s="67">
        <v>208</v>
      </c>
      <c r="T43" s="67">
        <v>217</v>
      </c>
      <c r="U43" s="67">
        <v>210</v>
      </c>
      <c r="V43" s="67">
        <v>210</v>
      </c>
      <c r="W43" s="67">
        <v>206</v>
      </c>
      <c r="X43" s="67">
        <v>240</v>
      </c>
      <c r="Y43" s="67">
        <v>212</v>
      </c>
      <c r="Z43" s="67">
        <v>201</v>
      </c>
      <c r="AA43" s="67">
        <v>204</v>
      </c>
      <c r="AB43" s="67">
        <v>232</v>
      </c>
      <c r="AC43" s="67">
        <v>279</v>
      </c>
      <c r="AD43" s="67">
        <v>281</v>
      </c>
      <c r="AE43" s="151">
        <v>280</v>
      </c>
    </row>
    <row r="44" spans="1:32" s="11" customFormat="1" ht="15" customHeight="1" thickBot="1" x14ac:dyDescent="0.3">
      <c r="A44" s="144" t="s">
        <v>55</v>
      </c>
      <c r="B44" s="9" t="s">
        <v>56</v>
      </c>
      <c r="C44" s="64">
        <v>552</v>
      </c>
      <c r="D44" s="64">
        <v>561</v>
      </c>
      <c r="E44" s="64">
        <v>574</v>
      </c>
      <c r="F44" s="64">
        <v>587</v>
      </c>
      <c r="G44" s="64">
        <v>609</v>
      </c>
      <c r="H44" s="64">
        <v>611</v>
      </c>
      <c r="I44" s="64">
        <v>568</v>
      </c>
      <c r="J44" s="64">
        <v>634</v>
      </c>
      <c r="K44" s="64">
        <v>716</v>
      </c>
      <c r="L44" s="64">
        <v>797</v>
      </c>
      <c r="M44" s="64">
        <v>881</v>
      </c>
      <c r="N44" s="64">
        <v>926</v>
      </c>
      <c r="O44" s="64">
        <v>1014</v>
      </c>
      <c r="P44" s="64">
        <v>1016</v>
      </c>
      <c r="Q44" s="64">
        <v>1043</v>
      </c>
      <c r="R44" s="64">
        <v>1098</v>
      </c>
      <c r="S44" s="64">
        <v>1147</v>
      </c>
      <c r="T44" s="64">
        <v>1184</v>
      </c>
      <c r="U44" s="64">
        <v>1195</v>
      </c>
      <c r="V44" s="64">
        <v>1269</v>
      </c>
      <c r="W44" s="64">
        <v>1283</v>
      </c>
      <c r="X44" s="64">
        <v>1336</v>
      </c>
      <c r="Y44" s="64">
        <v>1290</v>
      </c>
      <c r="Z44" s="64">
        <v>1202</v>
      </c>
      <c r="AA44" s="64">
        <v>1135</v>
      </c>
      <c r="AB44" s="64">
        <v>1156</v>
      </c>
      <c r="AC44" s="64">
        <v>1317</v>
      </c>
      <c r="AD44" s="64">
        <v>1425</v>
      </c>
      <c r="AE44" s="145">
        <v>1342</v>
      </c>
      <c r="AF44" s="10"/>
    </row>
    <row r="45" spans="1:32" ht="15" customHeight="1" x14ac:dyDescent="0.25">
      <c r="A45" s="146">
        <v>50</v>
      </c>
      <c r="B45" s="12" t="s">
        <v>57</v>
      </c>
      <c r="C45" s="65">
        <v>78</v>
      </c>
      <c r="D45" s="65">
        <v>83</v>
      </c>
      <c r="E45" s="65">
        <v>80</v>
      </c>
      <c r="F45" s="65">
        <v>85</v>
      </c>
      <c r="G45" s="65">
        <v>87</v>
      </c>
      <c r="H45" s="65">
        <v>78</v>
      </c>
      <c r="I45" s="65">
        <v>73</v>
      </c>
      <c r="J45" s="65">
        <v>81</v>
      </c>
      <c r="K45" s="65">
        <v>87</v>
      </c>
      <c r="L45" s="65">
        <v>100</v>
      </c>
      <c r="M45" s="65">
        <v>113</v>
      </c>
      <c r="N45" s="65">
        <v>116</v>
      </c>
      <c r="O45" s="65">
        <v>126</v>
      </c>
      <c r="P45" s="65">
        <v>123</v>
      </c>
      <c r="Q45" s="65">
        <v>129</v>
      </c>
      <c r="R45" s="65">
        <v>129</v>
      </c>
      <c r="S45" s="65">
        <v>130</v>
      </c>
      <c r="T45" s="65">
        <v>133</v>
      </c>
      <c r="U45" s="65">
        <v>135</v>
      </c>
      <c r="V45" s="65">
        <v>143</v>
      </c>
      <c r="W45" s="65">
        <v>156</v>
      </c>
      <c r="X45" s="65">
        <v>152</v>
      </c>
      <c r="Y45" s="65">
        <v>143</v>
      </c>
      <c r="Z45" s="65">
        <v>135</v>
      </c>
      <c r="AA45" s="65">
        <v>135</v>
      </c>
      <c r="AB45" s="65">
        <v>143</v>
      </c>
      <c r="AC45" s="65">
        <v>165</v>
      </c>
      <c r="AD45" s="65">
        <v>171</v>
      </c>
      <c r="AE45" s="147">
        <v>166</v>
      </c>
    </row>
    <row r="46" spans="1:32" ht="15" customHeight="1" x14ac:dyDescent="0.25">
      <c r="A46" s="156">
        <v>51</v>
      </c>
      <c r="B46" s="17" t="s">
        <v>58</v>
      </c>
      <c r="C46" s="70">
        <v>94</v>
      </c>
      <c r="D46" s="70">
        <v>104</v>
      </c>
      <c r="E46" s="70">
        <v>105</v>
      </c>
      <c r="F46" s="70">
        <v>110</v>
      </c>
      <c r="G46" s="70">
        <v>97</v>
      </c>
      <c r="H46" s="70">
        <v>88</v>
      </c>
      <c r="I46" s="70">
        <v>88</v>
      </c>
      <c r="J46" s="70">
        <v>99</v>
      </c>
      <c r="K46" s="70">
        <v>113</v>
      </c>
      <c r="L46" s="70">
        <v>115</v>
      </c>
      <c r="M46" s="70">
        <v>115</v>
      </c>
      <c r="N46" s="70">
        <v>122</v>
      </c>
      <c r="O46" s="70">
        <v>135</v>
      </c>
      <c r="P46" s="70">
        <v>123</v>
      </c>
      <c r="Q46" s="70">
        <v>122</v>
      </c>
      <c r="R46" s="70">
        <v>133</v>
      </c>
      <c r="S46" s="70">
        <v>135</v>
      </c>
      <c r="T46" s="70">
        <v>136</v>
      </c>
      <c r="U46" s="70">
        <v>144</v>
      </c>
      <c r="V46" s="70">
        <v>142</v>
      </c>
      <c r="W46" s="70">
        <v>147</v>
      </c>
      <c r="X46" s="70">
        <v>159</v>
      </c>
      <c r="Y46" s="70">
        <v>144</v>
      </c>
      <c r="Z46" s="70">
        <v>133</v>
      </c>
      <c r="AA46" s="70">
        <v>138</v>
      </c>
      <c r="AB46" s="70">
        <v>149</v>
      </c>
      <c r="AC46" s="70">
        <v>173</v>
      </c>
      <c r="AD46" s="70">
        <v>188</v>
      </c>
      <c r="AE46" s="157">
        <v>186</v>
      </c>
    </row>
    <row r="47" spans="1:32" ht="15" customHeight="1" thickBot="1" x14ac:dyDescent="0.3">
      <c r="A47" s="158">
        <v>52</v>
      </c>
      <c r="B47" s="18" t="s">
        <v>59</v>
      </c>
      <c r="C47" s="71">
        <v>380</v>
      </c>
      <c r="D47" s="71">
        <v>374</v>
      </c>
      <c r="E47" s="71">
        <v>389</v>
      </c>
      <c r="F47" s="71">
        <v>392</v>
      </c>
      <c r="G47" s="71">
        <v>425</v>
      </c>
      <c r="H47" s="71">
        <v>445</v>
      </c>
      <c r="I47" s="71">
        <v>407</v>
      </c>
      <c r="J47" s="71">
        <v>454</v>
      </c>
      <c r="K47" s="71">
        <v>516</v>
      </c>
      <c r="L47" s="71">
        <v>582</v>
      </c>
      <c r="M47" s="71">
        <v>653</v>
      </c>
      <c r="N47" s="71">
        <v>688</v>
      </c>
      <c r="O47" s="71">
        <v>753</v>
      </c>
      <c r="P47" s="71">
        <v>770</v>
      </c>
      <c r="Q47" s="71">
        <v>792</v>
      </c>
      <c r="R47" s="71">
        <v>836</v>
      </c>
      <c r="S47" s="71">
        <v>882</v>
      </c>
      <c r="T47" s="71">
        <v>915</v>
      </c>
      <c r="U47" s="71">
        <v>916</v>
      </c>
      <c r="V47" s="71">
        <v>984</v>
      </c>
      <c r="W47" s="71">
        <v>980</v>
      </c>
      <c r="X47" s="71">
        <v>1025</v>
      </c>
      <c r="Y47" s="71">
        <v>1003</v>
      </c>
      <c r="Z47" s="71">
        <v>934</v>
      </c>
      <c r="AA47" s="71">
        <v>862</v>
      </c>
      <c r="AB47" s="71">
        <v>864</v>
      </c>
      <c r="AC47" s="71">
        <v>979</v>
      </c>
      <c r="AD47" s="71">
        <v>1066</v>
      </c>
      <c r="AE47" s="159">
        <v>990</v>
      </c>
    </row>
    <row r="48" spans="1:32" s="11" customFormat="1" ht="15" customHeight="1" thickBot="1" x14ac:dyDescent="0.3">
      <c r="A48" s="160" t="s">
        <v>60</v>
      </c>
      <c r="B48" s="19" t="s">
        <v>61</v>
      </c>
      <c r="C48" s="64">
        <v>88</v>
      </c>
      <c r="D48" s="64">
        <v>90</v>
      </c>
      <c r="E48" s="64">
        <v>96</v>
      </c>
      <c r="F48" s="64">
        <v>84</v>
      </c>
      <c r="G48" s="64">
        <v>81</v>
      </c>
      <c r="H48" s="64">
        <v>76</v>
      </c>
      <c r="I48" s="64">
        <v>80</v>
      </c>
      <c r="J48" s="64">
        <v>89</v>
      </c>
      <c r="K48" s="64">
        <v>115</v>
      </c>
      <c r="L48" s="64">
        <v>132</v>
      </c>
      <c r="M48" s="64">
        <v>156</v>
      </c>
      <c r="N48" s="64">
        <v>165</v>
      </c>
      <c r="O48" s="64">
        <v>181</v>
      </c>
      <c r="P48" s="64">
        <v>185</v>
      </c>
      <c r="Q48" s="64">
        <v>189</v>
      </c>
      <c r="R48" s="64">
        <v>206</v>
      </c>
      <c r="S48" s="64">
        <v>201</v>
      </c>
      <c r="T48" s="64">
        <v>220</v>
      </c>
      <c r="U48" s="64">
        <v>219</v>
      </c>
      <c r="V48" s="64">
        <v>236</v>
      </c>
      <c r="W48" s="64">
        <v>245</v>
      </c>
      <c r="X48" s="64">
        <v>252</v>
      </c>
      <c r="Y48" s="64">
        <v>250</v>
      </c>
      <c r="Z48" s="64">
        <v>222</v>
      </c>
      <c r="AA48" s="64">
        <v>195</v>
      </c>
      <c r="AB48" s="64">
        <v>182</v>
      </c>
      <c r="AC48" s="64">
        <v>224</v>
      </c>
      <c r="AD48" s="64">
        <v>241</v>
      </c>
      <c r="AE48" s="145">
        <v>220</v>
      </c>
      <c r="AF48" s="10"/>
    </row>
    <row r="49" spans="1:32" ht="15" customHeight="1" thickBot="1" x14ac:dyDescent="0.3">
      <c r="A49" s="150">
        <v>55</v>
      </c>
      <c r="B49" s="14" t="s">
        <v>62</v>
      </c>
      <c r="C49" s="67">
        <v>88</v>
      </c>
      <c r="D49" s="67">
        <v>90</v>
      </c>
      <c r="E49" s="67">
        <v>96</v>
      </c>
      <c r="F49" s="67">
        <v>84</v>
      </c>
      <c r="G49" s="67">
        <v>81</v>
      </c>
      <c r="H49" s="67">
        <v>76</v>
      </c>
      <c r="I49" s="67">
        <v>80</v>
      </c>
      <c r="J49" s="67">
        <v>89</v>
      </c>
      <c r="K49" s="67">
        <v>115</v>
      </c>
      <c r="L49" s="67">
        <v>132</v>
      </c>
      <c r="M49" s="67">
        <v>156</v>
      </c>
      <c r="N49" s="67">
        <v>165</v>
      </c>
      <c r="O49" s="67">
        <v>181</v>
      </c>
      <c r="P49" s="67">
        <v>185</v>
      </c>
      <c r="Q49" s="67">
        <v>189</v>
      </c>
      <c r="R49" s="67">
        <v>206</v>
      </c>
      <c r="S49" s="67">
        <v>201</v>
      </c>
      <c r="T49" s="67">
        <v>220</v>
      </c>
      <c r="U49" s="67">
        <v>219</v>
      </c>
      <c r="V49" s="67">
        <v>236</v>
      </c>
      <c r="W49" s="67">
        <v>245</v>
      </c>
      <c r="X49" s="67">
        <v>252</v>
      </c>
      <c r="Y49" s="67">
        <v>250</v>
      </c>
      <c r="Z49" s="67">
        <v>222</v>
      </c>
      <c r="AA49" s="67">
        <v>195</v>
      </c>
      <c r="AB49" s="67">
        <v>182</v>
      </c>
      <c r="AC49" s="67">
        <v>224</v>
      </c>
      <c r="AD49" s="67">
        <v>241</v>
      </c>
      <c r="AE49" s="151">
        <v>220</v>
      </c>
    </row>
    <row r="50" spans="1:32" s="11" customFormat="1" ht="15" customHeight="1" thickBot="1" x14ac:dyDescent="0.3">
      <c r="A50" s="144" t="s">
        <v>63</v>
      </c>
      <c r="B50" s="9" t="s">
        <v>64</v>
      </c>
      <c r="C50" s="64">
        <v>139</v>
      </c>
      <c r="D50" s="64">
        <v>136</v>
      </c>
      <c r="E50" s="64">
        <v>138</v>
      </c>
      <c r="F50" s="64">
        <v>136</v>
      </c>
      <c r="G50" s="64">
        <v>126</v>
      </c>
      <c r="H50" s="64">
        <v>124</v>
      </c>
      <c r="I50" s="64">
        <v>126</v>
      </c>
      <c r="J50" s="64">
        <v>132</v>
      </c>
      <c r="K50" s="64">
        <v>144</v>
      </c>
      <c r="L50" s="64">
        <v>151</v>
      </c>
      <c r="M50" s="64">
        <v>166</v>
      </c>
      <c r="N50" s="64">
        <v>174</v>
      </c>
      <c r="O50" s="64">
        <v>195</v>
      </c>
      <c r="P50" s="64">
        <v>198</v>
      </c>
      <c r="Q50" s="64">
        <v>229</v>
      </c>
      <c r="R50" s="64">
        <v>228</v>
      </c>
      <c r="S50" s="64">
        <v>233</v>
      </c>
      <c r="T50" s="64">
        <v>239</v>
      </c>
      <c r="U50" s="64">
        <v>237</v>
      </c>
      <c r="V50" s="64">
        <v>235</v>
      </c>
      <c r="W50" s="64">
        <v>247</v>
      </c>
      <c r="X50" s="64">
        <v>292</v>
      </c>
      <c r="Y50" s="64">
        <v>267</v>
      </c>
      <c r="Z50" s="64">
        <v>246</v>
      </c>
      <c r="AA50" s="64">
        <v>222</v>
      </c>
      <c r="AB50" s="64">
        <v>224</v>
      </c>
      <c r="AC50" s="64">
        <v>234</v>
      </c>
      <c r="AD50" s="64">
        <v>245</v>
      </c>
      <c r="AE50" s="145">
        <v>226</v>
      </c>
      <c r="AF50" s="10"/>
    </row>
    <row r="51" spans="1:32" ht="15" customHeight="1" x14ac:dyDescent="0.25">
      <c r="A51" s="152">
        <v>60</v>
      </c>
      <c r="B51" s="15" t="s">
        <v>65</v>
      </c>
      <c r="C51" s="68">
        <v>105</v>
      </c>
      <c r="D51" s="68">
        <v>92</v>
      </c>
      <c r="E51" s="68">
        <v>87</v>
      </c>
      <c r="F51" s="68">
        <v>84</v>
      </c>
      <c r="G51" s="68">
        <v>75</v>
      </c>
      <c r="H51" s="68">
        <v>69</v>
      </c>
      <c r="I51" s="68">
        <v>70</v>
      </c>
      <c r="J51" s="68">
        <v>73</v>
      </c>
      <c r="K51" s="68">
        <v>80</v>
      </c>
      <c r="L51" s="68">
        <v>90</v>
      </c>
      <c r="M51" s="68">
        <v>99</v>
      </c>
      <c r="N51" s="68">
        <v>104</v>
      </c>
      <c r="O51" s="68">
        <v>116</v>
      </c>
      <c r="P51" s="68">
        <v>119</v>
      </c>
      <c r="Q51" s="68">
        <v>150</v>
      </c>
      <c r="R51" s="68">
        <v>146</v>
      </c>
      <c r="S51" s="68">
        <v>153</v>
      </c>
      <c r="T51" s="68">
        <v>152</v>
      </c>
      <c r="U51" s="68">
        <v>150</v>
      </c>
      <c r="V51" s="68">
        <v>149</v>
      </c>
      <c r="W51" s="68">
        <v>154</v>
      </c>
      <c r="X51" s="68">
        <v>197</v>
      </c>
      <c r="Y51" s="68">
        <v>174</v>
      </c>
      <c r="Z51" s="68">
        <v>159</v>
      </c>
      <c r="AA51" s="68">
        <v>145</v>
      </c>
      <c r="AB51" s="68">
        <v>147</v>
      </c>
      <c r="AC51" s="68">
        <v>159</v>
      </c>
      <c r="AD51" s="68">
        <v>164</v>
      </c>
      <c r="AE51" s="153">
        <v>147</v>
      </c>
    </row>
    <row r="52" spans="1:32" ht="15" customHeight="1" x14ac:dyDescent="0.25">
      <c r="A52" s="161">
        <v>61</v>
      </c>
      <c r="B52" s="20" t="s">
        <v>66</v>
      </c>
      <c r="C52" s="73" t="s">
        <v>383</v>
      </c>
      <c r="D52" s="73" t="s">
        <v>383</v>
      </c>
      <c r="E52" s="73" t="s">
        <v>383</v>
      </c>
      <c r="F52" s="73" t="s">
        <v>383</v>
      </c>
      <c r="G52" s="73" t="s">
        <v>383</v>
      </c>
      <c r="H52" s="73" t="s">
        <v>383</v>
      </c>
      <c r="I52" s="73" t="s">
        <v>383</v>
      </c>
      <c r="J52" s="73" t="s">
        <v>383</v>
      </c>
      <c r="K52" s="73" t="s">
        <v>383</v>
      </c>
      <c r="L52" s="73" t="s">
        <v>383</v>
      </c>
      <c r="M52" s="73" t="s">
        <v>383</v>
      </c>
      <c r="N52" s="73" t="s">
        <v>383</v>
      </c>
      <c r="O52" s="73" t="s">
        <v>383</v>
      </c>
      <c r="P52" s="73" t="s">
        <v>383</v>
      </c>
      <c r="Q52" s="73" t="s">
        <v>383</v>
      </c>
      <c r="R52" s="73" t="s">
        <v>383</v>
      </c>
      <c r="S52" s="73" t="s">
        <v>383</v>
      </c>
      <c r="T52" s="73" t="s">
        <v>383</v>
      </c>
      <c r="U52" s="73" t="s">
        <v>383</v>
      </c>
      <c r="V52" s="73" t="s">
        <v>383</v>
      </c>
      <c r="W52" s="73" t="s">
        <v>383</v>
      </c>
      <c r="X52" s="73" t="s">
        <v>383</v>
      </c>
      <c r="Y52" s="73" t="s">
        <v>383</v>
      </c>
      <c r="Z52" s="73" t="s">
        <v>383</v>
      </c>
      <c r="AA52" s="73" t="s">
        <v>383</v>
      </c>
      <c r="AB52" s="73" t="s">
        <v>383</v>
      </c>
      <c r="AC52" s="73" t="s">
        <v>383</v>
      </c>
      <c r="AD52" s="73" t="s">
        <v>383</v>
      </c>
      <c r="AE52" s="162" t="s">
        <v>383</v>
      </c>
    </row>
    <row r="53" spans="1:32" ht="15" customHeight="1" x14ac:dyDescent="0.25">
      <c r="A53" s="152">
        <v>62</v>
      </c>
      <c r="B53" s="15" t="s">
        <v>67</v>
      </c>
      <c r="C53" s="68" t="s">
        <v>383</v>
      </c>
      <c r="D53" s="68" t="s">
        <v>383</v>
      </c>
      <c r="E53" s="68" t="s">
        <v>383</v>
      </c>
      <c r="F53" s="68" t="s">
        <v>383</v>
      </c>
      <c r="G53" s="68" t="s">
        <v>383</v>
      </c>
      <c r="H53" s="68" t="s">
        <v>383</v>
      </c>
      <c r="I53" s="68" t="s">
        <v>383</v>
      </c>
      <c r="J53" s="68" t="s">
        <v>383</v>
      </c>
      <c r="K53" s="68" t="s">
        <v>383</v>
      </c>
      <c r="L53" s="68" t="s">
        <v>383</v>
      </c>
      <c r="M53" s="68" t="s">
        <v>383</v>
      </c>
      <c r="N53" s="68" t="s">
        <v>383</v>
      </c>
      <c r="O53" s="68" t="s">
        <v>383</v>
      </c>
      <c r="P53" s="68" t="s">
        <v>383</v>
      </c>
      <c r="Q53" s="68" t="s">
        <v>383</v>
      </c>
      <c r="R53" s="68" t="s">
        <v>383</v>
      </c>
      <c r="S53" s="68" t="s">
        <v>383</v>
      </c>
      <c r="T53" s="68" t="s">
        <v>383</v>
      </c>
      <c r="U53" s="68" t="s">
        <v>383</v>
      </c>
      <c r="V53" s="68" t="s">
        <v>383</v>
      </c>
      <c r="W53" s="68" t="s">
        <v>383</v>
      </c>
      <c r="X53" s="68" t="s">
        <v>383</v>
      </c>
      <c r="Y53" s="68" t="s">
        <v>383</v>
      </c>
      <c r="Z53" s="68" t="s">
        <v>383</v>
      </c>
      <c r="AA53" s="68" t="s">
        <v>383</v>
      </c>
      <c r="AB53" s="68" t="s">
        <v>383</v>
      </c>
      <c r="AC53" s="68" t="s">
        <v>383</v>
      </c>
      <c r="AD53" s="68" t="s">
        <v>383</v>
      </c>
      <c r="AE53" s="153" t="s">
        <v>383</v>
      </c>
    </row>
    <row r="54" spans="1:32" ht="15" customHeight="1" x14ac:dyDescent="0.25">
      <c r="A54" s="163">
        <v>63</v>
      </c>
      <c r="B54" s="21" t="s">
        <v>68</v>
      </c>
      <c r="C54" s="74">
        <v>15</v>
      </c>
      <c r="D54" s="74">
        <v>15</v>
      </c>
      <c r="E54" s="74">
        <v>19</v>
      </c>
      <c r="F54" s="74">
        <v>16</v>
      </c>
      <c r="G54" s="74">
        <v>17</v>
      </c>
      <c r="H54" s="74">
        <v>19</v>
      </c>
      <c r="I54" s="74">
        <v>23</v>
      </c>
      <c r="J54" s="74">
        <v>24</v>
      </c>
      <c r="K54" s="74">
        <v>30</v>
      </c>
      <c r="L54" s="74">
        <v>27</v>
      </c>
      <c r="M54" s="74">
        <v>29</v>
      </c>
      <c r="N54" s="74">
        <v>30</v>
      </c>
      <c r="O54" s="74">
        <v>40</v>
      </c>
      <c r="P54" s="74">
        <v>43</v>
      </c>
      <c r="Q54" s="74">
        <v>45</v>
      </c>
      <c r="R54" s="74">
        <v>49</v>
      </c>
      <c r="S54" s="74">
        <v>47</v>
      </c>
      <c r="T54" s="74">
        <v>51</v>
      </c>
      <c r="U54" s="74">
        <v>52</v>
      </c>
      <c r="V54" s="74">
        <v>51</v>
      </c>
      <c r="W54" s="74">
        <v>55</v>
      </c>
      <c r="X54" s="74">
        <v>60</v>
      </c>
      <c r="Y54" s="74">
        <v>62</v>
      </c>
      <c r="Z54" s="74">
        <v>59</v>
      </c>
      <c r="AA54" s="74">
        <v>49</v>
      </c>
      <c r="AB54" s="74">
        <v>50</v>
      </c>
      <c r="AC54" s="74">
        <v>49</v>
      </c>
      <c r="AD54" s="74">
        <v>54</v>
      </c>
      <c r="AE54" s="164">
        <v>50</v>
      </c>
    </row>
    <row r="55" spans="1:32" ht="15" customHeight="1" thickBot="1" x14ac:dyDescent="0.3">
      <c r="A55" s="152">
        <v>64</v>
      </c>
      <c r="B55" s="15" t="s">
        <v>99</v>
      </c>
      <c r="C55" s="68">
        <v>16</v>
      </c>
      <c r="D55" s="68">
        <v>23</v>
      </c>
      <c r="E55" s="68">
        <v>26</v>
      </c>
      <c r="F55" s="68">
        <v>32</v>
      </c>
      <c r="G55" s="68">
        <v>30</v>
      </c>
      <c r="H55" s="68">
        <v>33</v>
      </c>
      <c r="I55" s="68">
        <v>31</v>
      </c>
      <c r="J55" s="68">
        <v>32</v>
      </c>
      <c r="K55" s="68">
        <v>32</v>
      </c>
      <c r="L55" s="68">
        <v>31</v>
      </c>
      <c r="M55" s="68">
        <v>35</v>
      </c>
      <c r="N55" s="68">
        <v>38</v>
      </c>
      <c r="O55" s="68">
        <v>37</v>
      </c>
      <c r="P55" s="68">
        <v>34</v>
      </c>
      <c r="Q55" s="68">
        <v>31</v>
      </c>
      <c r="R55" s="68">
        <v>30</v>
      </c>
      <c r="S55" s="68">
        <v>30</v>
      </c>
      <c r="T55" s="68">
        <v>32</v>
      </c>
      <c r="U55" s="68">
        <v>32</v>
      </c>
      <c r="V55" s="68">
        <v>31</v>
      </c>
      <c r="W55" s="68">
        <v>35</v>
      </c>
      <c r="X55" s="68">
        <v>32</v>
      </c>
      <c r="Y55" s="68">
        <v>28</v>
      </c>
      <c r="Z55" s="68">
        <v>26</v>
      </c>
      <c r="AA55" s="68">
        <v>25</v>
      </c>
      <c r="AB55" s="68">
        <v>24</v>
      </c>
      <c r="AC55" s="68">
        <v>24</v>
      </c>
      <c r="AD55" s="68">
        <v>25</v>
      </c>
      <c r="AE55" s="153">
        <v>27</v>
      </c>
    </row>
    <row r="56" spans="1:32" s="11" customFormat="1" ht="15" customHeight="1" thickBot="1" x14ac:dyDescent="0.3">
      <c r="A56" s="144" t="s">
        <v>70</v>
      </c>
      <c r="B56" s="9" t="s">
        <v>71</v>
      </c>
      <c r="C56" s="64">
        <v>41</v>
      </c>
      <c r="D56" s="64">
        <v>53</v>
      </c>
      <c r="E56" s="64">
        <v>54</v>
      </c>
      <c r="F56" s="64">
        <v>59</v>
      </c>
      <c r="G56" s="64">
        <v>58</v>
      </c>
      <c r="H56" s="64">
        <v>59</v>
      </c>
      <c r="I56" s="64">
        <v>52</v>
      </c>
      <c r="J56" s="64">
        <v>55</v>
      </c>
      <c r="K56" s="64">
        <v>47</v>
      </c>
      <c r="L56" s="64">
        <v>63</v>
      </c>
      <c r="M56" s="64">
        <v>61</v>
      </c>
      <c r="N56" s="64">
        <v>71</v>
      </c>
      <c r="O56" s="64">
        <v>74</v>
      </c>
      <c r="P56" s="64">
        <v>64</v>
      </c>
      <c r="Q56" s="64">
        <v>69</v>
      </c>
      <c r="R56" s="64">
        <v>68</v>
      </c>
      <c r="S56" s="64">
        <v>71</v>
      </c>
      <c r="T56" s="64">
        <v>74</v>
      </c>
      <c r="U56" s="64">
        <v>72</v>
      </c>
      <c r="V56" s="64">
        <v>73</v>
      </c>
      <c r="W56" s="64">
        <v>71</v>
      </c>
      <c r="X56" s="64">
        <v>73</v>
      </c>
      <c r="Y56" s="64">
        <v>70</v>
      </c>
      <c r="Z56" s="64">
        <v>67</v>
      </c>
      <c r="AA56" s="64">
        <v>67</v>
      </c>
      <c r="AB56" s="64">
        <v>63</v>
      </c>
      <c r="AC56" s="64">
        <v>60</v>
      </c>
      <c r="AD56" s="64">
        <v>64</v>
      </c>
      <c r="AE56" s="145">
        <v>62</v>
      </c>
      <c r="AF56" s="10"/>
    </row>
    <row r="57" spans="1:32" ht="15" customHeight="1" x14ac:dyDescent="0.25">
      <c r="A57" s="152">
        <v>65</v>
      </c>
      <c r="B57" s="15" t="s">
        <v>72</v>
      </c>
      <c r="C57" s="68">
        <v>17</v>
      </c>
      <c r="D57" s="68">
        <v>21</v>
      </c>
      <c r="E57" s="68">
        <v>24</v>
      </c>
      <c r="F57" s="68">
        <v>21</v>
      </c>
      <c r="G57" s="68">
        <v>18</v>
      </c>
      <c r="H57" s="68">
        <v>19</v>
      </c>
      <c r="I57" s="68">
        <v>19</v>
      </c>
      <c r="J57" s="68">
        <v>22</v>
      </c>
      <c r="K57" s="68">
        <v>19</v>
      </c>
      <c r="L57" s="68">
        <v>29</v>
      </c>
      <c r="M57" s="68">
        <v>27</v>
      </c>
      <c r="N57" s="68">
        <v>29</v>
      </c>
      <c r="O57" s="68">
        <v>32</v>
      </c>
      <c r="P57" s="68">
        <v>28</v>
      </c>
      <c r="Q57" s="68">
        <v>32</v>
      </c>
      <c r="R57" s="68">
        <v>33</v>
      </c>
      <c r="S57" s="68">
        <v>33</v>
      </c>
      <c r="T57" s="68">
        <v>33</v>
      </c>
      <c r="U57" s="68">
        <v>33</v>
      </c>
      <c r="V57" s="68">
        <v>35</v>
      </c>
      <c r="W57" s="68">
        <v>35</v>
      </c>
      <c r="X57" s="68">
        <v>32</v>
      </c>
      <c r="Y57" s="68">
        <v>32</v>
      </c>
      <c r="Z57" s="68">
        <v>30</v>
      </c>
      <c r="AA57" s="68">
        <v>29</v>
      </c>
      <c r="AB57" s="68">
        <v>27</v>
      </c>
      <c r="AC57" s="68">
        <v>25</v>
      </c>
      <c r="AD57" s="68">
        <v>26</v>
      </c>
      <c r="AE57" s="153">
        <v>25</v>
      </c>
    </row>
    <row r="58" spans="1:32" ht="15" customHeight="1" x14ac:dyDescent="0.25">
      <c r="A58" s="156">
        <v>66</v>
      </c>
      <c r="B58" s="17" t="s">
        <v>100</v>
      </c>
      <c r="C58" s="70">
        <v>18</v>
      </c>
      <c r="D58" s="70">
        <v>27</v>
      </c>
      <c r="E58" s="70">
        <v>26</v>
      </c>
      <c r="F58" s="70">
        <v>33</v>
      </c>
      <c r="G58" s="70">
        <v>33</v>
      </c>
      <c r="H58" s="70">
        <v>33</v>
      </c>
      <c r="I58" s="70">
        <v>27</v>
      </c>
      <c r="J58" s="70">
        <v>28</v>
      </c>
      <c r="K58" s="70">
        <v>24</v>
      </c>
      <c r="L58" s="70">
        <v>29</v>
      </c>
      <c r="M58" s="70">
        <v>29</v>
      </c>
      <c r="N58" s="70">
        <v>35</v>
      </c>
      <c r="O58" s="70">
        <v>32</v>
      </c>
      <c r="P58" s="70">
        <v>25</v>
      </c>
      <c r="Q58" s="70">
        <v>26</v>
      </c>
      <c r="R58" s="70">
        <v>27</v>
      </c>
      <c r="S58" s="70">
        <v>27</v>
      </c>
      <c r="T58" s="70">
        <v>27</v>
      </c>
      <c r="U58" s="70">
        <v>26</v>
      </c>
      <c r="V58" s="70">
        <v>24</v>
      </c>
      <c r="W58" s="70">
        <v>24</v>
      </c>
      <c r="X58" s="70">
        <v>24</v>
      </c>
      <c r="Y58" s="70">
        <v>22</v>
      </c>
      <c r="Z58" s="70">
        <v>21</v>
      </c>
      <c r="AA58" s="70">
        <v>22</v>
      </c>
      <c r="AB58" s="70">
        <v>21</v>
      </c>
      <c r="AC58" s="70">
        <v>22</v>
      </c>
      <c r="AD58" s="70">
        <v>22</v>
      </c>
      <c r="AE58" s="157">
        <v>22</v>
      </c>
    </row>
    <row r="59" spans="1:32" ht="15" customHeight="1" thickBot="1" x14ac:dyDescent="0.3">
      <c r="A59" s="152">
        <v>67</v>
      </c>
      <c r="B59" s="15" t="s">
        <v>74</v>
      </c>
      <c r="C59" s="68">
        <v>6</v>
      </c>
      <c r="D59" s="68">
        <v>5</v>
      </c>
      <c r="E59" s="68">
        <v>4</v>
      </c>
      <c r="F59" s="68">
        <v>5</v>
      </c>
      <c r="G59" s="68">
        <v>7</v>
      </c>
      <c r="H59" s="68">
        <v>7</v>
      </c>
      <c r="I59" s="68">
        <v>6</v>
      </c>
      <c r="J59" s="68">
        <v>5</v>
      </c>
      <c r="K59" s="68">
        <v>4</v>
      </c>
      <c r="L59" s="68">
        <v>5</v>
      </c>
      <c r="M59" s="68">
        <v>5</v>
      </c>
      <c r="N59" s="68">
        <v>7</v>
      </c>
      <c r="O59" s="68">
        <v>10</v>
      </c>
      <c r="P59" s="68">
        <v>11</v>
      </c>
      <c r="Q59" s="68">
        <v>11</v>
      </c>
      <c r="R59" s="68">
        <v>8</v>
      </c>
      <c r="S59" s="68">
        <v>11</v>
      </c>
      <c r="T59" s="68">
        <v>14</v>
      </c>
      <c r="U59" s="68">
        <v>13</v>
      </c>
      <c r="V59" s="68">
        <v>14</v>
      </c>
      <c r="W59" s="68">
        <v>12</v>
      </c>
      <c r="X59" s="68">
        <v>17</v>
      </c>
      <c r="Y59" s="68">
        <v>16</v>
      </c>
      <c r="Z59" s="68">
        <v>16</v>
      </c>
      <c r="AA59" s="68">
        <v>16</v>
      </c>
      <c r="AB59" s="68">
        <v>15</v>
      </c>
      <c r="AC59" s="68">
        <v>13</v>
      </c>
      <c r="AD59" s="68">
        <v>16</v>
      </c>
      <c r="AE59" s="153">
        <v>15</v>
      </c>
    </row>
    <row r="60" spans="1:32" s="11" customFormat="1" ht="15" customHeight="1" thickBot="1" x14ac:dyDescent="0.3">
      <c r="A60" s="144" t="s">
        <v>75</v>
      </c>
      <c r="B60" s="9" t="s">
        <v>76</v>
      </c>
      <c r="C60" s="64">
        <v>282</v>
      </c>
      <c r="D60" s="64">
        <v>296</v>
      </c>
      <c r="E60" s="64">
        <v>272</v>
      </c>
      <c r="F60" s="64">
        <v>273</v>
      </c>
      <c r="G60" s="64">
        <v>274</v>
      </c>
      <c r="H60" s="64">
        <v>273</v>
      </c>
      <c r="I60" s="64">
        <v>253</v>
      </c>
      <c r="J60" s="64">
        <v>273</v>
      </c>
      <c r="K60" s="64">
        <v>302</v>
      </c>
      <c r="L60" s="64">
        <v>322</v>
      </c>
      <c r="M60" s="64">
        <v>342</v>
      </c>
      <c r="N60" s="64">
        <v>375</v>
      </c>
      <c r="O60" s="64">
        <v>394</v>
      </c>
      <c r="P60" s="64">
        <v>395</v>
      </c>
      <c r="Q60" s="64">
        <v>399</v>
      </c>
      <c r="R60" s="64">
        <v>413</v>
      </c>
      <c r="S60" s="64">
        <v>415</v>
      </c>
      <c r="T60" s="64">
        <v>411</v>
      </c>
      <c r="U60" s="64">
        <v>418</v>
      </c>
      <c r="V60" s="64">
        <v>398</v>
      </c>
      <c r="W60" s="64">
        <v>376</v>
      </c>
      <c r="X60" s="64">
        <v>412</v>
      </c>
      <c r="Y60" s="64">
        <v>387</v>
      </c>
      <c r="Z60" s="64">
        <v>360</v>
      </c>
      <c r="AA60" s="64">
        <v>336</v>
      </c>
      <c r="AB60" s="64">
        <v>343</v>
      </c>
      <c r="AC60" s="64">
        <v>390</v>
      </c>
      <c r="AD60" s="64">
        <v>460</v>
      </c>
      <c r="AE60" s="145">
        <v>421</v>
      </c>
      <c r="AF60" s="10"/>
    </row>
    <row r="61" spans="1:32" ht="15" customHeight="1" x14ac:dyDescent="0.25">
      <c r="A61" s="146">
        <v>70</v>
      </c>
      <c r="B61" s="12" t="s">
        <v>77</v>
      </c>
      <c r="C61" s="65">
        <v>144</v>
      </c>
      <c r="D61" s="65">
        <v>153</v>
      </c>
      <c r="E61" s="65">
        <v>123</v>
      </c>
      <c r="F61" s="65">
        <v>114</v>
      </c>
      <c r="G61" s="65">
        <v>101</v>
      </c>
      <c r="H61" s="65">
        <v>96</v>
      </c>
      <c r="I61" s="65">
        <v>95</v>
      </c>
      <c r="J61" s="65">
        <v>103</v>
      </c>
      <c r="K61" s="65">
        <v>112</v>
      </c>
      <c r="L61" s="65">
        <v>108</v>
      </c>
      <c r="M61" s="65">
        <v>108</v>
      </c>
      <c r="N61" s="65">
        <v>115</v>
      </c>
      <c r="O61" s="65">
        <v>121</v>
      </c>
      <c r="P61" s="65">
        <v>115</v>
      </c>
      <c r="Q61" s="65">
        <v>115</v>
      </c>
      <c r="R61" s="65">
        <v>122</v>
      </c>
      <c r="S61" s="65">
        <v>120</v>
      </c>
      <c r="T61" s="65">
        <v>113</v>
      </c>
      <c r="U61" s="65">
        <v>114</v>
      </c>
      <c r="V61" s="65">
        <v>101</v>
      </c>
      <c r="W61" s="65">
        <v>101</v>
      </c>
      <c r="X61" s="65">
        <v>105</v>
      </c>
      <c r="Y61" s="65">
        <v>98</v>
      </c>
      <c r="Z61" s="65">
        <v>81</v>
      </c>
      <c r="AA61" s="65">
        <v>74</v>
      </c>
      <c r="AB61" s="65">
        <v>73</v>
      </c>
      <c r="AC61" s="65">
        <v>84</v>
      </c>
      <c r="AD61" s="65">
        <v>78</v>
      </c>
      <c r="AE61" s="147">
        <v>79</v>
      </c>
    </row>
    <row r="62" spans="1:32" ht="15" customHeight="1" x14ac:dyDescent="0.25">
      <c r="A62" s="156">
        <v>71</v>
      </c>
      <c r="B62" s="17" t="s">
        <v>78</v>
      </c>
      <c r="C62" s="70">
        <v>15</v>
      </c>
      <c r="D62" s="70">
        <v>13</v>
      </c>
      <c r="E62" s="70">
        <v>15</v>
      </c>
      <c r="F62" s="70">
        <v>15</v>
      </c>
      <c r="G62" s="70">
        <v>9</v>
      </c>
      <c r="H62" s="70">
        <v>9</v>
      </c>
      <c r="I62" s="70">
        <v>7</v>
      </c>
      <c r="J62" s="70">
        <v>9</v>
      </c>
      <c r="K62" s="70">
        <v>13</v>
      </c>
      <c r="L62" s="70">
        <v>13</v>
      </c>
      <c r="M62" s="70">
        <v>16</v>
      </c>
      <c r="N62" s="70">
        <v>19</v>
      </c>
      <c r="O62" s="70">
        <v>21</v>
      </c>
      <c r="P62" s="70" t="s">
        <v>383</v>
      </c>
      <c r="Q62" s="70" t="s">
        <v>383</v>
      </c>
      <c r="R62" s="70">
        <v>17</v>
      </c>
      <c r="S62" s="70">
        <v>19</v>
      </c>
      <c r="T62" s="70">
        <v>19</v>
      </c>
      <c r="U62" s="70">
        <v>17</v>
      </c>
      <c r="V62" s="70">
        <v>18</v>
      </c>
      <c r="W62" s="70">
        <v>17</v>
      </c>
      <c r="X62" s="70" t="s">
        <v>383</v>
      </c>
      <c r="Y62" s="70" t="s">
        <v>383</v>
      </c>
      <c r="Z62" s="70" t="s">
        <v>383</v>
      </c>
      <c r="AA62" s="70" t="s">
        <v>383</v>
      </c>
      <c r="AB62" s="70" t="s">
        <v>383</v>
      </c>
      <c r="AC62" s="70">
        <v>16</v>
      </c>
      <c r="AD62" s="70" t="s">
        <v>383</v>
      </c>
      <c r="AE62" s="157" t="s">
        <v>383</v>
      </c>
    </row>
    <row r="63" spans="1:32" ht="15" customHeight="1" x14ac:dyDescent="0.25">
      <c r="A63" s="156">
        <v>72</v>
      </c>
      <c r="B63" s="17" t="s">
        <v>79</v>
      </c>
      <c r="C63" s="70" t="s">
        <v>383</v>
      </c>
      <c r="D63" s="70" t="s">
        <v>383</v>
      </c>
      <c r="E63" s="70" t="s">
        <v>383</v>
      </c>
      <c r="F63" s="70" t="s">
        <v>383</v>
      </c>
      <c r="G63" s="70" t="s">
        <v>383</v>
      </c>
      <c r="H63" s="70" t="s">
        <v>383</v>
      </c>
      <c r="I63" s="70" t="s">
        <v>383</v>
      </c>
      <c r="J63" s="70" t="s">
        <v>383</v>
      </c>
      <c r="K63" s="70" t="s">
        <v>383</v>
      </c>
      <c r="L63" s="70" t="s">
        <v>383</v>
      </c>
      <c r="M63" s="70" t="s">
        <v>383</v>
      </c>
      <c r="N63" s="70" t="s">
        <v>383</v>
      </c>
      <c r="O63" s="70" t="s">
        <v>383</v>
      </c>
      <c r="P63" s="70">
        <v>9</v>
      </c>
      <c r="Q63" s="70">
        <v>10</v>
      </c>
      <c r="R63" s="70" t="s">
        <v>383</v>
      </c>
      <c r="S63" s="70" t="s">
        <v>383</v>
      </c>
      <c r="T63" s="70" t="s">
        <v>383</v>
      </c>
      <c r="U63" s="70" t="s">
        <v>383</v>
      </c>
      <c r="V63" s="70" t="s">
        <v>383</v>
      </c>
      <c r="W63" s="70" t="s">
        <v>383</v>
      </c>
      <c r="X63" s="70">
        <v>15</v>
      </c>
      <c r="Y63" s="70">
        <v>15</v>
      </c>
      <c r="Z63" s="70">
        <v>19</v>
      </c>
      <c r="AA63" s="70">
        <v>14</v>
      </c>
      <c r="AB63" s="70">
        <v>19</v>
      </c>
      <c r="AC63" s="70">
        <v>22</v>
      </c>
      <c r="AD63" s="70">
        <v>25</v>
      </c>
      <c r="AE63" s="157">
        <v>26</v>
      </c>
    </row>
    <row r="64" spans="1:32" ht="15" customHeight="1" x14ac:dyDescent="0.25">
      <c r="A64" s="156">
        <v>73</v>
      </c>
      <c r="B64" s="17" t="s">
        <v>80</v>
      </c>
      <c r="C64" s="70" t="s">
        <v>383</v>
      </c>
      <c r="D64" s="70" t="s">
        <v>383</v>
      </c>
      <c r="E64" s="70" t="s">
        <v>383</v>
      </c>
      <c r="F64" s="70" t="s">
        <v>383</v>
      </c>
      <c r="G64" s="70" t="s">
        <v>383</v>
      </c>
      <c r="H64" s="70" t="s">
        <v>383</v>
      </c>
      <c r="I64" s="70" t="s">
        <v>383</v>
      </c>
      <c r="J64" s="70" t="s">
        <v>383</v>
      </c>
      <c r="K64" s="70" t="s">
        <v>383</v>
      </c>
      <c r="L64" s="70" t="s">
        <v>383</v>
      </c>
      <c r="M64" s="70" t="s">
        <v>383</v>
      </c>
      <c r="N64" s="70" t="s">
        <v>383</v>
      </c>
      <c r="O64" s="70" t="s">
        <v>383</v>
      </c>
      <c r="P64" s="70" t="s">
        <v>383</v>
      </c>
      <c r="Q64" s="70" t="s">
        <v>383</v>
      </c>
      <c r="R64" s="70" t="s">
        <v>383</v>
      </c>
      <c r="S64" s="70" t="s">
        <v>383</v>
      </c>
      <c r="T64" s="70" t="s">
        <v>383</v>
      </c>
      <c r="U64" s="70" t="s">
        <v>383</v>
      </c>
      <c r="V64" s="70" t="s">
        <v>383</v>
      </c>
      <c r="W64" s="70" t="s">
        <v>383</v>
      </c>
      <c r="X64" s="70" t="s">
        <v>383</v>
      </c>
      <c r="Y64" s="70" t="s">
        <v>383</v>
      </c>
      <c r="Z64" s="70" t="s">
        <v>383</v>
      </c>
      <c r="AA64" s="70" t="s">
        <v>383</v>
      </c>
      <c r="AB64" s="70" t="s">
        <v>383</v>
      </c>
      <c r="AC64" s="70" t="s">
        <v>383</v>
      </c>
      <c r="AD64" s="70" t="s">
        <v>383</v>
      </c>
      <c r="AE64" s="157" t="s">
        <v>383</v>
      </c>
    </row>
    <row r="65" spans="1:32" ht="15" customHeight="1" x14ac:dyDescent="0.25">
      <c r="A65" s="156">
        <v>74</v>
      </c>
      <c r="B65" s="17" t="s">
        <v>81</v>
      </c>
      <c r="C65" s="70">
        <v>119</v>
      </c>
      <c r="D65" s="70">
        <v>123</v>
      </c>
      <c r="E65" s="70">
        <v>126</v>
      </c>
      <c r="F65" s="70">
        <v>133</v>
      </c>
      <c r="G65" s="70">
        <v>150</v>
      </c>
      <c r="H65" s="70">
        <v>152</v>
      </c>
      <c r="I65" s="70">
        <v>139</v>
      </c>
      <c r="J65" s="70">
        <v>146</v>
      </c>
      <c r="K65" s="70">
        <v>160</v>
      </c>
      <c r="L65" s="70">
        <v>180</v>
      </c>
      <c r="M65" s="70">
        <v>203</v>
      </c>
      <c r="N65" s="70">
        <v>220</v>
      </c>
      <c r="O65" s="70">
        <v>231</v>
      </c>
      <c r="P65" s="70">
        <v>236</v>
      </c>
      <c r="Q65" s="70">
        <v>241</v>
      </c>
      <c r="R65" s="70">
        <v>252</v>
      </c>
      <c r="S65" s="70">
        <v>253</v>
      </c>
      <c r="T65" s="70">
        <v>260</v>
      </c>
      <c r="U65" s="70">
        <v>264</v>
      </c>
      <c r="V65" s="70">
        <v>256</v>
      </c>
      <c r="W65" s="70">
        <v>239</v>
      </c>
      <c r="X65" s="70">
        <v>267</v>
      </c>
      <c r="Y65" s="70">
        <v>252</v>
      </c>
      <c r="Z65" s="70">
        <v>238</v>
      </c>
      <c r="AA65" s="70">
        <v>226</v>
      </c>
      <c r="AB65" s="70">
        <v>226</v>
      </c>
      <c r="AC65" s="70">
        <v>257</v>
      </c>
      <c r="AD65" s="70">
        <v>328</v>
      </c>
      <c r="AE65" s="157">
        <v>285</v>
      </c>
    </row>
    <row r="66" spans="1:32" ht="15" customHeight="1" thickBot="1" x14ac:dyDescent="0.3">
      <c r="A66" s="158">
        <v>75</v>
      </c>
      <c r="B66" s="18" t="s">
        <v>185</v>
      </c>
      <c r="C66" s="71" t="s">
        <v>383</v>
      </c>
      <c r="D66" s="71">
        <v>5</v>
      </c>
      <c r="E66" s="71">
        <v>5</v>
      </c>
      <c r="F66" s="71">
        <v>7</v>
      </c>
      <c r="G66" s="71">
        <v>9</v>
      </c>
      <c r="H66" s="71">
        <v>10</v>
      </c>
      <c r="I66" s="71">
        <v>9</v>
      </c>
      <c r="J66" s="71">
        <v>10</v>
      </c>
      <c r="K66" s="71">
        <v>11</v>
      </c>
      <c r="L66" s="71">
        <v>14</v>
      </c>
      <c r="M66" s="71">
        <v>9</v>
      </c>
      <c r="N66" s="71">
        <v>11</v>
      </c>
      <c r="O66" s="71">
        <v>10</v>
      </c>
      <c r="P66" s="71">
        <v>11</v>
      </c>
      <c r="Q66" s="71">
        <v>12</v>
      </c>
      <c r="R66" s="71">
        <v>11</v>
      </c>
      <c r="S66" s="71">
        <v>11</v>
      </c>
      <c r="T66" s="71">
        <v>10</v>
      </c>
      <c r="U66" s="71">
        <v>12</v>
      </c>
      <c r="V66" s="71">
        <v>9</v>
      </c>
      <c r="W66" s="71">
        <v>6</v>
      </c>
      <c r="X66" s="71">
        <v>8</v>
      </c>
      <c r="Y66" s="71">
        <v>7</v>
      </c>
      <c r="Z66" s="71">
        <v>7</v>
      </c>
      <c r="AA66" s="71">
        <v>7</v>
      </c>
      <c r="AB66" s="71">
        <v>8</v>
      </c>
      <c r="AC66" s="71" t="s">
        <v>383</v>
      </c>
      <c r="AD66" s="71">
        <v>7</v>
      </c>
      <c r="AE66" s="159" t="s">
        <v>383</v>
      </c>
    </row>
    <row r="67" spans="1:32" s="11" customFormat="1" ht="15" customHeight="1" thickBot="1" x14ac:dyDescent="0.3">
      <c r="A67" s="160" t="s">
        <v>83</v>
      </c>
      <c r="B67" s="19" t="s">
        <v>84</v>
      </c>
      <c r="C67" s="64">
        <v>41</v>
      </c>
      <c r="D67" s="64">
        <v>43</v>
      </c>
      <c r="E67" s="64">
        <v>41</v>
      </c>
      <c r="F67" s="64">
        <v>44</v>
      </c>
      <c r="G67" s="64">
        <v>37</v>
      </c>
      <c r="H67" s="64">
        <v>37</v>
      </c>
      <c r="I67" s="64">
        <v>34</v>
      </c>
      <c r="J67" s="64">
        <v>38</v>
      </c>
      <c r="K67" s="64">
        <v>39</v>
      </c>
      <c r="L67" s="64">
        <v>38</v>
      </c>
      <c r="M67" s="64">
        <v>47</v>
      </c>
      <c r="N67" s="64">
        <v>52</v>
      </c>
      <c r="O67" s="64">
        <v>54</v>
      </c>
      <c r="P67" s="64">
        <v>53</v>
      </c>
      <c r="Q67" s="64">
        <v>57</v>
      </c>
      <c r="R67" s="64">
        <v>57</v>
      </c>
      <c r="S67" s="64">
        <v>52</v>
      </c>
      <c r="T67" s="64">
        <v>50</v>
      </c>
      <c r="U67" s="64">
        <v>50</v>
      </c>
      <c r="V67" s="64">
        <v>51</v>
      </c>
      <c r="W67" s="64">
        <v>57</v>
      </c>
      <c r="X67" s="64">
        <v>60</v>
      </c>
      <c r="Y67" s="64">
        <v>59</v>
      </c>
      <c r="Z67" s="64">
        <v>56</v>
      </c>
      <c r="AA67" s="64">
        <v>52</v>
      </c>
      <c r="AB67" s="64">
        <v>48</v>
      </c>
      <c r="AC67" s="64">
        <v>50</v>
      </c>
      <c r="AD67" s="64">
        <v>65</v>
      </c>
      <c r="AE67" s="145">
        <v>59</v>
      </c>
      <c r="AF67" s="10"/>
    </row>
    <row r="68" spans="1:32" ht="15" customHeight="1" thickBot="1" x14ac:dyDescent="0.3">
      <c r="A68" s="150">
        <v>80</v>
      </c>
      <c r="B68" s="14" t="s">
        <v>85</v>
      </c>
      <c r="C68" s="70">
        <v>41</v>
      </c>
      <c r="D68" s="67">
        <v>43</v>
      </c>
      <c r="E68" s="67">
        <v>41</v>
      </c>
      <c r="F68" s="67">
        <v>44</v>
      </c>
      <c r="G68" s="67">
        <v>37</v>
      </c>
      <c r="H68" s="67">
        <v>37</v>
      </c>
      <c r="I68" s="67">
        <v>34</v>
      </c>
      <c r="J68" s="67">
        <v>38</v>
      </c>
      <c r="K68" s="67">
        <v>39</v>
      </c>
      <c r="L68" s="67">
        <v>38</v>
      </c>
      <c r="M68" s="67">
        <v>47</v>
      </c>
      <c r="N68" s="67">
        <v>52</v>
      </c>
      <c r="O68" s="67">
        <v>54</v>
      </c>
      <c r="P68" s="67">
        <v>53</v>
      </c>
      <c r="Q68" s="67">
        <v>57</v>
      </c>
      <c r="R68" s="67">
        <v>57</v>
      </c>
      <c r="S68" s="67">
        <v>52</v>
      </c>
      <c r="T68" s="67">
        <v>50</v>
      </c>
      <c r="U68" s="67">
        <v>50</v>
      </c>
      <c r="V68" s="67">
        <v>51</v>
      </c>
      <c r="W68" s="67">
        <v>57</v>
      </c>
      <c r="X68" s="67">
        <v>60</v>
      </c>
      <c r="Y68" s="67">
        <v>59</v>
      </c>
      <c r="Z68" s="67">
        <v>56</v>
      </c>
      <c r="AA68" s="67">
        <v>52</v>
      </c>
      <c r="AB68" s="67">
        <v>48</v>
      </c>
      <c r="AC68" s="67">
        <v>50</v>
      </c>
      <c r="AD68" s="67">
        <v>65</v>
      </c>
      <c r="AE68" s="151">
        <v>59</v>
      </c>
    </row>
    <row r="69" spans="1:32" s="11" customFormat="1" ht="15" customHeight="1" thickBot="1" x14ac:dyDescent="0.3">
      <c r="A69" s="144" t="s">
        <v>86</v>
      </c>
      <c r="B69" s="9" t="s">
        <v>87</v>
      </c>
      <c r="C69" s="64">
        <v>127</v>
      </c>
      <c r="D69" s="64">
        <v>125</v>
      </c>
      <c r="E69" s="64">
        <v>131</v>
      </c>
      <c r="F69" s="64">
        <v>132</v>
      </c>
      <c r="G69" s="64">
        <v>135</v>
      </c>
      <c r="H69" s="64">
        <v>151</v>
      </c>
      <c r="I69" s="64">
        <v>132</v>
      </c>
      <c r="J69" s="64">
        <v>128</v>
      </c>
      <c r="K69" s="64">
        <v>127</v>
      </c>
      <c r="L69" s="64">
        <v>129</v>
      </c>
      <c r="M69" s="64">
        <v>145</v>
      </c>
      <c r="N69" s="64">
        <v>151</v>
      </c>
      <c r="O69" s="64">
        <v>161</v>
      </c>
      <c r="P69" s="64">
        <v>169</v>
      </c>
      <c r="Q69" s="64">
        <v>173</v>
      </c>
      <c r="R69" s="64">
        <v>173</v>
      </c>
      <c r="S69" s="64">
        <v>179</v>
      </c>
      <c r="T69" s="64">
        <v>194</v>
      </c>
      <c r="U69" s="64">
        <v>179</v>
      </c>
      <c r="V69" s="64">
        <v>188</v>
      </c>
      <c r="W69" s="64">
        <v>194</v>
      </c>
      <c r="X69" s="64">
        <v>205</v>
      </c>
      <c r="Y69" s="64">
        <v>192</v>
      </c>
      <c r="Z69" s="64">
        <v>189</v>
      </c>
      <c r="AA69" s="64">
        <v>191</v>
      </c>
      <c r="AB69" s="64">
        <v>195</v>
      </c>
      <c r="AC69" s="64">
        <v>210</v>
      </c>
      <c r="AD69" s="64">
        <v>265</v>
      </c>
      <c r="AE69" s="145">
        <v>199</v>
      </c>
      <c r="AF69" s="10"/>
    </row>
    <row r="70" spans="1:32" ht="15" customHeight="1" thickBot="1" x14ac:dyDescent="0.3">
      <c r="A70" s="150">
        <v>85</v>
      </c>
      <c r="B70" s="14" t="s">
        <v>88</v>
      </c>
      <c r="C70" s="67">
        <v>127</v>
      </c>
      <c r="D70" s="67">
        <v>125</v>
      </c>
      <c r="E70" s="67">
        <v>131</v>
      </c>
      <c r="F70" s="67">
        <v>132</v>
      </c>
      <c r="G70" s="67">
        <v>135</v>
      </c>
      <c r="H70" s="67">
        <v>151</v>
      </c>
      <c r="I70" s="67">
        <v>132</v>
      </c>
      <c r="J70" s="67">
        <v>128</v>
      </c>
      <c r="K70" s="67">
        <v>127</v>
      </c>
      <c r="L70" s="67">
        <v>129</v>
      </c>
      <c r="M70" s="67">
        <v>145</v>
      </c>
      <c r="N70" s="67">
        <v>151</v>
      </c>
      <c r="O70" s="67">
        <v>161</v>
      </c>
      <c r="P70" s="67">
        <v>169</v>
      </c>
      <c r="Q70" s="67">
        <v>173</v>
      </c>
      <c r="R70" s="67">
        <v>173</v>
      </c>
      <c r="S70" s="67">
        <v>179</v>
      </c>
      <c r="T70" s="67">
        <v>194</v>
      </c>
      <c r="U70" s="67">
        <v>179</v>
      </c>
      <c r="V70" s="67">
        <v>188</v>
      </c>
      <c r="W70" s="67">
        <v>194</v>
      </c>
      <c r="X70" s="67">
        <v>205</v>
      </c>
      <c r="Y70" s="67">
        <v>192</v>
      </c>
      <c r="Z70" s="67">
        <v>189</v>
      </c>
      <c r="AA70" s="67">
        <v>191</v>
      </c>
      <c r="AB70" s="67">
        <v>195</v>
      </c>
      <c r="AC70" s="67">
        <v>210</v>
      </c>
      <c r="AD70" s="67">
        <v>265</v>
      </c>
      <c r="AE70" s="151">
        <v>199</v>
      </c>
    </row>
    <row r="71" spans="1:32" s="11" customFormat="1" ht="15" customHeight="1" thickBot="1" x14ac:dyDescent="0.3">
      <c r="A71" s="144" t="s">
        <v>89</v>
      </c>
      <c r="B71" s="9" t="s">
        <v>90</v>
      </c>
      <c r="C71" s="64">
        <v>215</v>
      </c>
      <c r="D71" s="64">
        <v>218</v>
      </c>
      <c r="E71" s="64">
        <v>206</v>
      </c>
      <c r="F71" s="64">
        <v>190</v>
      </c>
      <c r="G71" s="64">
        <v>197</v>
      </c>
      <c r="H71" s="64">
        <v>195</v>
      </c>
      <c r="I71" s="64">
        <v>183</v>
      </c>
      <c r="J71" s="64">
        <v>229</v>
      </c>
      <c r="K71" s="64">
        <v>262</v>
      </c>
      <c r="L71" s="64">
        <v>294</v>
      </c>
      <c r="M71" s="64">
        <v>301</v>
      </c>
      <c r="N71" s="64">
        <v>303</v>
      </c>
      <c r="O71" s="64">
        <v>297</v>
      </c>
      <c r="P71" s="64">
        <v>287</v>
      </c>
      <c r="Q71" s="64">
        <v>304</v>
      </c>
      <c r="R71" s="64">
        <v>289</v>
      </c>
      <c r="S71" s="64">
        <v>288</v>
      </c>
      <c r="T71" s="64">
        <v>268</v>
      </c>
      <c r="U71" s="64">
        <v>271</v>
      </c>
      <c r="V71" s="64">
        <v>268</v>
      </c>
      <c r="W71" s="64">
        <v>257</v>
      </c>
      <c r="X71" s="64">
        <v>263</v>
      </c>
      <c r="Y71" s="64">
        <v>261</v>
      </c>
      <c r="Z71" s="64">
        <v>228</v>
      </c>
      <c r="AA71" s="64">
        <v>215</v>
      </c>
      <c r="AB71" s="64">
        <v>206</v>
      </c>
      <c r="AC71" s="64">
        <v>246</v>
      </c>
      <c r="AD71" s="64">
        <v>284</v>
      </c>
      <c r="AE71" s="145">
        <v>242</v>
      </c>
      <c r="AF71" s="10"/>
    </row>
    <row r="72" spans="1:32" ht="15" customHeight="1" x14ac:dyDescent="0.25">
      <c r="A72" s="146">
        <v>90</v>
      </c>
      <c r="B72" s="12" t="s">
        <v>91</v>
      </c>
      <c r="C72" s="65">
        <v>4</v>
      </c>
      <c r="D72" s="65">
        <v>5</v>
      </c>
      <c r="E72" s="65">
        <v>4</v>
      </c>
      <c r="F72" s="65" t="s">
        <v>383</v>
      </c>
      <c r="G72" s="65">
        <v>5</v>
      </c>
      <c r="H72" s="65">
        <v>4</v>
      </c>
      <c r="I72" s="65">
        <v>4</v>
      </c>
      <c r="J72" s="65">
        <v>4</v>
      </c>
      <c r="K72" s="65">
        <v>6</v>
      </c>
      <c r="L72" s="65">
        <v>6</v>
      </c>
      <c r="M72" s="65">
        <v>7</v>
      </c>
      <c r="N72" s="65">
        <v>5</v>
      </c>
      <c r="O72" s="65">
        <v>5</v>
      </c>
      <c r="P72" s="65">
        <v>5</v>
      </c>
      <c r="Q72" s="65">
        <v>4</v>
      </c>
      <c r="R72" s="65">
        <v>5</v>
      </c>
      <c r="S72" s="65">
        <v>5</v>
      </c>
      <c r="T72" s="65">
        <v>7</v>
      </c>
      <c r="U72" s="65">
        <v>7</v>
      </c>
      <c r="V72" s="65">
        <v>7</v>
      </c>
      <c r="W72" s="65">
        <v>4</v>
      </c>
      <c r="X72" s="65">
        <v>4</v>
      </c>
      <c r="Y72" s="65">
        <v>5</v>
      </c>
      <c r="Z72" s="65">
        <v>5</v>
      </c>
      <c r="AA72" s="65">
        <v>4</v>
      </c>
      <c r="AB72" s="65">
        <v>5</v>
      </c>
      <c r="AC72" s="65">
        <v>5</v>
      </c>
      <c r="AD72" s="65">
        <v>6</v>
      </c>
      <c r="AE72" s="147">
        <v>7</v>
      </c>
    </row>
    <row r="73" spans="1:32" ht="15" customHeight="1" x14ac:dyDescent="0.25">
      <c r="A73" s="156">
        <v>91</v>
      </c>
      <c r="B73" s="17" t="s">
        <v>92</v>
      </c>
      <c r="C73" s="70">
        <v>100</v>
      </c>
      <c r="D73" s="70">
        <v>102</v>
      </c>
      <c r="E73" s="70">
        <v>95</v>
      </c>
      <c r="F73" s="70">
        <v>96</v>
      </c>
      <c r="G73" s="70">
        <v>94</v>
      </c>
      <c r="H73" s="70">
        <v>93</v>
      </c>
      <c r="I73" s="70">
        <v>91</v>
      </c>
      <c r="J73" s="70">
        <v>96</v>
      </c>
      <c r="K73" s="70">
        <v>96</v>
      </c>
      <c r="L73" s="70">
        <v>102</v>
      </c>
      <c r="M73" s="70">
        <v>96</v>
      </c>
      <c r="N73" s="70">
        <v>101</v>
      </c>
      <c r="O73" s="70">
        <v>102</v>
      </c>
      <c r="P73" s="70">
        <v>99</v>
      </c>
      <c r="Q73" s="70">
        <v>101</v>
      </c>
      <c r="R73" s="70">
        <v>103</v>
      </c>
      <c r="S73" s="70">
        <v>105</v>
      </c>
      <c r="T73" s="70">
        <v>104</v>
      </c>
      <c r="U73" s="70">
        <v>103</v>
      </c>
      <c r="V73" s="70">
        <v>110</v>
      </c>
      <c r="W73" s="70">
        <v>106</v>
      </c>
      <c r="X73" s="70">
        <v>108</v>
      </c>
      <c r="Y73" s="70">
        <v>113</v>
      </c>
      <c r="Z73" s="70">
        <v>106</v>
      </c>
      <c r="AA73" s="70">
        <v>103</v>
      </c>
      <c r="AB73" s="70">
        <v>105</v>
      </c>
      <c r="AC73" s="70">
        <v>110</v>
      </c>
      <c r="AD73" s="70">
        <v>113</v>
      </c>
      <c r="AE73" s="157">
        <v>111</v>
      </c>
    </row>
    <row r="74" spans="1:32" ht="15" customHeight="1" x14ac:dyDescent="0.25">
      <c r="A74" s="156">
        <v>92</v>
      </c>
      <c r="B74" s="17" t="s">
        <v>93</v>
      </c>
      <c r="C74" s="70">
        <v>28</v>
      </c>
      <c r="D74" s="70">
        <v>30</v>
      </c>
      <c r="E74" s="70">
        <v>29</v>
      </c>
      <c r="F74" s="70" t="s">
        <v>383</v>
      </c>
      <c r="G74" s="70">
        <v>17</v>
      </c>
      <c r="H74" s="70">
        <v>20</v>
      </c>
      <c r="I74" s="70">
        <v>19</v>
      </c>
      <c r="J74" s="70">
        <v>26</v>
      </c>
      <c r="K74" s="70">
        <v>32</v>
      </c>
      <c r="L74" s="70">
        <v>31</v>
      </c>
      <c r="M74" s="70">
        <v>35</v>
      </c>
      <c r="N74" s="70">
        <v>41</v>
      </c>
      <c r="O74" s="70">
        <v>40</v>
      </c>
      <c r="P74" s="70">
        <v>40</v>
      </c>
      <c r="Q74" s="70">
        <v>40</v>
      </c>
      <c r="R74" s="70">
        <v>48</v>
      </c>
      <c r="S74" s="70">
        <v>45</v>
      </c>
      <c r="T74" s="70">
        <v>43</v>
      </c>
      <c r="U74" s="70">
        <v>46</v>
      </c>
      <c r="V74" s="70">
        <v>45</v>
      </c>
      <c r="W74" s="70">
        <v>48</v>
      </c>
      <c r="X74" s="70">
        <v>53</v>
      </c>
      <c r="Y74" s="70">
        <v>52</v>
      </c>
      <c r="Z74" s="70">
        <v>46</v>
      </c>
      <c r="AA74" s="70">
        <v>38</v>
      </c>
      <c r="AB74" s="70">
        <v>28</v>
      </c>
      <c r="AC74" s="70">
        <v>41</v>
      </c>
      <c r="AD74" s="70">
        <v>54</v>
      </c>
      <c r="AE74" s="157">
        <v>41</v>
      </c>
    </row>
    <row r="75" spans="1:32" ht="15" customHeight="1" thickBot="1" x14ac:dyDescent="0.3">
      <c r="A75" s="158">
        <v>93</v>
      </c>
      <c r="B75" s="18" t="s">
        <v>94</v>
      </c>
      <c r="C75" s="76">
        <v>83</v>
      </c>
      <c r="D75" s="76">
        <v>81</v>
      </c>
      <c r="E75" s="76">
        <v>78</v>
      </c>
      <c r="F75" s="76">
        <v>73</v>
      </c>
      <c r="G75" s="76">
        <v>81</v>
      </c>
      <c r="H75" s="76">
        <v>78</v>
      </c>
      <c r="I75" s="76">
        <v>69</v>
      </c>
      <c r="J75" s="76">
        <v>103</v>
      </c>
      <c r="K75" s="76">
        <v>128</v>
      </c>
      <c r="L75" s="76">
        <v>155</v>
      </c>
      <c r="M75" s="76">
        <v>163</v>
      </c>
      <c r="N75" s="76">
        <v>156</v>
      </c>
      <c r="O75" s="76">
        <v>150</v>
      </c>
      <c r="P75" s="76">
        <v>143</v>
      </c>
      <c r="Q75" s="76">
        <v>159</v>
      </c>
      <c r="R75" s="76">
        <v>133</v>
      </c>
      <c r="S75" s="76">
        <v>133</v>
      </c>
      <c r="T75" s="76">
        <v>114</v>
      </c>
      <c r="U75" s="76">
        <v>115</v>
      </c>
      <c r="V75" s="76">
        <v>106</v>
      </c>
      <c r="W75" s="76">
        <v>99</v>
      </c>
      <c r="X75" s="76">
        <v>98</v>
      </c>
      <c r="Y75" s="76">
        <v>91</v>
      </c>
      <c r="Z75" s="76">
        <v>71</v>
      </c>
      <c r="AA75" s="76">
        <v>70</v>
      </c>
      <c r="AB75" s="76">
        <v>68</v>
      </c>
      <c r="AC75" s="76">
        <v>90</v>
      </c>
      <c r="AD75" s="76">
        <v>111</v>
      </c>
      <c r="AE75" s="165">
        <v>83</v>
      </c>
    </row>
    <row r="76" spans="1:32" s="23" customFormat="1" ht="15" customHeight="1" thickBot="1" x14ac:dyDescent="0.3">
      <c r="A76" s="166"/>
      <c r="B76" s="167" t="s">
        <v>95</v>
      </c>
      <c r="C76" s="168">
        <v>2134</v>
      </c>
      <c r="D76" s="168">
        <v>2204</v>
      </c>
      <c r="E76" s="168">
        <v>2202</v>
      </c>
      <c r="F76" s="168">
        <v>2208</v>
      </c>
      <c r="G76" s="168">
        <v>2160</v>
      </c>
      <c r="H76" s="168">
        <v>2156</v>
      </c>
      <c r="I76" s="168">
        <v>1998</v>
      </c>
      <c r="J76" s="168">
        <v>2185</v>
      </c>
      <c r="K76" s="168">
        <v>2363</v>
      </c>
      <c r="L76" s="168">
        <v>2595</v>
      </c>
      <c r="M76" s="168">
        <v>2841</v>
      </c>
      <c r="N76" s="168">
        <v>3030</v>
      </c>
      <c r="O76" s="168">
        <v>3202</v>
      </c>
      <c r="P76" s="168">
        <v>3155</v>
      </c>
      <c r="Q76" s="168">
        <v>3269</v>
      </c>
      <c r="R76" s="168">
        <v>3332</v>
      </c>
      <c r="S76" s="168">
        <v>3387</v>
      </c>
      <c r="T76" s="168">
        <v>3457</v>
      </c>
      <c r="U76" s="168">
        <v>3438</v>
      </c>
      <c r="V76" s="168">
        <v>3517</v>
      </c>
      <c r="W76" s="168">
        <v>3496</v>
      </c>
      <c r="X76" s="168">
        <v>3724</v>
      </c>
      <c r="Y76" s="168">
        <v>3534</v>
      </c>
      <c r="Z76" s="168">
        <v>3293</v>
      </c>
      <c r="AA76" s="168">
        <v>3123</v>
      </c>
      <c r="AB76" s="168">
        <v>3165</v>
      </c>
      <c r="AC76" s="168">
        <v>3564</v>
      </c>
      <c r="AD76" s="168">
        <v>3906</v>
      </c>
      <c r="AE76" s="169">
        <v>3590</v>
      </c>
      <c r="AF76" s="22"/>
    </row>
    <row r="77" spans="1:32" ht="12" customHeight="1" x14ac:dyDescent="0.25">
      <c r="A77" s="7"/>
      <c r="B77" s="7"/>
      <c r="C77" s="7"/>
      <c r="D77" s="7"/>
      <c r="E77" s="24"/>
      <c r="F77" s="7"/>
      <c r="G77" s="25"/>
      <c r="H77" s="7"/>
      <c r="I77" s="7"/>
      <c r="J77" s="7"/>
      <c r="K77" s="7"/>
      <c r="L77" s="7"/>
      <c r="M77" s="7"/>
      <c r="N77" s="7"/>
      <c r="O77" s="7"/>
      <c r="P77" s="7"/>
      <c r="Q77" s="7"/>
      <c r="R77" s="7"/>
      <c r="S77" s="7"/>
      <c r="T77" s="7"/>
      <c r="U77" s="7"/>
      <c r="V77" s="7"/>
      <c r="W77" s="7"/>
      <c r="X77" s="7"/>
      <c r="Y77" s="7"/>
      <c r="Z77" s="7"/>
      <c r="AA77" s="7"/>
      <c r="AB77" s="7"/>
      <c r="AC77" s="7"/>
      <c r="AD77" s="7"/>
      <c r="AE77" s="7"/>
    </row>
    <row r="78" spans="1:32" ht="11.25" x14ac:dyDescent="0.25">
      <c r="A78" s="307" t="s">
        <v>96</v>
      </c>
      <c r="B78" s="307"/>
      <c r="C78" s="277"/>
      <c r="D78" s="277"/>
      <c r="E78" s="277"/>
      <c r="F78" s="26"/>
      <c r="G78" s="26"/>
      <c r="H78" s="7"/>
      <c r="I78" s="7"/>
      <c r="J78" s="7"/>
      <c r="K78" s="7"/>
      <c r="L78" s="7"/>
      <c r="M78" s="7"/>
      <c r="N78" s="7"/>
      <c r="O78" s="7"/>
      <c r="P78" s="7"/>
      <c r="Q78" s="7"/>
      <c r="R78" s="7"/>
      <c r="S78" s="7"/>
      <c r="T78" s="7"/>
      <c r="U78" s="7"/>
      <c r="V78" s="7"/>
      <c r="W78" s="7"/>
      <c r="X78" s="7"/>
      <c r="Y78" s="7"/>
      <c r="Z78" s="7"/>
      <c r="AA78" s="7"/>
      <c r="AB78" s="7"/>
      <c r="AC78" s="7"/>
      <c r="AD78" s="7"/>
      <c r="AE78" s="7"/>
    </row>
    <row r="79" spans="1:32" ht="26.45" customHeight="1" x14ac:dyDescent="0.25">
      <c r="A79" s="307" t="s">
        <v>381</v>
      </c>
      <c r="B79" s="307"/>
      <c r="C79" s="307"/>
      <c r="D79" s="277"/>
      <c r="E79" s="277"/>
      <c r="F79" s="277"/>
      <c r="G79" s="277"/>
      <c r="H79" s="27"/>
      <c r="I79" s="27"/>
      <c r="J79" s="27"/>
      <c r="K79" s="27"/>
      <c r="L79" s="7"/>
      <c r="M79" s="7"/>
      <c r="N79" s="7"/>
      <c r="O79" s="7"/>
      <c r="P79" s="7"/>
      <c r="Q79" s="7"/>
      <c r="R79" s="7"/>
      <c r="S79" s="7"/>
      <c r="T79" s="7"/>
      <c r="U79" s="7"/>
      <c r="V79" s="7"/>
      <c r="W79" s="7"/>
      <c r="X79" s="7"/>
      <c r="Y79" s="7"/>
      <c r="Z79" s="7"/>
      <c r="AA79" s="7"/>
      <c r="AB79" s="7"/>
      <c r="AC79" s="7"/>
      <c r="AD79" s="7"/>
      <c r="AE79" s="7"/>
    </row>
    <row r="80" spans="1:32" ht="26.45" customHeight="1" x14ac:dyDescent="0.25">
      <c r="A80" s="307" t="s">
        <v>382</v>
      </c>
      <c r="B80" s="307"/>
      <c r="C80" s="307"/>
      <c r="D80" s="277"/>
      <c r="E80" s="277"/>
      <c r="F80" s="277"/>
      <c r="G80" s="277"/>
      <c r="H80" s="27"/>
      <c r="I80" s="27"/>
      <c r="J80" s="27"/>
      <c r="K80" s="27"/>
      <c r="L80" s="7"/>
      <c r="M80" s="7"/>
      <c r="N80" s="7"/>
      <c r="O80" s="7"/>
      <c r="P80" s="7"/>
      <c r="Q80" s="7"/>
      <c r="R80" s="7"/>
      <c r="S80" s="7"/>
      <c r="T80" s="7"/>
      <c r="U80" s="7"/>
      <c r="V80" s="7"/>
      <c r="W80" s="7"/>
      <c r="X80" s="7"/>
      <c r="Y80" s="7"/>
      <c r="Z80" s="7"/>
      <c r="AA80" s="7"/>
      <c r="AB80" s="7"/>
      <c r="AC80" s="7"/>
      <c r="AD80" s="7"/>
      <c r="AE80" s="7"/>
    </row>
    <row r="81" spans="1:32" ht="26.45" customHeight="1" x14ac:dyDescent="0.25">
      <c r="A81" s="307" t="s">
        <v>151</v>
      </c>
      <c r="B81" s="307"/>
      <c r="C81" s="307"/>
      <c r="D81" s="277"/>
      <c r="E81" s="277"/>
      <c r="F81" s="277"/>
      <c r="G81" s="277"/>
      <c r="H81" s="27"/>
      <c r="I81" s="27"/>
      <c r="J81" s="27"/>
      <c r="K81" s="27"/>
      <c r="L81" s="7"/>
      <c r="M81" s="7"/>
      <c r="N81" s="7"/>
      <c r="O81" s="7"/>
      <c r="P81" s="7"/>
      <c r="Q81" s="7"/>
      <c r="R81" s="7"/>
      <c r="S81" s="7"/>
      <c r="T81" s="7"/>
      <c r="U81" s="7"/>
      <c r="V81" s="7"/>
      <c r="W81" s="7"/>
      <c r="X81" s="7"/>
      <c r="Y81" s="7"/>
      <c r="Z81" s="7"/>
      <c r="AA81" s="7"/>
      <c r="AB81" s="7"/>
      <c r="AC81" s="7"/>
      <c r="AD81" s="7"/>
      <c r="AE81" s="7"/>
    </row>
    <row r="82" spans="1:32" ht="46.5" customHeight="1" x14ac:dyDescent="0.25">
      <c r="A82" s="307" t="s">
        <v>384</v>
      </c>
      <c r="B82" s="307"/>
      <c r="C82" s="307"/>
      <c r="D82" s="307"/>
      <c r="E82" s="307"/>
      <c r="F82" s="307"/>
      <c r="G82" s="307"/>
      <c r="H82" s="28"/>
      <c r="I82" s="28"/>
      <c r="J82" s="28"/>
      <c r="K82" s="29"/>
      <c r="L82" s="29"/>
      <c r="M82" s="29"/>
      <c r="N82" s="29"/>
      <c r="O82" s="29"/>
      <c r="P82" s="29"/>
      <c r="Q82" s="29"/>
      <c r="R82" s="29"/>
      <c r="S82" s="29"/>
      <c r="T82" s="29"/>
      <c r="U82" s="29"/>
      <c r="V82" s="29"/>
      <c r="W82" s="29"/>
      <c r="X82" s="29"/>
      <c r="Y82" s="29"/>
      <c r="Z82" s="29"/>
      <c r="AA82" s="29"/>
      <c r="AB82" s="29"/>
      <c r="AC82" s="29"/>
      <c r="AD82" s="29"/>
      <c r="AE82" s="29"/>
      <c r="AF82" s="29"/>
    </row>
    <row r="83" spans="1:32" ht="19.899999999999999" customHeight="1" x14ac:dyDescent="0.25">
      <c r="A83" s="276"/>
      <c r="B83" s="276"/>
      <c r="C83" s="276"/>
      <c r="D83" s="276"/>
      <c r="E83" s="276"/>
      <c r="F83" s="276"/>
      <c r="G83" s="276"/>
      <c r="H83" s="28"/>
      <c r="I83" s="28"/>
      <c r="J83" s="28"/>
      <c r="K83" s="7"/>
      <c r="L83" s="7"/>
      <c r="M83" s="7"/>
      <c r="N83" s="7"/>
      <c r="O83" s="7"/>
      <c r="P83" s="7"/>
      <c r="Q83" s="7"/>
      <c r="R83" s="7"/>
      <c r="S83" s="7"/>
      <c r="T83" s="7"/>
      <c r="U83" s="7"/>
      <c r="V83" s="7"/>
      <c r="W83" s="7"/>
      <c r="X83" s="7"/>
      <c r="Y83" s="61"/>
      <c r="Z83" s="61"/>
      <c r="AA83" s="61"/>
      <c r="AB83" s="61"/>
      <c r="AC83" s="61"/>
      <c r="AD83" s="61"/>
      <c r="AE83" s="61"/>
    </row>
    <row r="84" spans="1:32" ht="37.5" customHeight="1" x14ac:dyDescent="0.25">
      <c r="A84" s="7"/>
      <c r="B84" s="7"/>
      <c r="C84" s="61"/>
      <c r="D84" s="61"/>
      <c r="E84" s="61"/>
      <c r="F84" s="61"/>
      <c r="G84" s="61"/>
      <c r="H84" s="61"/>
      <c r="I84" s="61"/>
      <c r="J84" s="61"/>
      <c r="K84" s="61"/>
      <c r="L84" s="61"/>
      <c r="M84" s="61"/>
      <c r="N84" s="61"/>
      <c r="O84" s="61"/>
      <c r="P84" s="61"/>
      <c r="Q84" s="61"/>
      <c r="R84" s="61"/>
      <c r="S84" s="61"/>
      <c r="T84" s="61"/>
      <c r="U84" s="61"/>
      <c r="V84" s="61"/>
      <c r="W84" s="61"/>
      <c r="X84" s="61"/>
      <c r="Y84" s="61"/>
      <c r="Z84" s="61"/>
      <c r="AA84" s="61"/>
      <c r="AB84" s="61"/>
      <c r="AC84" s="61"/>
      <c r="AD84" s="61"/>
      <c r="AE84" s="61"/>
    </row>
    <row r="85" spans="1:32" ht="0" hidden="1" customHeight="1" x14ac:dyDescent="0.25"/>
    <row r="86" spans="1:32" ht="0" hidden="1" customHeight="1" x14ac:dyDescent="0.25"/>
    <row r="87" spans="1:32" ht="0" hidden="1" customHeight="1" x14ac:dyDescent="0.25"/>
    <row r="88" spans="1:32" ht="0" hidden="1" customHeight="1" x14ac:dyDescent="0.25"/>
    <row r="89" spans="1:32" ht="0" hidden="1" customHeight="1" x14ac:dyDescent="0.25"/>
    <row r="90" spans="1:32" ht="0" hidden="1" customHeight="1" x14ac:dyDescent="0.25"/>
    <row r="91" spans="1:32" ht="0" hidden="1" customHeight="1" x14ac:dyDescent="0.25"/>
    <row r="92" spans="1:32" ht="0" hidden="1" customHeight="1" x14ac:dyDescent="0.25"/>
    <row r="93" spans="1:32" ht="0" hidden="1" customHeight="1" x14ac:dyDescent="0.25"/>
    <row r="94" spans="1:32" ht="0" hidden="1" customHeight="1" x14ac:dyDescent="0.25"/>
  </sheetData>
  <mergeCells count="37">
    <mergeCell ref="X4:X5"/>
    <mergeCell ref="Q4:Q5"/>
    <mergeCell ref="R4:R5"/>
    <mergeCell ref="A82:G82"/>
    <mergeCell ref="W4:W5"/>
    <mergeCell ref="S4:S5"/>
    <mergeCell ref="T4:T5"/>
    <mergeCell ref="U4:U5"/>
    <mergeCell ref="V4:V5"/>
    <mergeCell ref="A81:C81"/>
    <mergeCell ref="A78:B78"/>
    <mergeCell ref="P4:P5"/>
    <mergeCell ref="O4:O5"/>
    <mergeCell ref="I4:I5"/>
    <mergeCell ref="J4:J5"/>
    <mergeCell ref="K4:K5"/>
    <mergeCell ref="L4:L5"/>
    <mergeCell ref="M4:M5"/>
    <mergeCell ref="N4:N5"/>
    <mergeCell ref="G4:G5"/>
    <mergeCell ref="H4:H5"/>
    <mergeCell ref="A80:C80"/>
    <mergeCell ref="F4:F5"/>
    <mergeCell ref="A79:C79"/>
    <mergeCell ref="A2:C2"/>
    <mergeCell ref="B4:B5"/>
    <mergeCell ref="C4:C5"/>
    <mergeCell ref="D4:D5"/>
    <mergeCell ref="E4:E5"/>
    <mergeCell ref="A4:A5"/>
    <mergeCell ref="AE4:AE5"/>
    <mergeCell ref="AA4:AA5"/>
    <mergeCell ref="Z4:Z5"/>
    <mergeCell ref="Y4:Y5"/>
    <mergeCell ref="AB4:AB5"/>
    <mergeCell ref="AC4:AC5"/>
    <mergeCell ref="AD4:AD5"/>
  </mergeCells>
  <pageMargins left="0.74803149606299213" right="0.74803149606299213" top="0.98425196850393704" bottom="0.98425196850393704" header="0" footer="0"/>
  <pageSetup paperSize="9" scale="55" fitToWidth="19" orientation="portrait" r:id="rId1"/>
  <headerFooter alignWithMargins="0"/>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4"/>
  <dimension ref="A1:DW94"/>
  <sheetViews>
    <sheetView zoomScale="115" zoomScaleNormal="115" workbookViewId="0">
      <pane xSplit="2" ySplit="5" topLeftCell="C6" activePane="bottomRight" state="frozen"/>
      <selection activeCell="C6" sqref="C6"/>
      <selection pane="topRight" activeCell="C6" sqref="C6"/>
      <selection pane="bottomLeft" activeCell="C6" sqref="C6"/>
      <selection pane="bottomRight" activeCell="C6" sqref="C6"/>
    </sheetView>
  </sheetViews>
  <sheetFormatPr baseColWidth="10" defaultColWidth="0" defaultRowHeight="0" customHeight="1" zeroHeight="1" x14ac:dyDescent="0.25"/>
  <cols>
    <col min="1" max="1" width="5.7109375" style="8" customWidth="1"/>
    <col min="2" max="2" width="62.7109375" style="8" customWidth="1"/>
    <col min="3" max="4" width="11.140625" style="30" customWidth="1"/>
    <col min="5" max="6" width="11.140625" style="8" customWidth="1"/>
    <col min="7" max="7" width="11.140625" style="31" customWidth="1"/>
    <col min="8" max="31" width="11.140625" style="8" customWidth="1"/>
    <col min="32" max="32" width="6.42578125" style="7" customWidth="1"/>
    <col min="33" max="127" width="0" style="8" hidden="1" customWidth="1"/>
    <col min="128" max="16384" width="6.42578125" style="8" hidden="1"/>
  </cols>
  <sheetData>
    <row r="1" spans="1:32" s="5" customFormat="1" ht="25.5" customHeight="1" thickBot="1" x14ac:dyDescent="0.25">
      <c r="A1" s="1"/>
      <c r="B1" s="2"/>
      <c r="C1" s="3"/>
      <c r="D1" s="172" t="s">
        <v>0</v>
      </c>
      <c r="E1" s="171"/>
      <c r="F1" s="171"/>
      <c r="G1" s="173"/>
      <c r="H1" s="171"/>
      <c r="I1" s="171"/>
      <c r="J1" s="171"/>
      <c r="K1" s="171"/>
      <c r="L1" s="171"/>
      <c r="M1" s="171"/>
      <c r="N1" s="171"/>
      <c r="O1" s="171"/>
      <c r="P1" s="171"/>
      <c r="Q1" s="171"/>
      <c r="R1" s="171"/>
      <c r="S1" s="171"/>
      <c r="T1" s="171"/>
      <c r="U1" s="171"/>
      <c r="V1" s="171"/>
      <c r="W1" s="171"/>
      <c r="X1" s="171"/>
      <c r="Y1" s="171"/>
      <c r="Z1" s="171"/>
      <c r="AA1" s="171"/>
      <c r="AB1" s="171"/>
      <c r="AC1" s="171"/>
      <c r="AD1" s="171"/>
      <c r="AE1" s="171"/>
      <c r="AF1" s="2"/>
    </row>
    <row r="2" spans="1:32" ht="22.5" customHeight="1" thickBot="1" x14ac:dyDescent="0.3">
      <c r="A2" s="303" t="s">
        <v>101</v>
      </c>
      <c r="B2" s="304"/>
      <c r="C2" s="304"/>
      <c r="D2" s="140"/>
      <c r="E2" s="140"/>
      <c r="F2" s="140"/>
      <c r="G2" s="140"/>
      <c r="H2" s="140"/>
      <c r="I2" s="140"/>
      <c r="J2" s="140"/>
      <c r="K2" s="140"/>
      <c r="L2" s="140"/>
      <c r="M2" s="140"/>
      <c r="N2" s="140"/>
      <c r="O2" s="140"/>
      <c r="P2" s="140"/>
      <c r="Q2" s="140"/>
      <c r="R2" s="140"/>
      <c r="S2" s="140"/>
      <c r="T2" s="140"/>
      <c r="U2" s="140"/>
      <c r="V2" s="140"/>
      <c r="W2" s="140"/>
      <c r="X2" s="140"/>
      <c r="Y2" s="140"/>
      <c r="Z2" s="140"/>
      <c r="AA2" s="140"/>
      <c r="AB2" s="140"/>
      <c r="AC2" s="140"/>
      <c r="AD2" s="140"/>
      <c r="AE2" s="141"/>
    </row>
    <row r="3" spans="1:32" ht="16.5" customHeight="1" thickBot="1" x14ac:dyDescent="0.25">
      <c r="A3" s="142" t="s">
        <v>299</v>
      </c>
      <c r="B3" s="57"/>
      <c r="C3" s="57"/>
      <c r="D3" s="58"/>
      <c r="E3" s="58"/>
      <c r="F3" s="58"/>
      <c r="G3" s="58"/>
      <c r="H3" s="59"/>
      <c r="I3" s="59"/>
      <c r="J3" s="59"/>
      <c r="K3" s="59"/>
      <c r="L3" s="59"/>
      <c r="M3" s="59"/>
      <c r="N3" s="59"/>
      <c r="O3" s="59"/>
      <c r="P3" s="59"/>
      <c r="Q3" s="59"/>
      <c r="R3" s="59"/>
      <c r="S3" s="59"/>
      <c r="T3" s="59"/>
      <c r="U3" s="59"/>
      <c r="V3" s="59"/>
      <c r="W3" s="59"/>
      <c r="X3" s="59"/>
      <c r="Y3" s="59"/>
      <c r="Z3" s="59"/>
      <c r="AA3" s="59"/>
      <c r="AB3" s="59"/>
      <c r="AC3" s="59"/>
      <c r="AD3" s="59"/>
      <c r="AE3" s="143"/>
    </row>
    <row r="4" spans="1:32" ht="15.75" customHeight="1" x14ac:dyDescent="0.25">
      <c r="A4" s="310"/>
      <c r="B4" s="308" t="s">
        <v>2</v>
      </c>
      <c r="C4" s="301">
        <v>1996</v>
      </c>
      <c r="D4" s="301">
        <v>1997</v>
      </c>
      <c r="E4" s="301">
        <v>1998</v>
      </c>
      <c r="F4" s="301">
        <v>1999</v>
      </c>
      <c r="G4" s="301">
        <v>2000</v>
      </c>
      <c r="H4" s="301">
        <v>2001</v>
      </c>
      <c r="I4" s="301">
        <v>2002</v>
      </c>
      <c r="J4" s="301">
        <v>2003</v>
      </c>
      <c r="K4" s="301">
        <v>2004</v>
      </c>
      <c r="L4" s="301">
        <v>2005</v>
      </c>
      <c r="M4" s="301">
        <v>2006</v>
      </c>
      <c r="N4" s="301">
        <v>2007</v>
      </c>
      <c r="O4" s="301">
        <v>2008</v>
      </c>
      <c r="P4" s="301">
        <v>2009</v>
      </c>
      <c r="Q4" s="301">
        <v>2010</v>
      </c>
      <c r="R4" s="301">
        <v>2011</v>
      </c>
      <c r="S4" s="301">
        <v>2012</v>
      </c>
      <c r="T4" s="301">
        <v>2013</v>
      </c>
      <c r="U4" s="301">
        <v>2014</v>
      </c>
      <c r="V4" s="301">
        <v>2015</v>
      </c>
      <c r="W4" s="301">
        <v>2016</v>
      </c>
      <c r="X4" s="301">
        <v>2017</v>
      </c>
      <c r="Y4" s="301">
        <v>2018</v>
      </c>
      <c r="Z4" s="301">
        <v>2019</v>
      </c>
      <c r="AA4" s="301">
        <v>2020</v>
      </c>
      <c r="AB4" s="301">
        <v>2021</v>
      </c>
      <c r="AC4" s="301">
        <v>2022</v>
      </c>
      <c r="AD4" s="301">
        <v>2023</v>
      </c>
      <c r="AE4" s="299">
        <v>2024</v>
      </c>
    </row>
    <row r="5" spans="1:32" ht="15.75" customHeight="1" thickBot="1" x14ac:dyDescent="0.3">
      <c r="A5" s="311"/>
      <c r="B5" s="309"/>
      <c r="C5" s="302"/>
      <c r="D5" s="302" t="s">
        <v>3</v>
      </c>
      <c r="E5" s="302"/>
      <c r="F5" s="302" t="s">
        <v>4</v>
      </c>
      <c r="G5" s="302"/>
      <c r="H5" s="302" t="s">
        <v>5</v>
      </c>
      <c r="I5" s="302"/>
      <c r="J5" s="302" t="s">
        <v>6</v>
      </c>
      <c r="K5" s="302"/>
      <c r="L5" s="302" t="s">
        <v>7</v>
      </c>
      <c r="M5" s="302"/>
      <c r="N5" s="302" t="s">
        <v>8</v>
      </c>
      <c r="O5" s="302"/>
      <c r="P5" s="302" t="s">
        <v>9</v>
      </c>
      <c r="Q5" s="302"/>
      <c r="R5" s="302" t="s">
        <v>10</v>
      </c>
      <c r="S5" s="302"/>
      <c r="T5" s="302"/>
      <c r="U5" s="302"/>
      <c r="V5" s="302"/>
      <c r="W5" s="302"/>
      <c r="X5" s="302"/>
      <c r="Y5" s="302"/>
      <c r="Z5" s="302"/>
      <c r="AA5" s="302"/>
      <c r="AB5" s="302"/>
      <c r="AC5" s="302"/>
      <c r="AD5" s="302"/>
      <c r="AE5" s="300"/>
    </row>
    <row r="6" spans="1:32" s="11" customFormat="1" ht="15" customHeight="1" thickBot="1" x14ac:dyDescent="0.3">
      <c r="A6" s="144" t="s">
        <v>11</v>
      </c>
      <c r="B6" s="9" t="s">
        <v>12</v>
      </c>
      <c r="C6" s="64">
        <v>7134</v>
      </c>
      <c r="D6" s="64">
        <v>7115</v>
      </c>
      <c r="E6" s="64">
        <v>7035</v>
      </c>
      <c r="F6" s="64">
        <v>6922</v>
      </c>
      <c r="G6" s="64">
        <v>6764</v>
      </c>
      <c r="H6" s="64">
        <v>6785</v>
      </c>
      <c r="I6" s="64">
        <v>6975</v>
      </c>
      <c r="J6" s="64">
        <v>7611</v>
      </c>
      <c r="K6" s="64">
        <v>8159</v>
      </c>
      <c r="L6" s="64">
        <v>8648</v>
      </c>
      <c r="M6" s="64">
        <v>8910</v>
      </c>
      <c r="N6" s="64">
        <v>9151</v>
      </c>
      <c r="O6" s="64">
        <v>9254</v>
      </c>
      <c r="P6" s="64">
        <v>9123</v>
      </c>
      <c r="Q6" s="64">
        <v>9085</v>
      </c>
      <c r="R6" s="64">
        <v>9317</v>
      </c>
      <c r="S6" s="64">
        <v>9151</v>
      </c>
      <c r="T6" s="64">
        <v>8978</v>
      </c>
      <c r="U6" s="64">
        <v>8868</v>
      </c>
      <c r="V6" s="64">
        <v>8606</v>
      </c>
      <c r="W6" s="64">
        <v>8526</v>
      </c>
      <c r="X6" s="64">
        <v>8487</v>
      </c>
      <c r="Y6" s="64">
        <v>8433</v>
      </c>
      <c r="Z6" s="64">
        <v>8519</v>
      </c>
      <c r="AA6" s="64">
        <v>8574</v>
      </c>
      <c r="AB6" s="64">
        <v>8794</v>
      </c>
      <c r="AC6" s="64">
        <v>8950</v>
      </c>
      <c r="AD6" s="64">
        <v>8784</v>
      </c>
      <c r="AE6" s="145">
        <v>8606</v>
      </c>
      <c r="AF6" s="10"/>
    </row>
    <row r="7" spans="1:32" ht="15" customHeight="1" x14ac:dyDescent="0.25">
      <c r="A7" s="146">
        <v>1</v>
      </c>
      <c r="B7" s="12" t="s">
        <v>13</v>
      </c>
      <c r="C7" s="68">
        <v>7118</v>
      </c>
      <c r="D7" s="68">
        <v>7098</v>
      </c>
      <c r="E7" s="68">
        <v>7018</v>
      </c>
      <c r="F7" s="68">
        <v>6906</v>
      </c>
      <c r="G7" s="68">
        <v>6750</v>
      </c>
      <c r="H7" s="68">
        <v>6770</v>
      </c>
      <c r="I7" s="68">
        <v>6959</v>
      </c>
      <c r="J7" s="68">
        <v>7590</v>
      </c>
      <c r="K7" s="68">
        <v>8133</v>
      </c>
      <c r="L7" s="68">
        <v>8620</v>
      </c>
      <c r="M7" s="68">
        <v>8882</v>
      </c>
      <c r="N7" s="68">
        <v>9119</v>
      </c>
      <c r="O7" s="68">
        <v>9222</v>
      </c>
      <c r="P7" s="68">
        <v>9095</v>
      </c>
      <c r="Q7" s="68">
        <v>9062</v>
      </c>
      <c r="R7" s="68">
        <v>9296</v>
      </c>
      <c r="S7" s="68">
        <v>9131</v>
      </c>
      <c r="T7" s="68">
        <v>8957</v>
      </c>
      <c r="U7" s="68">
        <v>8845</v>
      </c>
      <c r="V7" s="68">
        <v>8585</v>
      </c>
      <c r="W7" s="68">
        <v>8504</v>
      </c>
      <c r="X7" s="68">
        <v>8463</v>
      </c>
      <c r="Y7" s="68">
        <v>8412</v>
      </c>
      <c r="Z7" s="68">
        <v>8498</v>
      </c>
      <c r="AA7" s="68">
        <v>8558</v>
      </c>
      <c r="AB7" s="68">
        <v>8773</v>
      </c>
      <c r="AC7" s="68">
        <v>8929</v>
      </c>
      <c r="AD7" s="68">
        <v>8768</v>
      </c>
      <c r="AE7" s="147">
        <v>8587</v>
      </c>
    </row>
    <row r="8" spans="1:32" ht="15" customHeight="1" thickBot="1" x14ac:dyDescent="0.3">
      <c r="A8" s="148">
        <v>2</v>
      </c>
      <c r="B8" s="13" t="s">
        <v>14</v>
      </c>
      <c r="C8" s="69">
        <v>16</v>
      </c>
      <c r="D8" s="69">
        <v>17</v>
      </c>
      <c r="E8" s="69">
        <v>17</v>
      </c>
      <c r="F8" s="69">
        <v>16</v>
      </c>
      <c r="G8" s="69">
        <v>14</v>
      </c>
      <c r="H8" s="69">
        <v>15</v>
      </c>
      <c r="I8" s="69">
        <v>16</v>
      </c>
      <c r="J8" s="69">
        <v>21</v>
      </c>
      <c r="K8" s="69">
        <v>26</v>
      </c>
      <c r="L8" s="69">
        <v>28</v>
      </c>
      <c r="M8" s="69">
        <v>28</v>
      </c>
      <c r="N8" s="69">
        <v>32</v>
      </c>
      <c r="O8" s="69">
        <v>32</v>
      </c>
      <c r="P8" s="69">
        <v>28</v>
      </c>
      <c r="Q8" s="69">
        <v>23</v>
      </c>
      <c r="R8" s="69">
        <v>21</v>
      </c>
      <c r="S8" s="69">
        <v>20</v>
      </c>
      <c r="T8" s="69">
        <v>21</v>
      </c>
      <c r="U8" s="69">
        <v>23</v>
      </c>
      <c r="V8" s="69">
        <v>21</v>
      </c>
      <c r="W8" s="69">
        <v>22</v>
      </c>
      <c r="X8" s="69">
        <v>24</v>
      </c>
      <c r="Y8" s="69">
        <v>21</v>
      </c>
      <c r="Z8" s="69">
        <v>21</v>
      </c>
      <c r="AA8" s="69">
        <v>16</v>
      </c>
      <c r="AB8" s="69">
        <v>21</v>
      </c>
      <c r="AC8" s="69">
        <v>21</v>
      </c>
      <c r="AD8" s="69">
        <v>16</v>
      </c>
      <c r="AE8" s="149">
        <v>19</v>
      </c>
    </row>
    <row r="9" spans="1:32" s="11" customFormat="1" ht="15" customHeight="1" thickBot="1" x14ac:dyDescent="0.3">
      <c r="A9" s="144" t="s">
        <v>15</v>
      </c>
      <c r="B9" s="9" t="s">
        <v>16</v>
      </c>
      <c r="C9" s="64">
        <v>10</v>
      </c>
      <c r="D9" s="64">
        <v>12</v>
      </c>
      <c r="E9" s="64">
        <v>10</v>
      </c>
      <c r="F9" s="64">
        <v>7</v>
      </c>
      <c r="G9" s="64">
        <v>4</v>
      </c>
      <c r="H9" s="64">
        <v>4</v>
      </c>
      <c r="I9" s="64">
        <v>4</v>
      </c>
      <c r="J9" s="64">
        <v>4</v>
      </c>
      <c r="K9" s="64" t="s">
        <v>383</v>
      </c>
      <c r="L9" s="64">
        <v>4</v>
      </c>
      <c r="M9" s="64">
        <v>5</v>
      </c>
      <c r="N9" s="64">
        <v>4</v>
      </c>
      <c r="O9" s="64">
        <v>4</v>
      </c>
      <c r="P9" s="64">
        <v>9</v>
      </c>
      <c r="Q9" s="64" t="s">
        <v>383</v>
      </c>
      <c r="R9" s="64">
        <v>4</v>
      </c>
      <c r="S9" s="64">
        <v>4</v>
      </c>
      <c r="T9" s="64">
        <v>4</v>
      </c>
      <c r="U9" s="64">
        <v>4</v>
      </c>
      <c r="V9" s="64">
        <v>4</v>
      </c>
      <c r="W9" s="64">
        <v>4</v>
      </c>
      <c r="X9" s="64">
        <v>4</v>
      </c>
      <c r="Y9" s="64" t="s">
        <v>383</v>
      </c>
      <c r="Z9" s="64" t="s">
        <v>383</v>
      </c>
      <c r="AA9" s="64" t="s">
        <v>383</v>
      </c>
      <c r="AB9" s="64">
        <v>5</v>
      </c>
      <c r="AC9" s="64">
        <v>5</v>
      </c>
      <c r="AD9" s="64">
        <v>5</v>
      </c>
      <c r="AE9" s="145">
        <v>4</v>
      </c>
      <c r="AF9" s="10"/>
    </row>
    <row r="10" spans="1:32" ht="15" customHeight="1" thickBot="1" x14ac:dyDescent="0.3">
      <c r="A10" s="150">
        <v>5</v>
      </c>
      <c r="B10" s="14" t="s">
        <v>17</v>
      </c>
      <c r="C10" s="67">
        <v>10</v>
      </c>
      <c r="D10" s="67">
        <v>12</v>
      </c>
      <c r="E10" s="67">
        <v>10</v>
      </c>
      <c r="F10" s="67">
        <v>7</v>
      </c>
      <c r="G10" s="67">
        <v>4</v>
      </c>
      <c r="H10" s="67">
        <v>4</v>
      </c>
      <c r="I10" s="67">
        <v>4</v>
      </c>
      <c r="J10" s="67">
        <v>4</v>
      </c>
      <c r="K10" s="67" t="s">
        <v>383</v>
      </c>
      <c r="L10" s="67">
        <v>4</v>
      </c>
      <c r="M10" s="67">
        <v>5</v>
      </c>
      <c r="N10" s="67">
        <v>4</v>
      </c>
      <c r="O10" s="67">
        <v>4</v>
      </c>
      <c r="P10" s="67">
        <v>9</v>
      </c>
      <c r="Q10" s="67" t="s">
        <v>383</v>
      </c>
      <c r="R10" s="67">
        <v>4</v>
      </c>
      <c r="S10" s="67">
        <v>4</v>
      </c>
      <c r="T10" s="67">
        <v>4</v>
      </c>
      <c r="U10" s="67">
        <v>4</v>
      </c>
      <c r="V10" s="67">
        <v>4</v>
      </c>
      <c r="W10" s="67">
        <v>4</v>
      </c>
      <c r="X10" s="67">
        <v>4</v>
      </c>
      <c r="Y10" s="67" t="s">
        <v>383</v>
      </c>
      <c r="Z10" s="67" t="s">
        <v>383</v>
      </c>
      <c r="AA10" s="67" t="s">
        <v>383</v>
      </c>
      <c r="AB10" s="67">
        <v>5</v>
      </c>
      <c r="AC10" s="67">
        <v>5</v>
      </c>
      <c r="AD10" s="67">
        <v>5</v>
      </c>
      <c r="AE10" s="151">
        <v>4</v>
      </c>
    </row>
    <row r="11" spans="1:32" s="11" customFormat="1" ht="15" customHeight="1" thickBot="1" x14ac:dyDescent="0.3">
      <c r="A11" s="144" t="s">
        <v>18</v>
      </c>
      <c r="B11" s="9" t="s">
        <v>19</v>
      </c>
      <c r="C11" s="64">
        <v>90</v>
      </c>
      <c r="D11" s="64">
        <v>92</v>
      </c>
      <c r="E11" s="64">
        <v>96</v>
      </c>
      <c r="F11" s="64">
        <v>88</v>
      </c>
      <c r="G11" s="64">
        <v>80</v>
      </c>
      <c r="H11" s="64">
        <v>71</v>
      </c>
      <c r="I11" s="64">
        <v>63</v>
      </c>
      <c r="J11" s="64">
        <v>73</v>
      </c>
      <c r="K11" s="64">
        <v>89</v>
      </c>
      <c r="L11" s="64">
        <v>107</v>
      </c>
      <c r="M11" s="64">
        <v>116</v>
      </c>
      <c r="N11" s="64">
        <v>131</v>
      </c>
      <c r="O11" s="64">
        <v>133</v>
      </c>
      <c r="P11" s="64">
        <v>128</v>
      </c>
      <c r="Q11" s="64">
        <v>119</v>
      </c>
      <c r="R11" s="64">
        <v>122</v>
      </c>
      <c r="S11" s="64">
        <v>129</v>
      </c>
      <c r="T11" s="64">
        <v>124</v>
      </c>
      <c r="U11" s="64">
        <v>120</v>
      </c>
      <c r="V11" s="64">
        <v>124</v>
      </c>
      <c r="W11" s="64">
        <v>122</v>
      </c>
      <c r="X11" s="64">
        <v>126</v>
      </c>
      <c r="Y11" s="64">
        <v>123</v>
      </c>
      <c r="Z11" s="64">
        <v>118</v>
      </c>
      <c r="AA11" s="64">
        <v>120</v>
      </c>
      <c r="AB11" s="64">
        <v>121</v>
      </c>
      <c r="AC11" s="64">
        <v>127</v>
      </c>
      <c r="AD11" s="64">
        <v>127</v>
      </c>
      <c r="AE11" s="145">
        <v>118</v>
      </c>
      <c r="AF11" s="10"/>
    </row>
    <row r="12" spans="1:32" ht="15" customHeight="1" x14ac:dyDescent="0.25">
      <c r="A12" s="152">
        <v>11</v>
      </c>
      <c r="B12" s="15" t="s">
        <v>20</v>
      </c>
      <c r="C12" s="68" t="s">
        <v>383</v>
      </c>
      <c r="D12" s="68" t="s">
        <v>383</v>
      </c>
      <c r="E12" s="68" t="s">
        <v>383</v>
      </c>
      <c r="F12" s="68" t="s">
        <v>383</v>
      </c>
      <c r="G12" s="68" t="s">
        <v>383</v>
      </c>
      <c r="H12" s="68" t="s">
        <v>383</v>
      </c>
      <c r="I12" s="68" t="s">
        <v>383</v>
      </c>
      <c r="J12" s="68" t="s">
        <v>383</v>
      </c>
      <c r="K12" s="68" t="s">
        <v>383</v>
      </c>
      <c r="L12" s="68" t="s">
        <v>383</v>
      </c>
      <c r="M12" s="68" t="s">
        <v>383</v>
      </c>
      <c r="N12" s="68" t="s">
        <v>383</v>
      </c>
      <c r="O12" s="68" t="s">
        <v>383</v>
      </c>
      <c r="P12" s="68" t="s">
        <v>383</v>
      </c>
      <c r="Q12" s="68" t="s">
        <v>383</v>
      </c>
      <c r="R12" s="68" t="s">
        <v>383</v>
      </c>
      <c r="S12" s="68" t="s">
        <v>383</v>
      </c>
      <c r="T12" s="68" t="s">
        <v>383</v>
      </c>
      <c r="U12" s="68" t="s">
        <v>383</v>
      </c>
      <c r="V12" s="68" t="s">
        <v>383</v>
      </c>
      <c r="W12" s="68" t="s">
        <v>383</v>
      </c>
      <c r="X12" s="68" t="s">
        <v>383</v>
      </c>
      <c r="Y12" s="68" t="s">
        <v>383</v>
      </c>
      <c r="Z12" s="68" t="s">
        <v>383</v>
      </c>
      <c r="AA12" s="68" t="s">
        <v>383</v>
      </c>
      <c r="AB12" s="68" t="s">
        <v>383</v>
      </c>
      <c r="AC12" s="68" t="s">
        <v>383</v>
      </c>
      <c r="AD12" s="68" t="s">
        <v>383</v>
      </c>
      <c r="AE12" s="153" t="s">
        <v>383</v>
      </c>
    </row>
    <row r="13" spans="1:32" ht="15" customHeight="1" x14ac:dyDescent="0.25">
      <c r="A13" s="154">
        <v>13</v>
      </c>
      <c r="B13" s="16" t="s">
        <v>21</v>
      </c>
      <c r="C13" s="69" t="s">
        <v>383</v>
      </c>
      <c r="D13" s="69" t="s">
        <v>383</v>
      </c>
      <c r="E13" s="69" t="s">
        <v>383</v>
      </c>
      <c r="F13" s="69" t="s">
        <v>383</v>
      </c>
      <c r="G13" s="69" t="s">
        <v>383</v>
      </c>
      <c r="H13" s="69" t="s">
        <v>383</v>
      </c>
      <c r="I13" s="69" t="s">
        <v>383</v>
      </c>
      <c r="J13" s="69" t="s">
        <v>383</v>
      </c>
      <c r="K13" s="69" t="s">
        <v>383</v>
      </c>
      <c r="L13" s="69" t="s">
        <v>383</v>
      </c>
      <c r="M13" s="69" t="s">
        <v>383</v>
      </c>
      <c r="N13" s="69" t="s">
        <v>383</v>
      </c>
      <c r="O13" s="69" t="s">
        <v>383</v>
      </c>
      <c r="P13" s="69" t="s">
        <v>383</v>
      </c>
      <c r="Q13" s="69" t="s">
        <v>383</v>
      </c>
      <c r="R13" s="69" t="s">
        <v>383</v>
      </c>
      <c r="S13" s="69" t="s">
        <v>383</v>
      </c>
      <c r="T13" s="69" t="s">
        <v>383</v>
      </c>
      <c r="U13" s="69" t="s">
        <v>383</v>
      </c>
      <c r="V13" s="69" t="s">
        <v>383</v>
      </c>
      <c r="W13" s="69" t="s">
        <v>383</v>
      </c>
      <c r="X13" s="69" t="s">
        <v>383</v>
      </c>
      <c r="Y13" s="69" t="s">
        <v>383</v>
      </c>
      <c r="Z13" s="69" t="s">
        <v>383</v>
      </c>
      <c r="AA13" s="69" t="s">
        <v>383</v>
      </c>
      <c r="AB13" s="69" t="s">
        <v>383</v>
      </c>
      <c r="AC13" s="69" t="s">
        <v>383</v>
      </c>
      <c r="AD13" s="69" t="s">
        <v>383</v>
      </c>
      <c r="AE13" s="155" t="s">
        <v>383</v>
      </c>
    </row>
    <row r="14" spans="1:32" ht="15" customHeight="1" thickBot="1" x14ac:dyDescent="0.3">
      <c r="A14" s="152">
        <v>14</v>
      </c>
      <c r="B14" s="15" t="s">
        <v>22</v>
      </c>
      <c r="C14" s="68">
        <v>82</v>
      </c>
      <c r="D14" s="68">
        <v>85</v>
      </c>
      <c r="E14" s="68">
        <v>84</v>
      </c>
      <c r="F14" s="68">
        <v>78</v>
      </c>
      <c r="G14" s="68">
        <v>74</v>
      </c>
      <c r="H14" s="68">
        <v>66</v>
      </c>
      <c r="I14" s="68">
        <v>59</v>
      </c>
      <c r="J14" s="68">
        <v>66</v>
      </c>
      <c r="K14" s="68">
        <v>83</v>
      </c>
      <c r="L14" s="68">
        <v>101</v>
      </c>
      <c r="M14" s="68">
        <v>109</v>
      </c>
      <c r="N14" s="68">
        <v>125</v>
      </c>
      <c r="O14" s="68">
        <v>128</v>
      </c>
      <c r="P14" s="68">
        <v>122</v>
      </c>
      <c r="Q14" s="68">
        <v>111</v>
      </c>
      <c r="R14" s="68">
        <v>117</v>
      </c>
      <c r="S14" s="68">
        <v>123</v>
      </c>
      <c r="T14" s="68">
        <v>116</v>
      </c>
      <c r="U14" s="68">
        <v>115</v>
      </c>
      <c r="V14" s="68">
        <v>119</v>
      </c>
      <c r="W14" s="68">
        <v>117</v>
      </c>
      <c r="X14" s="68">
        <v>121</v>
      </c>
      <c r="Y14" s="68">
        <v>118</v>
      </c>
      <c r="Z14" s="68">
        <v>112</v>
      </c>
      <c r="AA14" s="68">
        <v>113</v>
      </c>
      <c r="AB14" s="68">
        <v>115</v>
      </c>
      <c r="AC14" s="68">
        <v>118</v>
      </c>
      <c r="AD14" s="68">
        <v>119</v>
      </c>
      <c r="AE14" s="153">
        <v>111</v>
      </c>
    </row>
    <row r="15" spans="1:32" s="11" customFormat="1" ht="15" customHeight="1" thickBot="1" x14ac:dyDescent="0.3">
      <c r="A15" s="144" t="s">
        <v>23</v>
      </c>
      <c r="B15" s="9" t="s">
        <v>24</v>
      </c>
      <c r="C15" s="64">
        <v>4158</v>
      </c>
      <c r="D15" s="64">
        <v>4275</v>
      </c>
      <c r="E15" s="64">
        <v>4234</v>
      </c>
      <c r="F15" s="64">
        <v>4188</v>
      </c>
      <c r="G15" s="64">
        <v>4134</v>
      </c>
      <c r="H15" s="64">
        <v>3948</v>
      </c>
      <c r="I15" s="64">
        <v>3727</v>
      </c>
      <c r="J15" s="64">
        <v>4086</v>
      </c>
      <c r="K15" s="64">
        <v>4587</v>
      </c>
      <c r="L15" s="64">
        <v>4986</v>
      </c>
      <c r="M15" s="64">
        <v>5251</v>
      </c>
      <c r="N15" s="64">
        <v>5511</v>
      </c>
      <c r="O15" s="64">
        <v>5701</v>
      </c>
      <c r="P15" s="64">
        <v>5739</v>
      </c>
      <c r="Q15" s="64">
        <v>5807</v>
      </c>
      <c r="R15" s="64">
        <v>5874</v>
      </c>
      <c r="S15" s="64">
        <v>5890</v>
      </c>
      <c r="T15" s="64">
        <v>5851</v>
      </c>
      <c r="U15" s="64">
        <v>5841</v>
      </c>
      <c r="V15" s="64">
        <v>5857</v>
      </c>
      <c r="W15" s="64">
        <v>5844</v>
      </c>
      <c r="X15" s="64">
        <v>5801</v>
      </c>
      <c r="Y15" s="64">
        <v>5714</v>
      </c>
      <c r="Z15" s="64">
        <v>5525</v>
      </c>
      <c r="AA15" s="64">
        <v>5388</v>
      </c>
      <c r="AB15" s="64">
        <v>5489</v>
      </c>
      <c r="AC15" s="64">
        <v>5741</v>
      </c>
      <c r="AD15" s="64">
        <v>5855</v>
      </c>
      <c r="AE15" s="145">
        <v>5764</v>
      </c>
      <c r="AF15" s="10"/>
    </row>
    <row r="16" spans="1:32" ht="15" customHeight="1" x14ac:dyDescent="0.25">
      <c r="A16" s="152">
        <v>15</v>
      </c>
      <c r="B16" s="15" t="s">
        <v>25</v>
      </c>
      <c r="C16" s="68">
        <v>1264</v>
      </c>
      <c r="D16" s="68">
        <v>1279</v>
      </c>
      <c r="E16" s="68">
        <v>1223</v>
      </c>
      <c r="F16" s="68">
        <v>1182</v>
      </c>
      <c r="G16" s="68">
        <v>1161</v>
      </c>
      <c r="H16" s="68">
        <v>1122</v>
      </c>
      <c r="I16" s="68">
        <v>1105</v>
      </c>
      <c r="J16" s="68">
        <v>1204</v>
      </c>
      <c r="K16" s="68">
        <v>1334</v>
      </c>
      <c r="L16" s="68">
        <v>1420</v>
      </c>
      <c r="M16" s="68">
        <v>1458</v>
      </c>
      <c r="N16" s="68">
        <v>1494</v>
      </c>
      <c r="O16" s="68">
        <v>1589</v>
      </c>
      <c r="P16" s="68">
        <v>1645</v>
      </c>
      <c r="Q16" s="68">
        <v>1649</v>
      </c>
      <c r="R16" s="68">
        <v>1690</v>
      </c>
      <c r="S16" s="68">
        <v>1686</v>
      </c>
      <c r="T16" s="68">
        <v>1698</v>
      </c>
      <c r="U16" s="68">
        <v>1730</v>
      </c>
      <c r="V16" s="68">
        <v>1768</v>
      </c>
      <c r="W16" s="68">
        <v>1793</v>
      </c>
      <c r="X16" s="68">
        <v>1781</v>
      </c>
      <c r="Y16" s="68">
        <v>1765</v>
      </c>
      <c r="Z16" s="68">
        <v>1730</v>
      </c>
      <c r="AA16" s="68">
        <v>1687</v>
      </c>
      <c r="AB16" s="68">
        <v>1684</v>
      </c>
      <c r="AC16" s="68">
        <v>1774</v>
      </c>
      <c r="AD16" s="68">
        <v>1801</v>
      </c>
      <c r="AE16" s="153">
        <v>1812</v>
      </c>
    </row>
    <row r="17" spans="1:31" ht="15" customHeight="1" x14ac:dyDescent="0.25">
      <c r="A17" s="156">
        <v>16</v>
      </c>
      <c r="B17" s="17" t="s">
        <v>26</v>
      </c>
      <c r="C17" s="70" t="s">
        <v>383</v>
      </c>
      <c r="D17" s="70" t="s">
        <v>383</v>
      </c>
      <c r="E17" s="70" t="s">
        <v>383</v>
      </c>
      <c r="F17" s="70" t="s">
        <v>383</v>
      </c>
      <c r="G17" s="70" t="s">
        <v>383</v>
      </c>
      <c r="H17" s="70" t="s">
        <v>383</v>
      </c>
      <c r="I17" s="70" t="s">
        <v>383</v>
      </c>
      <c r="J17" s="70" t="s">
        <v>383</v>
      </c>
      <c r="K17" s="70" t="s">
        <v>383</v>
      </c>
      <c r="L17" s="70" t="s">
        <v>383</v>
      </c>
      <c r="M17" s="70" t="s">
        <v>383</v>
      </c>
      <c r="N17" s="70" t="s">
        <v>383</v>
      </c>
      <c r="O17" s="70" t="s">
        <v>383</v>
      </c>
      <c r="P17" s="70" t="s">
        <v>383</v>
      </c>
      <c r="Q17" s="70" t="s">
        <v>383</v>
      </c>
      <c r="R17" s="70" t="s">
        <v>383</v>
      </c>
      <c r="S17" s="70" t="s">
        <v>383</v>
      </c>
      <c r="T17" s="70" t="s">
        <v>383</v>
      </c>
      <c r="U17" s="70" t="s">
        <v>383</v>
      </c>
      <c r="V17" s="70" t="s">
        <v>383</v>
      </c>
      <c r="W17" s="70" t="s">
        <v>383</v>
      </c>
      <c r="X17" s="70" t="s">
        <v>383</v>
      </c>
      <c r="Y17" s="70" t="s">
        <v>383</v>
      </c>
      <c r="Z17" s="70" t="s">
        <v>383</v>
      </c>
      <c r="AA17" s="70">
        <v>4</v>
      </c>
      <c r="AB17" s="70">
        <v>4</v>
      </c>
      <c r="AC17" s="70">
        <v>4</v>
      </c>
      <c r="AD17" s="70">
        <v>4</v>
      </c>
      <c r="AE17" s="157">
        <v>5</v>
      </c>
    </row>
    <row r="18" spans="1:31" ht="15" customHeight="1" x14ac:dyDescent="0.25">
      <c r="A18" s="156">
        <v>17</v>
      </c>
      <c r="B18" s="17" t="s">
        <v>27</v>
      </c>
      <c r="C18" s="70">
        <v>75</v>
      </c>
      <c r="D18" s="70">
        <v>82</v>
      </c>
      <c r="E18" s="70">
        <v>75</v>
      </c>
      <c r="F18" s="70">
        <v>75</v>
      </c>
      <c r="G18" s="70">
        <v>92</v>
      </c>
      <c r="H18" s="70">
        <v>85</v>
      </c>
      <c r="I18" s="70">
        <v>76</v>
      </c>
      <c r="J18" s="70">
        <v>87</v>
      </c>
      <c r="K18" s="70">
        <v>107</v>
      </c>
      <c r="L18" s="70">
        <v>120</v>
      </c>
      <c r="M18" s="70">
        <v>130</v>
      </c>
      <c r="N18" s="70">
        <v>135</v>
      </c>
      <c r="O18" s="70">
        <v>132</v>
      </c>
      <c r="P18" s="70">
        <v>138</v>
      </c>
      <c r="Q18" s="70">
        <v>141</v>
      </c>
      <c r="R18" s="70">
        <v>153</v>
      </c>
      <c r="S18" s="70">
        <v>160</v>
      </c>
      <c r="T18" s="70">
        <v>158</v>
      </c>
      <c r="U18" s="70">
        <v>149</v>
      </c>
      <c r="V18" s="70">
        <v>152</v>
      </c>
      <c r="W18" s="70">
        <v>149</v>
      </c>
      <c r="X18" s="70">
        <v>152</v>
      </c>
      <c r="Y18" s="70">
        <v>154</v>
      </c>
      <c r="Z18" s="70">
        <v>140</v>
      </c>
      <c r="AA18" s="70">
        <v>137</v>
      </c>
      <c r="AB18" s="70">
        <v>132</v>
      </c>
      <c r="AC18" s="70">
        <v>140</v>
      </c>
      <c r="AD18" s="70">
        <v>140</v>
      </c>
      <c r="AE18" s="157">
        <v>140</v>
      </c>
    </row>
    <row r="19" spans="1:31" ht="15" customHeight="1" x14ac:dyDescent="0.25">
      <c r="A19" s="156">
        <v>18</v>
      </c>
      <c r="B19" s="17" t="s">
        <v>28</v>
      </c>
      <c r="C19" s="70">
        <v>178</v>
      </c>
      <c r="D19" s="70">
        <v>169</v>
      </c>
      <c r="E19" s="70">
        <v>156</v>
      </c>
      <c r="F19" s="70">
        <v>142</v>
      </c>
      <c r="G19" s="70">
        <v>139</v>
      </c>
      <c r="H19" s="70">
        <v>125</v>
      </c>
      <c r="I19" s="70">
        <v>123</v>
      </c>
      <c r="J19" s="70">
        <v>137</v>
      </c>
      <c r="K19" s="70">
        <v>161</v>
      </c>
      <c r="L19" s="70">
        <v>183</v>
      </c>
      <c r="M19" s="70">
        <v>199</v>
      </c>
      <c r="N19" s="70">
        <v>211</v>
      </c>
      <c r="O19" s="70">
        <v>206</v>
      </c>
      <c r="P19" s="70">
        <v>212</v>
      </c>
      <c r="Q19" s="70">
        <v>213</v>
      </c>
      <c r="R19" s="70">
        <v>203</v>
      </c>
      <c r="S19" s="70">
        <v>207</v>
      </c>
      <c r="T19" s="70">
        <v>182</v>
      </c>
      <c r="U19" s="70">
        <v>191</v>
      </c>
      <c r="V19" s="70">
        <v>192</v>
      </c>
      <c r="W19" s="70">
        <v>184</v>
      </c>
      <c r="X19" s="70">
        <v>192</v>
      </c>
      <c r="Y19" s="70">
        <v>181</v>
      </c>
      <c r="Z19" s="70">
        <v>167</v>
      </c>
      <c r="AA19" s="70">
        <v>152</v>
      </c>
      <c r="AB19" s="70">
        <v>159</v>
      </c>
      <c r="AC19" s="70">
        <v>171</v>
      </c>
      <c r="AD19" s="70">
        <v>192</v>
      </c>
      <c r="AE19" s="157">
        <v>177</v>
      </c>
    </row>
    <row r="20" spans="1:31" ht="15" customHeight="1" x14ac:dyDescent="0.25">
      <c r="A20" s="156">
        <v>19</v>
      </c>
      <c r="B20" s="17" t="s">
        <v>29</v>
      </c>
      <c r="C20" s="70">
        <v>131</v>
      </c>
      <c r="D20" s="70">
        <v>131</v>
      </c>
      <c r="E20" s="70">
        <v>121</v>
      </c>
      <c r="F20" s="70">
        <v>113</v>
      </c>
      <c r="G20" s="70">
        <v>114</v>
      </c>
      <c r="H20" s="70">
        <v>106</v>
      </c>
      <c r="I20" s="70">
        <v>91</v>
      </c>
      <c r="J20" s="70">
        <v>111</v>
      </c>
      <c r="K20" s="70">
        <v>132</v>
      </c>
      <c r="L20" s="70">
        <v>143</v>
      </c>
      <c r="M20" s="70">
        <v>149</v>
      </c>
      <c r="N20" s="70">
        <v>155</v>
      </c>
      <c r="O20" s="70">
        <v>142</v>
      </c>
      <c r="P20" s="70">
        <v>134</v>
      </c>
      <c r="Q20" s="70">
        <v>131</v>
      </c>
      <c r="R20" s="70">
        <v>138</v>
      </c>
      <c r="S20" s="70">
        <v>142</v>
      </c>
      <c r="T20" s="70">
        <v>135</v>
      </c>
      <c r="U20" s="70">
        <v>140</v>
      </c>
      <c r="V20" s="70">
        <v>140</v>
      </c>
      <c r="W20" s="70">
        <v>139</v>
      </c>
      <c r="X20" s="70">
        <v>130</v>
      </c>
      <c r="Y20" s="70">
        <v>118</v>
      </c>
      <c r="Z20" s="70">
        <v>109</v>
      </c>
      <c r="AA20" s="70">
        <v>107</v>
      </c>
      <c r="AB20" s="70">
        <v>106</v>
      </c>
      <c r="AC20" s="70">
        <v>113</v>
      </c>
      <c r="AD20" s="70">
        <v>112</v>
      </c>
      <c r="AE20" s="157">
        <v>105</v>
      </c>
    </row>
    <row r="21" spans="1:31" ht="15" customHeight="1" x14ac:dyDescent="0.25">
      <c r="A21" s="156">
        <v>20</v>
      </c>
      <c r="B21" s="17" t="s">
        <v>30</v>
      </c>
      <c r="C21" s="70">
        <v>175</v>
      </c>
      <c r="D21" s="70">
        <v>180</v>
      </c>
      <c r="E21" s="70">
        <v>183</v>
      </c>
      <c r="F21" s="70">
        <v>186</v>
      </c>
      <c r="G21" s="70">
        <v>170</v>
      </c>
      <c r="H21" s="70">
        <v>170</v>
      </c>
      <c r="I21" s="70">
        <v>159</v>
      </c>
      <c r="J21" s="70">
        <v>183</v>
      </c>
      <c r="K21" s="70">
        <v>206</v>
      </c>
      <c r="L21" s="70">
        <v>220</v>
      </c>
      <c r="M21" s="70">
        <v>231</v>
      </c>
      <c r="N21" s="70">
        <v>236</v>
      </c>
      <c r="O21" s="70">
        <v>250</v>
      </c>
      <c r="P21" s="70">
        <v>235</v>
      </c>
      <c r="Q21" s="70">
        <v>237</v>
      </c>
      <c r="R21" s="70">
        <v>233</v>
      </c>
      <c r="S21" s="70">
        <v>244</v>
      </c>
      <c r="T21" s="70">
        <v>235</v>
      </c>
      <c r="U21" s="70">
        <v>229</v>
      </c>
      <c r="V21" s="70">
        <v>215</v>
      </c>
      <c r="W21" s="70">
        <v>210</v>
      </c>
      <c r="X21" s="70">
        <v>208</v>
      </c>
      <c r="Y21" s="70">
        <v>207</v>
      </c>
      <c r="Z21" s="70">
        <v>182</v>
      </c>
      <c r="AA21" s="70">
        <v>172</v>
      </c>
      <c r="AB21" s="70">
        <v>176</v>
      </c>
      <c r="AC21" s="70">
        <v>181</v>
      </c>
      <c r="AD21" s="70">
        <v>193</v>
      </c>
      <c r="AE21" s="157">
        <v>177</v>
      </c>
    </row>
    <row r="22" spans="1:31" ht="15" customHeight="1" x14ac:dyDescent="0.25">
      <c r="A22" s="156">
        <v>21</v>
      </c>
      <c r="B22" s="17" t="s">
        <v>31</v>
      </c>
      <c r="C22" s="70">
        <v>46</v>
      </c>
      <c r="D22" s="70">
        <v>46</v>
      </c>
      <c r="E22" s="70">
        <v>38</v>
      </c>
      <c r="F22" s="70">
        <v>41</v>
      </c>
      <c r="G22" s="70">
        <v>45</v>
      </c>
      <c r="H22" s="70">
        <v>39</v>
      </c>
      <c r="I22" s="70">
        <v>39</v>
      </c>
      <c r="J22" s="70">
        <v>45</v>
      </c>
      <c r="K22" s="70">
        <v>54</v>
      </c>
      <c r="L22" s="70">
        <v>53</v>
      </c>
      <c r="M22" s="70">
        <v>58</v>
      </c>
      <c r="N22" s="70">
        <v>58</v>
      </c>
      <c r="O22" s="70">
        <v>61</v>
      </c>
      <c r="P22" s="70">
        <v>56</v>
      </c>
      <c r="Q22" s="70">
        <v>58</v>
      </c>
      <c r="R22" s="70">
        <v>63</v>
      </c>
      <c r="S22" s="70">
        <v>66</v>
      </c>
      <c r="T22" s="70">
        <v>63</v>
      </c>
      <c r="U22" s="70">
        <v>64</v>
      </c>
      <c r="V22" s="70">
        <v>63</v>
      </c>
      <c r="W22" s="70">
        <v>64</v>
      </c>
      <c r="X22" s="70">
        <v>65</v>
      </c>
      <c r="Y22" s="70">
        <v>63</v>
      </c>
      <c r="Z22" s="70">
        <v>66</v>
      </c>
      <c r="AA22" s="70">
        <v>66</v>
      </c>
      <c r="AB22" s="70">
        <v>69</v>
      </c>
      <c r="AC22" s="70">
        <v>72</v>
      </c>
      <c r="AD22" s="70">
        <v>77</v>
      </c>
      <c r="AE22" s="157">
        <v>70</v>
      </c>
    </row>
    <row r="23" spans="1:31" ht="15" customHeight="1" x14ac:dyDescent="0.25">
      <c r="A23" s="156">
        <v>22</v>
      </c>
      <c r="B23" s="17" t="s">
        <v>98</v>
      </c>
      <c r="C23" s="70">
        <v>234</v>
      </c>
      <c r="D23" s="70">
        <v>246</v>
      </c>
      <c r="E23" s="70">
        <v>257</v>
      </c>
      <c r="F23" s="70">
        <v>263</v>
      </c>
      <c r="G23" s="70">
        <v>264</v>
      </c>
      <c r="H23" s="70">
        <v>248</v>
      </c>
      <c r="I23" s="70">
        <v>219</v>
      </c>
      <c r="J23" s="70">
        <v>230</v>
      </c>
      <c r="K23" s="70">
        <v>271</v>
      </c>
      <c r="L23" s="70">
        <v>294</v>
      </c>
      <c r="M23" s="70">
        <v>307</v>
      </c>
      <c r="N23" s="70">
        <v>323</v>
      </c>
      <c r="O23" s="70">
        <v>326</v>
      </c>
      <c r="P23" s="70">
        <v>331</v>
      </c>
      <c r="Q23" s="70">
        <v>327</v>
      </c>
      <c r="R23" s="70">
        <v>315</v>
      </c>
      <c r="S23" s="70">
        <v>317</v>
      </c>
      <c r="T23" s="70">
        <v>317</v>
      </c>
      <c r="U23" s="70">
        <v>300</v>
      </c>
      <c r="V23" s="70">
        <v>294</v>
      </c>
      <c r="W23" s="70">
        <v>285</v>
      </c>
      <c r="X23" s="70">
        <v>278</v>
      </c>
      <c r="Y23" s="70">
        <v>252</v>
      </c>
      <c r="Z23" s="70">
        <v>222</v>
      </c>
      <c r="AA23" s="70">
        <v>201</v>
      </c>
      <c r="AB23" s="70">
        <v>198</v>
      </c>
      <c r="AC23" s="70">
        <v>208</v>
      </c>
      <c r="AD23" s="70">
        <v>214</v>
      </c>
      <c r="AE23" s="157">
        <v>204</v>
      </c>
    </row>
    <row r="24" spans="1:31" ht="15" customHeight="1" x14ac:dyDescent="0.25">
      <c r="A24" s="156">
        <v>23</v>
      </c>
      <c r="B24" s="17" t="s">
        <v>33</v>
      </c>
      <c r="C24" s="70">
        <v>14</v>
      </c>
      <c r="D24" s="70">
        <v>15</v>
      </c>
      <c r="E24" s="70">
        <v>13</v>
      </c>
      <c r="F24" s="70">
        <v>17</v>
      </c>
      <c r="G24" s="70">
        <v>15</v>
      </c>
      <c r="H24" s="70">
        <v>12</v>
      </c>
      <c r="I24" s="70">
        <v>11</v>
      </c>
      <c r="J24" s="70">
        <v>10</v>
      </c>
      <c r="K24" s="70">
        <v>12</v>
      </c>
      <c r="L24" s="70">
        <v>11</v>
      </c>
      <c r="M24" s="70">
        <v>10</v>
      </c>
      <c r="N24" s="70">
        <v>11</v>
      </c>
      <c r="O24" s="70">
        <v>12</v>
      </c>
      <c r="P24" s="70">
        <v>12</v>
      </c>
      <c r="Q24" s="70">
        <v>11</v>
      </c>
      <c r="R24" s="70">
        <v>13</v>
      </c>
      <c r="S24" s="70">
        <v>14</v>
      </c>
      <c r="T24" s="70">
        <v>14</v>
      </c>
      <c r="U24" s="70">
        <v>11</v>
      </c>
      <c r="V24" s="70">
        <v>11</v>
      </c>
      <c r="W24" s="70">
        <v>11</v>
      </c>
      <c r="X24" s="70">
        <v>12</v>
      </c>
      <c r="Y24" s="70">
        <v>13</v>
      </c>
      <c r="Z24" s="70">
        <v>11</v>
      </c>
      <c r="AA24" s="70">
        <v>10</v>
      </c>
      <c r="AB24" s="70">
        <v>10</v>
      </c>
      <c r="AC24" s="70">
        <v>10</v>
      </c>
      <c r="AD24" s="70">
        <v>10</v>
      </c>
      <c r="AE24" s="157">
        <v>10</v>
      </c>
    </row>
    <row r="25" spans="1:31" ht="15" customHeight="1" x14ac:dyDescent="0.25">
      <c r="A25" s="156">
        <v>24</v>
      </c>
      <c r="B25" s="17" t="s">
        <v>34</v>
      </c>
      <c r="C25" s="70">
        <v>168</v>
      </c>
      <c r="D25" s="70">
        <v>169</v>
      </c>
      <c r="E25" s="70">
        <v>175</v>
      </c>
      <c r="F25" s="70">
        <v>189</v>
      </c>
      <c r="G25" s="70">
        <v>190</v>
      </c>
      <c r="H25" s="70">
        <v>196</v>
      </c>
      <c r="I25" s="70">
        <v>196</v>
      </c>
      <c r="J25" s="70">
        <v>195</v>
      </c>
      <c r="K25" s="70">
        <v>199</v>
      </c>
      <c r="L25" s="70">
        <v>215</v>
      </c>
      <c r="M25" s="70">
        <v>214</v>
      </c>
      <c r="N25" s="70">
        <v>229</v>
      </c>
      <c r="O25" s="70">
        <v>223</v>
      </c>
      <c r="P25" s="70">
        <v>226</v>
      </c>
      <c r="Q25" s="70">
        <v>232</v>
      </c>
      <c r="R25" s="70">
        <v>233</v>
      </c>
      <c r="S25" s="70">
        <v>226</v>
      </c>
      <c r="T25" s="70">
        <v>222</v>
      </c>
      <c r="U25" s="70">
        <v>223</v>
      </c>
      <c r="V25" s="70">
        <v>232</v>
      </c>
      <c r="W25" s="70">
        <v>237</v>
      </c>
      <c r="X25" s="70">
        <v>238</v>
      </c>
      <c r="Y25" s="70">
        <v>228</v>
      </c>
      <c r="Z25" s="70">
        <v>226</v>
      </c>
      <c r="AA25" s="70">
        <v>223</v>
      </c>
      <c r="AB25" s="70">
        <v>229</v>
      </c>
      <c r="AC25" s="70">
        <v>233</v>
      </c>
      <c r="AD25" s="70">
        <v>236</v>
      </c>
      <c r="AE25" s="157">
        <v>237</v>
      </c>
    </row>
    <row r="26" spans="1:31" ht="15" customHeight="1" x14ac:dyDescent="0.25">
      <c r="A26" s="156">
        <v>25</v>
      </c>
      <c r="B26" s="17" t="s">
        <v>35</v>
      </c>
      <c r="C26" s="70">
        <v>161</v>
      </c>
      <c r="D26" s="70">
        <v>153</v>
      </c>
      <c r="E26" s="70">
        <v>169</v>
      </c>
      <c r="F26" s="70">
        <v>174</v>
      </c>
      <c r="G26" s="70">
        <v>185</v>
      </c>
      <c r="H26" s="70">
        <v>181</v>
      </c>
      <c r="I26" s="70">
        <v>171</v>
      </c>
      <c r="J26" s="70">
        <v>185</v>
      </c>
      <c r="K26" s="70">
        <v>203</v>
      </c>
      <c r="L26" s="70">
        <v>204</v>
      </c>
      <c r="M26" s="70">
        <v>218</v>
      </c>
      <c r="N26" s="70">
        <v>236</v>
      </c>
      <c r="O26" s="70">
        <v>240</v>
      </c>
      <c r="P26" s="70">
        <v>234</v>
      </c>
      <c r="Q26" s="70">
        <v>249</v>
      </c>
      <c r="R26" s="70">
        <v>252</v>
      </c>
      <c r="S26" s="70">
        <v>251</v>
      </c>
      <c r="T26" s="70">
        <v>254</v>
      </c>
      <c r="U26" s="70">
        <v>252</v>
      </c>
      <c r="V26" s="70">
        <v>254</v>
      </c>
      <c r="W26" s="70">
        <v>251</v>
      </c>
      <c r="X26" s="70">
        <v>246</v>
      </c>
      <c r="Y26" s="70">
        <v>254</v>
      </c>
      <c r="Z26" s="70">
        <v>245</v>
      </c>
      <c r="AA26" s="70">
        <v>248</v>
      </c>
      <c r="AB26" s="70">
        <v>256</v>
      </c>
      <c r="AC26" s="70">
        <v>262</v>
      </c>
      <c r="AD26" s="70">
        <v>276</v>
      </c>
      <c r="AE26" s="157">
        <v>283</v>
      </c>
    </row>
    <row r="27" spans="1:31" ht="15" customHeight="1" x14ac:dyDescent="0.25">
      <c r="A27" s="156">
        <v>26</v>
      </c>
      <c r="B27" s="17" t="s">
        <v>36</v>
      </c>
      <c r="C27" s="70">
        <v>185</v>
      </c>
      <c r="D27" s="70">
        <v>183</v>
      </c>
      <c r="E27" s="70">
        <v>193</v>
      </c>
      <c r="F27" s="70">
        <v>195</v>
      </c>
      <c r="G27" s="70">
        <v>189</v>
      </c>
      <c r="H27" s="70">
        <v>178</v>
      </c>
      <c r="I27" s="70">
        <v>168</v>
      </c>
      <c r="J27" s="70">
        <v>169</v>
      </c>
      <c r="K27" s="70">
        <v>191</v>
      </c>
      <c r="L27" s="70">
        <v>207</v>
      </c>
      <c r="M27" s="70">
        <v>217</v>
      </c>
      <c r="N27" s="70">
        <v>234</v>
      </c>
      <c r="O27" s="70">
        <v>242</v>
      </c>
      <c r="P27" s="70">
        <v>249</v>
      </c>
      <c r="Q27" s="70">
        <v>252</v>
      </c>
      <c r="R27" s="70">
        <v>250</v>
      </c>
      <c r="S27" s="70">
        <v>255</v>
      </c>
      <c r="T27" s="70">
        <v>268</v>
      </c>
      <c r="U27" s="70">
        <v>258</v>
      </c>
      <c r="V27" s="70">
        <v>251</v>
      </c>
      <c r="W27" s="70">
        <v>253</v>
      </c>
      <c r="X27" s="70">
        <v>244</v>
      </c>
      <c r="Y27" s="70">
        <v>234</v>
      </c>
      <c r="Z27" s="70">
        <v>233</v>
      </c>
      <c r="AA27" s="70">
        <v>234</v>
      </c>
      <c r="AB27" s="70">
        <v>246</v>
      </c>
      <c r="AC27" s="70">
        <v>254</v>
      </c>
      <c r="AD27" s="70">
        <v>260</v>
      </c>
      <c r="AE27" s="157">
        <v>254</v>
      </c>
    </row>
    <row r="28" spans="1:31" ht="15" customHeight="1" x14ac:dyDescent="0.25">
      <c r="A28" s="156">
        <v>27</v>
      </c>
      <c r="B28" s="17" t="s">
        <v>37</v>
      </c>
      <c r="C28" s="70">
        <v>92</v>
      </c>
      <c r="D28" s="70">
        <v>92</v>
      </c>
      <c r="E28" s="70">
        <v>90</v>
      </c>
      <c r="F28" s="70">
        <v>87</v>
      </c>
      <c r="G28" s="70">
        <v>80</v>
      </c>
      <c r="H28" s="70">
        <v>71</v>
      </c>
      <c r="I28" s="70">
        <v>59</v>
      </c>
      <c r="J28" s="70">
        <v>68</v>
      </c>
      <c r="K28" s="70">
        <v>75</v>
      </c>
      <c r="L28" s="70">
        <v>90</v>
      </c>
      <c r="M28" s="70">
        <v>98</v>
      </c>
      <c r="N28" s="70">
        <v>101</v>
      </c>
      <c r="O28" s="70">
        <v>105</v>
      </c>
      <c r="P28" s="70">
        <v>97</v>
      </c>
      <c r="Q28" s="70">
        <v>93</v>
      </c>
      <c r="R28" s="70">
        <v>93</v>
      </c>
      <c r="S28" s="70">
        <v>89</v>
      </c>
      <c r="T28" s="70">
        <v>91</v>
      </c>
      <c r="U28" s="70">
        <v>93</v>
      </c>
      <c r="V28" s="70">
        <v>94</v>
      </c>
      <c r="W28" s="70">
        <v>91</v>
      </c>
      <c r="X28" s="70">
        <v>91</v>
      </c>
      <c r="Y28" s="70">
        <v>85</v>
      </c>
      <c r="Z28" s="70">
        <v>79</v>
      </c>
      <c r="AA28" s="70">
        <v>77</v>
      </c>
      <c r="AB28" s="70">
        <v>80</v>
      </c>
      <c r="AC28" s="70">
        <v>81</v>
      </c>
      <c r="AD28" s="70">
        <v>84</v>
      </c>
      <c r="AE28" s="157">
        <v>82</v>
      </c>
    </row>
    <row r="29" spans="1:31" ht="15" customHeight="1" x14ac:dyDescent="0.25">
      <c r="A29" s="156">
        <v>28</v>
      </c>
      <c r="B29" s="17" t="s">
        <v>38</v>
      </c>
      <c r="C29" s="70">
        <v>489</v>
      </c>
      <c r="D29" s="70">
        <v>529</v>
      </c>
      <c r="E29" s="70">
        <v>534</v>
      </c>
      <c r="F29" s="70">
        <v>517</v>
      </c>
      <c r="G29" s="70">
        <v>529</v>
      </c>
      <c r="H29" s="70">
        <v>493</v>
      </c>
      <c r="I29" s="70">
        <v>464</v>
      </c>
      <c r="J29" s="70">
        <v>535</v>
      </c>
      <c r="K29" s="70">
        <v>611</v>
      </c>
      <c r="L29" s="70">
        <v>696</v>
      </c>
      <c r="M29" s="70">
        <v>758</v>
      </c>
      <c r="N29" s="70">
        <v>830</v>
      </c>
      <c r="O29" s="70">
        <v>866</v>
      </c>
      <c r="P29" s="70">
        <v>865</v>
      </c>
      <c r="Q29" s="70">
        <v>874</v>
      </c>
      <c r="R29" s="70">
        <v>898</v>
      </c>
      <c r="S29" s="70">
        <v>889</v>
      </c>
      <c r="T29" s="70">
        <v>888</v>
      </c>
      <c r="U29" s="70">
        <v>880</v>
      </c>
      <c r="V29" s="70">
        <v>867</v>
      </c>
      <c r="W29" s="70">
        <v>860</v>
      </c>
      <c r="X29" s="70">
        <v>866</v>
      </c>
      <c r="Y29" s="70">
        <v>869</v>
      </c>
      <c r="Z29" s="70">
        <v>848</v>
      </c>
      <c r="AA29" s="70">
        <v>834</v>
      </c>
      <c r="AB29" s="70">
        <v>859</v>
      </c>
      <c r="AC29" s="70">
        <v>903</v>
      </c>
      <c r="AD29" s="70">
        <v>916</v>
      </c>
      <c r="AE29" s="157">
        <v>878</v>
      </c>
    </row>
    <row r="30" spans="1:31" ht="15" customHeight="1" x14ac:dyDescent="0.25">
      <c r="A30" s="156">
        <v>29</v>
      </c>
      <c r="B30" s="17" t="s">
        <v>39</v>
      </c>
      <c r="C30" s="70">
        <v>289</v>
      </c>
      <c r="D30" s="70">
        <v>301</v>
      </c>
      <c r="E30" s="70">
        <v>308</v>
      </c>
      <c r="F30" s="70">
        <v>314</v>
      </c>
      <c r="G30" s="70">
        <v>295</v>
      </c>
      <c r="H30" s="70">
        <v>283</v>
      </c>
      <c r="I30" s="70">
        <v>264</v>
      </c>
      <c r="J30" s="70">
        <v>295</v>
      </c>
      <c r="K30" s="70">
        <v>329</v>
      </c>
      <c r="L30" s="70">
        <v>360</v>
      </c>
      <c r="M30" s="70">
        <v>388</v>
      </c>
      <c r="N30" s="70">
        <v>403</v>
      </c>
      <c r="O30" s="70">
        <v>412</v>
      </c>
      <c r="P30" s="70">
        <v>413</v>
      </c>
      <c r="Q30" s="70">
        <v>421</v>
      </c>
      <c r="R30" s="70">
        <v>426</v>
      </c>
      <c r="S30" s="70">
        <v>425</v>
      </c>
      <c r="T30" s="70">
        <v>414</v>
      </c>
      <c r="U30" s="70">
        <v>411</v>
      </c>
      <c r="V30" s="70">
        <v>405</v>
      </c>
      <c r="W30" s="70">
        <v>411</v>
      </c>
      <c r="X30" s="70">
        <v>402</v>
      </c>
      <c r="Y30" s="70">
        <v>396</v>
      </c>
      <c r="Z30" s="70">
        <v>393</v>
      </c>
      <c r="AA30" s="70">
        <v>395</v>
      </c>
      <c r="AB30" s="70">
        <v>406</v>
      </c>
      <c r="AC30" s="70">
        <v>429</v>
      </c>
      <c r="AD30" s="70">
        <v>414</v>
      </c>
      <c r="AE30" s="157">
        <v>416</v>
      </c>
    </row>
    <row r="31" spans="1:31" ht="15" customHeight="1" x14ac:dyDescent="0.25">
      <c r="A31" s="156">
        <v>30</v>
      </c>
      <c r="B31" s="17" t="s">
        <v>40</v>
      </c>
      <c r="C31" s="70">
        <v>7</v>
      </c>
      <c r="D31" s="70">
        <v>7</v>
      </c>
      <c r="E31" s="70">
        <v>9</v>
      </c>
      <c r="F31" s="70">
        <v>9</v>
      </c>
      <c r="G31" s="70">
        <v>10</v>
      </c>
      <c r="H31" s="70">
        <v>11</v>
      </c>
      <c r="I31" s="70">
        <v>9</v>
      </c>
      <c r="J31" s="70">
        <v>10</v>
      </c>
      <c r="K31" s="70">
        <v>12</v>
      </c>
      <c r="L31" s="70">
        <v>14</v>
      </c>
      <c r="M31" s="70">
        <v>17</v>
      </c>
      <c r="N31" s="70">
        <v>17</v>
      </c>
      <c r="O31" s="70">
        <v>25</v>
      </c>
      <c r="P31" s="70">
        <v>24</v>
      </c>
      <c r="Q31" s="70">
        <v>27</v>
      </c>
      <c r="R31" s="70">
        <v>28</v>
      </c>
      <c r="S31" s="70">
        <v>29</v>
      </c>
      <c r="T31" s="70">
        <v>31</v>
      </c>
      <c r="U31" s="70">
        <v>30</v>
      </c>
      <c r="V31" s="70">
        <v>30</v>
      </c>
      <c r="W31" s="70">
        <v>30</v>
      </c>
      <c r="X31" s="70">
        <v>28</v>
      </c>
      <c r="Y31" s="70">
        <v>30</v>
      </c>
      <c r="Z31" s="70">
        <v>29</v>
      </c>
      <c r="AA31" s="70">
        <v>31</v>
      </c>
      <c r="AB31" s="70">
        <v>31</v>
      </c>
      <c r="AC31" s="70">
        <v>33</v>
      </c>
      <c r="AD31" s="70">
        <v>36</v>
      </c>
      <c r="AE31" s="157">
        <v>35</v>
      </c>
    </row>
    <row r="32" spans="1:31" ht="15" customHeight="1" x14ac:dyDescent="0.25">
      <c r="A32" s="156">
        <v>31</v>
      </c>
      <c r="B32" s="17" t="s">
        <v>41</v>
      </c>
      <c r="C32" s="70">
        <v>68</v>
      </c>
      <c r="D32" s="70">
        <v>66</v>
      </c>
      <c r="E32" s="70">
        <v>65</v>
      </c>
      <c r="F32" s="70">
        <v>68</v>
      </c>
      <c r="G32" s="70">
        <v>62</v>
      </c>
      <c r="H32" s="70">
        <v>60</v>
      </c>
      <c r="I32" s="70">
        <v>57</v>
      </c>
      <c r="J32" s="70">
        <v>60</v>
      </c>
      <c r="K32" s="70">
        <v>71</v>
      </c>
      <c r="L32" s="70">
        <v>78</v>
      </c>
      <c r="M32" s="70">
        <v>85</v>
      </c>
      <c r="N32" s="70">
        <v>95</v>
      </c>
      <c r="O32" s="70">
        <v>99</v>
      </c>
      <c r="P32" s="70">
        <v>106</v>
      </c>
      <c r="Q32" s="70">
        <v>108</v>
      </c>
      <c r="R32" s="70">
        <v>109</v>
      </c>
      <c r="S32" s="70">
        <v>107</v>
      </c>
      <c r="T32" s="70">
        <v>112</v>
      </c>
      <c r="U32" s="70">
        <v>114</v>
      </c>
      <c r="V32" s="70">
        <v>122</v>
      </c>
      <c r="W32" s="70">
        <v>115</v>
      </c>
      <c r="X32" s="70">
        <v>120</v>
      </c>
      <c r="Y32" s="70">
        <v>119</v>
      </c>
      <c r="Z32" s="70">
        <v>113</v>
      </c>
      <c r="AA32" s="70">
        <v>113</v>
      </c>
      <c r="AB32" s="70">
        <v>120</v>
      </c>
      <c r="AC32" s="70">
        <v>125</v>
      </c>
      <c r="AD32" s="70">
        <v>123</v>
      </c>
      <c r="AE32" s="157">
        <v>121</v>
      </c>
    </row>
    <row r="33" spans="1:32" ht="15" customHeight="1" x14ac:dyDescent="0.25">
      <c r="A33" s="156">
        <v>32</v>
      </c>
      <c r="B33" s="17" t="s">
        <v>42</v>
      </c>
      <c r="C33" s="70">
        <v>18</v>
      </c>
      <c r="D33" s="70">
        <v>18</v>
      </c>
      <c r="E33" s="70">
        <v>14</v>
      </c>
      <c r="F33" s="70">
        <v>15</v>
      </c>
      <c r="G33" s="70">
        <v>17</v>
      </c>
      <c r="H33" s="70">
        <v>15</v>
      </c>
      <c r="I33" s="70">
        <v>13</v>
      </c>
      <c r="J33" s="70">
        <v>12</v>
      </c>
      <c r="K33" s="70">
        <v>17</v>
      </c>
      <c r="L33" s="70">
        <v>19</v>
      </c>
      <c r="M33" s="70">
        <v>17</v>
      </c>
      <c r="N33" s="70">
        <v>19</v>
      </c>
      <c r="O33" s="70">
        <v>19</v>
      </c>
      <c r="P33" s="70">
        <v>16</v>
      </c>
      <c r="Q33" s="70">
        <v>18</v>
      </c>
      <c r="R33" s="70">
        <v>15</v>
      </c>
      <c r="S33" s="70">
        <v>19</v>
      </c>
      <c r="T33" s="70">
        <v>18</v>
      </c>
      <c r="U33" s="70">
        <v>17</v>
      </c>
      <c r="V33" s="70">
        <v>17</v>
      </c>
      <c r="W33" s="70">
        <v>17</v>
      </c>
      <c r="X33" s="70">
        <v>17</v>
      </c>
      <c r="Y33" s="70">
        <v>17</v>
      </c>
      <c r="Z33" s="70" t="s">
        <v>383</v>
      </c>
      <c r="AA33" s="70">
        <v>19</v>
      </c>
      <c r="AB33" s="70">
        <v>21</v>
      </c>
      <c r="AC33" s="70">
        <v>22</v>
      </c>
      <c r="AD33" s="70">
        <v>22</v>
      </c>
      <c r="AE33" s="157">
        <v>19</v>
      </c>
    </row>
    <row r="34" spans="1:32" ht="15" customHeight="1" x14ac:dyDescent="0.25">
      <c r="A34" s="156">
        <v>33</v>
      </c>
      <c r="B34" s="17" t="s">
        <v>43</v>
      </c>
      <c r="C34" s="70">
        <v>43</v>
      </c>
      <c r="D34" s="70">
        <v>43</v>
      </c>
      <c r="E34" s="70">
        <v>44</v>
      </c>
      <c r="F34" s="70">
        <v>44</v>
      </c>
      <c r="G34" s="70">
        <v>43</v>
      </c>
      <c r="H34" s="70">
        <v>46</v>
      </c>
      <c r="I34" s="70">
        <v>47</v>
      </c>
      <c r="J34" s="70">
        <v>51</v>
      </c>
      <c r="K34" s="70">
        <v>63</v>
      </c>
      <c r="L34" s="70">
        <v>65</v>
      </c>
      <c r="M34" s="70">
        <v>66</v>
      </c>
      <c r="N34" s="70">
        <v>65</v>
      </c>
      <c r="O34" s="70">
        <v>69</v>
      </c>
      <c r="P34" s="70">
        <v>67</v>
      </c>
      <c r="Q34" s="70">
        <v>71</v>
      </c>
      <c r="R34" s="70">
        <v>70</v>
      </c>
      <c r="S34" s="70">
        <v>74</v>
      </c>
      <c r="T34" s="70">
        <v>71</v>
      </c>
      <c r="U34" s="70">
        <v>67</v>
      </c>
      <c r="V34" s="70">
        <v>70</v>
      </c>
      <c r="W34" s="70">
        <v>73</v>
      </c>
      <c r="X34" s="70">
        <v>74</v>
      </c>
      <c r="Y34" s="70">
        <v>73</v>
      </c>
      <c r="Z34" s="70">
        <v>77</v>
      </c>
      <c r="AA34" s="70">
        <v>75</v>
      </c>
      <c r="AB34" s="70">
        <v>75</v>
      </c>
      <c r="AC34" s="70">
        <v>82</v>
      </c>
      <c r="AD34" s="70">
        <v>81</v>
      </c>
      <c r="AE34" s="157">
        <v>84</v>
      </c>
    </row>
    <row r="35" spans="1:32" ht="15" customHeight="1" x14ac:dyDescent="0.25">
      <c r="A35" s="156">
        <v>34</v>
      </c>
      <c r="B35" s="17" t="s">
        <v>44</v>
      </c>
      <c r="C35" s="70">
        <v>237</v>
      </c>
      <c r="D35" s="70">
        <v>255</v>
      </c>
      <c r="E35" s="70">
        <v>254</v>
      </c>
      <c r="F35" s="70">
        <v>254</v>
      </c>
      <c r="G35" s="70">
        <v>245</v>
      </c>
      <c r="H35" s="70">
        <v>232</v>
      </c>
      <c r="I35" s="70">
        <v>217</v>
      </c>
      <c r="J35" s="70">
        <v>233</v>
      </c>
      <c r="K35" s="70">
        <v>242</v>
      </c>
      <c r="L35" s="70">
        <v>256</v>
      </c>
      <c r="M35" s="70">
        <v>265</v>
      </c>
      <c r="N35" s="70">
        <v>280</v>
      </c>
      <c r="O35" s="70">
        <v>287</v>
      </c>
      <c r="P35" s="70">
        <v>286</v>
      </c>
      <c r="Q35" s="70">
        <v>291</v>
      </c>
      <c r="R35" s="70">
        <v>293</v>
      </c>
      <c r="S35" s="70">
        <v>293</v>
      </c>
      <c r="T35" s="70">
        <v>286</v>
      </c>
      <c r="U35" s="70">
        <v>289</v>
      </c>
      <c r="V35" s="70">
        <v>289</v>
      </c>
      <c r="W35" s="70">
        <v>286</v>
      </c>
      <c r="X35" s="70">
        <v>275</v>
      </c>
      <c r="Y35" s="70">
        <v>271</v>
      </c>
      <c r="Z35" s="70">
        <v>265</v>
      </c>
      <c r="AA35" s="70">
        <v>257</v>
      </c>
      <c r="AB35" s="70">
        <v>269</v>
      </c>
      <c r="AC35" s="70">
        <v>274</v>
      </c>
      <c r="AD35" s="70">
        <v>273</v>
      </c>
      <c r="AE35" s="157">
        <v>261</v>
      </c>
    </row>
    <row r="36" spans="1:32" ht="15" customHeight="1" x14ac:dyDescent="0.25">
      <c r="A36" s="156">
        <v>35</v>
      </c>
      <c r="B36" s="17" t="s">
        <v>45</v>
      </c>
      <c r="C36" s="70">
        <v>23</v>
      </c>
      <c r="D36" s="70">
        <v>26</v>
      </c>
      <c r="E36" s="70">
        <v>24</v>
      </c>
      <c r="F36" s="70">
        <v>24</v>
      </c>
      <c r="G36" s="70">
        <v>27</v>
      </c>
      <c r="H36" s="70">
        <v>29</v>
      </c>
      <c r="I36" s="70">
        <v>25</v>
      </c>
      <c r="J36" s="70">
        <v>25</v>
      </c>
      <c r="K36" s="70">
        <v>28</v>
      </c>
      <c r="L36" s="70">
        <v>33</v>
      </c>
      <c r="M36" s="70">
        <v>33</v>
      </c>
      <c r="N36" s="70">
        <v>31</v>
      </c>
      <c r="O36" s="70">
        <v>33</v>
      </c>
      <c r="P36" s="70">
        <v>32</v>
      </c>
      <c r="Q36" s="70">
        <v>33</v>
      </c>
      <c r="R36" s="70">
        <v>36</v>
      </c>
      <c r="S36" s="70">
        <v>34</v>
      </c>
      <c r="T36" s="70">
        <v>35</v>
      </c>
      <c r="U36" s="70">
        <v>36</v>
      </c>
      <c r="V36" s="70">
        <v>33</v>
      </c>
      <c r="W36" s="70">
        <v>35</v>
      </c>
      <c r="X36" s="70">
        <v>35</v>
      </c>
      <c r="Y36" s="70">
        <v>34</v>
      </c>
      <c r="Z36" s="70">
        <v>34</v>
      </c>
      <c r="AA36" s="70">
        <v>32</v>
      </c>
      <c r="AB36" s="70">
        <v>34</v>
      </c>
      <c r="AC36" s="70">
        <v>36</v>
      </c>
      <c r="AD36" s="70">
        <v>34</v>
      </c>
      <c r="AE36" s="157">
        <v>35</v>
      </c>
    </row>
    <row r="37" spans="1:32" ht="15" customHeight="1" x14ac:dyDescent="0.25">
      <c r="A37" s="156">
        <v>36</v>
      </c>
      <c r="B37" s="17" t="s">
        <v>46</v>
      </c>
      <c r="C37" s="70">
        <v>254</v>
      </c>
      <c r="D37" s="70">
        <v>276</v>
      </c>
      <c r="E37" s="70">
        <v>279</v>
      </c>
      <c r="F37" s="70">
        <v>271</v>
      </c>
      <c r="G37" s="70">
        <v>254</v>
      </c>
      <c r="H37" s="70">
        <v>239</v>
      </c>
      <c r="I37" s="70">
        <v>206</v>
      </c>
      <c r="J37" s="70">
        <v>232</v>
      </c>
      <c r="K37" s="70">
        <v>258</v>
      </c>
      <c r="L37" s="70">
        <v>290</v>
      </c>
      <c r="M37" s="70">
        <v>318</v>
      </c>
      <c r="N37" s="70">
        <v>331</v>
      </c>
      <c r="O37" s="70">
        <v>345</v>
      </c>
      <c r="P37" s="70">
        <v>345</v>
      </c>
      <c r="Q37" s="70">
        <v>354</v>
      </c>
      <c r="R37" s="70">
        <v>343</v>
      </c>
      <c r="S37" s="70">
        <v>343</v>
      </c>
      <c r="T37" s="70">
        <v>340</v>
      </c>
      <c r="U37" s="70">
        <v>337</v>
      </c>
      <c r="V37" s="70">
        <v>338</v>
      </c>
      <c r="W37" s="70">
        <v>331</v>
      </c>
      <c r="X37" s="70">
        <v>329</v>
      </c>
      <c r="Y37" s="70">
        <v>330</v>
      </c>
      <c r="Z37" s="70">
        <v>314</v>
      </c>
      <c r="AA37" s="70">
        <v>291</v>
      </c>
      <c r="AB37" s="70">
        <v>301</v>
      </c>
      <c r="AC37" s="70">
        <v>311</v>
      </c>
      <c r="AD37" s="70">
        <v>329</v>
      </c>
      <c r="AE37" s="157">
        <v>329</v>
      </c>
    </row>
    <row r="38" spans="1:32" ht="15" customHeight="1" thickBot="1" x14ac:dyDescent="0.3">
      <c r="A38" s="152">
        <v>37</v>
      </c>
      <c r="B38" s="15" t="s">
        <v>47</v>
      </c>
      <c r="C38" s="68" t="s">
        <v>383</v>
      </c>
      <c r="D38" s="68" t="s">
        <v>383</v>
      </c>
      <c r="E38" s="68" t="s">
        <v>383</v>
      </c>
      <c r="F38" s="68" t="s">
        <v>383</v>
      </c>
      <c r="G38" s="68" t="s">
        <v>383</v>
      </c>
      <c r="H38" s="68" t="s">
        <v>383</v>
      </c>
      <c r="I38" s="68" t="s">
        <v>383</v>
      </c>
      <c r="J38" s="68" t="s">
        <v>383</v>
      </c>
      <c r="K38" s="68" t="s">
        <v>383</v>
      </c>
      <c r="L38" s="68" t="s">
        <v>383</v>
      </c>
      <c r="M38" s="68" t="s">
        <v>383</v>
      </c>
      <c r="N38" s="68" t="s">
        <v>383</v>
      </c>
      <c r="O38" s="68" t="s">
        <v>383</v>
      </c>
      <c r="P38" s="68" t="s">
        <v>383</v>
      </c>
      <c r="Q38" s="68" t="s">
        <v>383</v>
      </c>
      <c r="R38" s="68" t="s">
        <v>383</v>
      </c>
      <c r="S38" s="68" t="s">
        <v>383</v>
      </c>
      <c r="T38" s="68" t="s">
        <v>383</v>
      </c>
      <c r="U38" s="68" t="s">
        <v>383</v>
      </c>
      <c r="V38" s="68" t="s">
        <v>383</v>
      </c>
      <c r="W38" s="68" t="s">
        <v>383</v>
      </c>
      <c r="X38" s="68" t="s">
        <v>383</v>
      </c>
      <c r="Y38" s="68" t="s">
        <v>383</v>
      </c>
      <c r="Z38" s="68">
        <v>20</v>
      </c>
      <c r="AA38" s="68">
        <v>23</v>
      </c>
      <c r="AB38" s="68">
        <v>24</v>
      </c>
      <c r="AC38" s="68">
        <v>23</v>
      </c>
      <c r="AD38" s="68">
        <v>28</v>
      </c>
      <c r="AE38" s="153">
        <v>30</v>
      </c>
    </row>
    <row r="39" spans="1:32" s="11" customFormat="1" ht="15" customHeight="1" thickBot="1" x14ac:dyDescent="0.3">
      <c r="A39" s="144" t="s">
        <v>48</v>
      </c>
      <c r="B39" s="9" t="s">
        <v>49</v>
      </c>
      <c r="C39" s="64">
        <v>253</v>
      </c>
      <c r="D39" s="64">
        <v>255</v>
      </c>
      <c r="E39" s="64">
        <v>259</v>
      </c>
      <c r="F39" s="64">
        <v>263</v>
      </c>
      <c r="G39" s="64">
        <v>256</v>
      </c>
      <c r="H39" s="64">
        <v>258</v>
      </c>
      <c r="I39" s="64">
        <v>255</v>
      </c>
      <c r="J39" s="64">
        <v>257</v>
      </c>
      <c r="K39" s="64">
        <v>253</v>
      </c>
      <c r="L39" s="64">
        <v>256</v>
      </c>
      <c r="M39" s="64">
        <v>259</v>
      </c>
      <c r="N39" s="64">
        <v>259</v>
      </c>
      <c r="O39" s="64">
        <v>261</v>
      </c>
      <c r="P39" s="64">
        <v>259</v>
      </c>
      <c r="Q39" s="64">
        <v>256</v>
      </c>
      <c r="R39" s="64">
        <v>261</v>
      </c>
      <c r="S39" s="64">
        <v>258</v>
      </c>
      <c r="T39" s="64">
        <v>255</v>
      </c>
      <c r="U39" s="64">
        <v>257</v>
      </c>
      <c r="V39" s="64">
        <v>255</v>
      </c>
      <c r="W39" s="64">
        <v>258</v>
      </c>
      <c r="X39" s="64">
        <v>258</v>
      </c>
      <c r="Y39" s="64">
        <v>259</v>
      </c>
      <c r="Z39" s="64">
        <v>258</v>
      </c>
      <c r="AA39" s="64">
        <v>260</v>
      </c>
      <c r="AB39" s="64">
        <v>264</v>
      </c>
      <c r="AC39" s="64">
        <v>260</v>
      </c>
      <c r="AD39" s="64">
        <v>262</v>
      </c>
      <c r="AE39" s="145">
        <v>267</v>
      </c>
      <c r="AF39" s="10"/>
    </row>
    <row r="40" spans="1:32" ht="15" customHeight="1" x14ac:dyDescent="0.25">
      <c r="A40" s="146">
        <v>40</v>
      </c>
      <c r="B40" s="12" t="s">
        <v>50</v>
      </c>
      <c r="C40" s="65">
        <v>204</v>
      </c>
      <c r="D40" s="65">
        <v>205</v>
      </c>
      <c r="E40" s="65">
        <v>205</v>
      </c>
      <c r="F40" s="65">
        <v>210</v>
      </c>
      <c r="G40" s="65">
        <v>206</v>
      </c>
      <c r="H40" s="65">
        <v>208</v>
      </c>
      <c r="I40" s="65">
        <v>207</v>
      </c>
      <c r="J40" s="65">
        <v>207</v>
      </c>
      <c r="K40" s="65">
        <v>207</v>
      </c>
      <c r="L40" s="65">
        <v>208</v>
      </c>
      <c r="M40" s="65">
        <v>208</v>
      </c>
      <c r="N40" s="65">
        <v>208</v>
      </c>
      <c r="O40" s="65">
        <v>209</v>
      </c>
      <c r="P40" s="65">
        <v>207</v>
      </c>
      <c r="Q40" s="65">
        <v>206</v>
      </c>
      <c r="R40" s="65">
        <v>211</v>
      </c>
      <c r="S40" s="65">
        <v>211</v>
      </c>
      <c r="T40" s="65">
        <v>207</v>
      </c>
      <c r="U40" s="65">
        <v>209</v>
      </c>
      <c r="V40" s="65">
        <v>209</v>
      </c>
      <c r="W40" s="65">
        <v>210</v>
      </c>
      <c r="X40" s="65">
        <v>212</v>
      </c>
      <c r="Y40" s="65">
        <v>214</v>
      </c>
      <c r="Z40" s="65">
        <v>214</v>
      </c>
      <c r="AA40" s="65">
        <v>216</v>
      </c>
      <c r="AB40" s="65">
        <v>220</v>
      </c>
      <c r="AC40" s="65">
        <v>219</v>
      </c>
      <c r="AD40" s="65">
        <v>218</v>
      </c>
      <c r="AE40" s="147">
        <v>220</v>
      </c>
    </row>
    <row r="41" spans="1:32" ht="15" customHeight="1" thickBot="1" x14ac:dyDescent="0.3">
      <c r="A41" s="158">
        <v>41</v>
      </c>
      <c r="B41" s="18" t="s">
        <v>51</v>
      </c>
      <c r="C41" s="71">
        <v>49</v>
      </c>
      <c r="D41" s="71">
        <v>50</v>
      </c>
      <c r="E41" s="71">
        <v>54</v>
      </c>
      <c r="F41" s="71">
        <v>53</v>
      </c>
      <c r="G41" s="71">
        <v>50</v>
      </c>
      <c r="H41" s="71">
        <v>50</v>
      </c>
      <c r="I41" s="71">
        <v>48</v>
      </c>
      <c r="J41" s="71">
        <v>50</v>
      </c>
      <c r="K41" s="71">
        <v>46</v>
      </c>
      <c r="L41" s="71">
        <v>48</v>
      </c>
      <c r="M41" s="71">
        <v>51</v>
      </c>
      <c r="N41" s="71">
        <v>51</v>
      </c>
      <c r="O41" s="71">
        <v>52</v>
      </c>
      <c r="P41" s="71">
        <v>52</v>
      </c>
      <c r="Q41" s="71">
        <v>50</v>
      </c>
      <c r="R41" s="71">
        <v>50</v>
      </c>
      <c r="S41" s="71">
        <v>47</v>
      </c>
      <c r="T41" s="71">
        <v>48</v>
      </c>
      <c r="U41" s="71">
        <v>48</v>
      </c>
      <c r="V41" s="71">
        <v>46</v>
      </c>
      <c r="W41" s="71">
        <v>48</v>
      </c>
      <c r="X41" s="71">
        <v>46</v>
      </c>
      <c r="Y41" s="71">
        <v>45</v>
      </c>
      <c r="Z41" s="71">
        <v>44</v>
      </c>
      <c r="AA41" s="71">
        <v>44</v>
      </c>
      <c r="AB41" s="71">
        <v>44</v>
      </c>
      <c r="AC41" s="71">
        <v>41</v>
      </c>
      <c r="AD41" s="71">
        <v>44</v>
      </c>
      <c r="AE41" s="159">
        <v>47</v>
      </c>
    </row>
    <row r="42" spans="1:32" s="11" customFormat="1" ht="15" customHeight="1" thickBot="1" x14ac:dyDescent="0.3">
      <c r="A42" s="160" t="s">
        <v>52</v>
      </c>
      <c r="B42" s="19" t="s">
        <v>53</v>
      </c>
      <c r="C42" s="64">
        <v>1044</v>
      </c>
      <c r="D42" s="64">
        <v>1065</v>
      </c>
      <c r="E42" s="64">
        <v>1113</v>
      </c>
      <c r="F42" s="64">
        <v>1168</v>
      </c>
      <c r="G42" s="64">
        <v>1179</v>
      </c>
      <c r="H42" s="64">
        <v>1024</v>
      </c>
      <c r="I42" s="64">
        <v>828</v>
      </c>
      <c r="J42" s="64">
        <v>1031</v>
      </c>
      <c r="K42" s="64">
        <v>1265</v>
      </c>
      <c r="L42" s="64">
        <v>1487</v>
      </c>
      <c r="M42" s="64">
        <v>1741</v>
      </c>
      <c r="N42" s="64">
        <v>1983</v>
      </c>
      <c r="O42" s="64">
        <v>2119</v>
      </c>
      <c r="P42" s="64">
        <v>2123</v>
      </c>
      <c r="Q42" s="64">
        <v>2112</v>
      </c>
      <c r="R42" s="64">
        <v>2221</v>
      </c>
      <c r="S42" s="64">
        <v>2147</v>
      </c>
      <c r="T42" s="64">
        <v>2151</v>
      </c>
      <c r="U42" s="64">
        <v>2068</v>
      </c>
      <c r="V42" s="64">
        <v>2017</v>
      </c>
      <c r="W42" s="64">
        <v>2064</v>
      </c>
      <c r="X42" s="64">
        <v>2160</v>
      </c>
      <c r="Y42" s="64">
        <v>2154</v>
      </c>
      <c r="Z42" s="64">
        <v>2058</v>
      </c>
      <c r="AA42" s="64">
        <v>1944</v>
      </c>
      <c r="AB42" s="64">
        <v>2058</v>
      </c>
      <c r="AC42" s="64">
        <v>2186</v>
      </c>
      <c r="AD42" s="64">
        <v>2175</v>
      </c>
      <c r="AE42" s="145">
        <v>2020</v>
      </c>
      <c r="AF42" s="10"/>
    </row>
    <row r="43" spans="1:32" ht="15" customHeight="1" thickBot="1" x14ac:dyDescent="0.3">
      <c r="A43" s="150">
        <v>45</v>
      </c>
      <c r="B43" s="14" t="s">
        <v>54</v>
      </c>
      <c r="C43" s="67">
        <v>1044</v>
      </c>
      <c r="D43" s="67">
        <v>1065</v>
      </c>
      <c r="E43" s="67">
        <v>1113</v>
      </c>
      <c r="F43" s="67">
        <v>1168</v>
      </c>
      <c r="G43" s="67">
        <v>1179</v>
      </c>
      <c r="H43" s="67">
        <v>1024</v>
      </c>
      <c r="I43" s="67">
        <v>828</v>
      </c>
      <c r="J43" s="67">
        <v>1031</v>
      </c>
      <c r="K43" s="67">
        <v>1265</v>
      </c>
      <c r="L43" s="67">
        <v>1487</v>
      </c>
      <c r="M43" s="67">
        <v>1741</v>
      </c>
      <c r="N43" s="67">
        <v>1983</v>
      </c>
      <c r="O43" s="67">
        <v>2119</v>
      </c>
      <c r="P43" s="67">
        <v>2123</v>
      </c>
      <c r="Q43" s="67">
        <v>2112</v>
      </c>
      <c r="R43" s="67">
        <v>2221</v>
      </c>
      <c r="S43" s="67">
        <v>2147</v>
      </c>
      <c r="T43" s="67">
        <v>2151</v>
      </c>
      <c r="U43" s="67">
        <v>2068</v>
      </c>
      <c r="V43" s="67">
        <v>2017</v>
      </c>
      <c r="W43" s="67">
        <v>2064</v>
      </c>
      <c r="X43" s="67">
        <v>2160</v>
      </c>
      <c r="Y43" s="67">
        <v>2154</v>
      </c>
      <c r="Z43" s="67">
        <v>2058</v>
      </c>
      <c r="AA43" s="67">
        <v>1944</v>
      </c>
      <c r="AB43" s="67">
        <v>2058</v>
      </c>
      <c r="AC43" s="67">
        <v>2186</v>
      </c>
      <c r="AD43" s="67">
        <v>2175</v>
      </c>
      <c r="AE43" s="151">
        <v>2020</v>
      </c>
    </row>
    <row r="44" spans="1:32" s="11" customFormat="1" ht="15" customHeight="1" thickBot="1" x14ac:dyDescent="0.3">
      <c r="A44" s="144" t="s">
        <v>55</v>
      </c>
      <c r="B44" s="9" t="s">
        <v>56</v>
      </c>
      <c r="C44" s="64">
        <v>8179</v>
      </c>
      <c r="D44" s="64">
        <v>8202</v>
      </c>
      <c r="E44" s="64">
        <v>8183</v>
      </c>
      <c r="F44" s="64">
        <v>8092</v>
      </c>
      <c r="G44" s="64">
        <v>8294</v>
      </c>
      <c r="H44" s="64">
        <v>8180</v>
      </c>
      <c r="I44" s="64">
        <v>7806</v>
      </c>
      <c r="J44" s="64">
        <v>8806</v>
      </c>
      <c r="K44" s="64">
        <v>10492</v>
      </c>
      <c r="L44" s="64">
        <v>11580</v>
      </c>
      <c r="M44" s="64">
        <v>12557</v>
      </c>
      <c r="N44" s="64">
        <v>13478</v>
      </c>
      <c r="O44" s="64">
        <v>14374</v>
      </c>
      <c r="P44" s="64">
        <v>14711</v>
      </c>
      <c r="Q44" s="64">
        <v>14888</v>
      </c>
      <c r="R44" s="64">
        <v>15105</v>
      </c>
      <c r="S44" s="64">
        <v>15297</v>
      </c>
      <c r="T44" s="64">
        <v>15225</v>
      </c>
      <c r="U44" s="64">
        <v>15054</v>
      </c>
      <c r="V44" s="64">
        <v>15286</v>
      </c>
      <c r="W44" s="64">
        <v>15443</v>
      </c>
      <c r="X44" s="64">
        <v>15656</v>
      </c>
      <c r="Y44" s="64">
        <v>15572</v>
      </c>
      <c r="Z44" s="64">
        <v>15143</v>
      </c>
      <c r="AA44" s="64">
        <v>14516</v>
      </c>
      <c r="AB44" s="64">
        <v>14873</v>
      </c>
      <c r="AC44" s="64">
        <v>16083</v>
      </c>
      <c r="AD44" s="64">
        <v>17027</v>
      </c>
      <c r="AE44" s="145">
        <v>16352</v>
      </c>
      <c r="AF44" s="10"/>
    </row>
    <row r="45" spans="1:32" ht="15" customHeight="1" x14ac:dyDescent="0.25">
      <c r="A45" s="146">
        <v>50</v>
      </c>
      <c r="B45" s="12" t="s">
        <v>57</v>
      </c>
      <c r="C45" s="65">
        <v>1431</v>
      </c>
      <c r="D45" s="65">
        <v>1441</v>
      </c>
      <c r="E45" s="65">
        <v>1434</v>
      </c>
      <c r="F45" s="65">
        <v>1446</v>
      </c>
      <c r="G45" s="65">
        <v>1489</v>
      </c>
      <c r="H45" s="65">
        <v>1462</v>
      </c>
      <c r="I45" s="65">
        <v>1398</v>
      </c>
      <c r="J45" s="65">
        <v>1515</v>
      </c>
      <c r="K45" s="65">
        <v>1737</v>
      </c>
      <c r="L45" s="65">
        <v>1914</v>
      </c>
      <c r="M45" s="65">
        <v>2029</v>
      </c>
      <c r="N45" s="65">
        <v>2129</v>
      </c>
      <c r="O45" s="65">
        <v>2211</v>
      </c>
      <c r="P45" s="65">
        <v>2244</v>
      </c>
      <c r="Q45" s="65">
        <v>2205</v>
      </c>
      <c r="R45" s="65">
        <v>2190</v>
      </c>
      <c r="S45" s="65">
        <v>2188</v>
      </c>
      <c r="T45" s="65">
        <v>2187</v>
      </c>
      <c r="U45" s="65">
        <v>2178</v>
      </c>
      <c r="V45" s="65">
        <v>2172</v>
      </c>
      <c r="W45" s="65">
        <v>2166</v>
      </c>
      <c r="X45" s="65">
        <v>2146</v>
      </c>
      <c r="Y45" s="65">
        <v>2085</v>
      </c>
      <c r="Z45" s="65">
        <v>2072</v>
      </c>
      <c r="AA45" s="65">
        <v>2044</v>
      </c>
      <c r="AB45" s="65">
        <v>2073</v>
      </c>
      <c r="AC45" s="65">
        <v>2149</v>
      </c>
      <c r="AD45" s="65">
        <v>2262</v>
      </c>
      <c r="AE45" s="147">
        <v>2222</v>
      </c>
    </row>
    <row r="46" spans="1:32" ht="15" customHeight="1" x14ac:dyDescent="0.25">
      <c r="A46" s="156">
        <v>51</v>
      </c>
      <c r="B46" s="17" t="s">
        <v>58</v>
      </c>
      <c r="C46" s="70">
        <v>2080</v>
      </c>
      <c r="D46" s="70">
        <v>2121</v>
      </c>
      <c r="E46" s="70">
        <v>2145</v>
      </c>
      <c r="F46" s="70">
        <v>2179</v>
      </c>
      <c r="G46" s="70">
        <v>2189</v>
      </c>
      <c r="H46" s="70">
        <v>2137</v>
      </c>
      <c r="I46" s="70">
        <v>2063</v>
      </c>
      <c r="J46" s="70">
        <v>2301</v>
      </c>
      <c r="K46" s="70">
        <v>2521</v>
      </c>
      <c r="L46" s="70">
        <v>2713</v>
      </c>
      <c r="M46" s="70">
        <v>2854</v>
      </c>
      <c r="N46" s="70">
        <v>3030</v>
      </c>
      <c r="O46" s="70">
        <v>3139</v>
      </c>
      <c r="P46" s="70">
        <v>3143</v>
      </c>
      <c r="Q46" s="70">
        <v>3160</v>
      </c>
      <c r="R46" s="70">
        <v>3240</v>
      </c>
      <c r="S46" s="70">
        <v>3288</v>
      </c>
      <c r="T46" s="70">
        <v>3250</v>
      </c>
      <c r="U46" s="70">
        <v>3193</v>
      </c>
      <c r="V46" s="70">
        <v>3173</v>
      </c>
      <c r="W46" s="70">
        <v>3177</v>
      </c>
      <c r="X46" s="70">
        <v>3205</v>
      </c>
      <c r="Y46" s="70">
        <v>3188</v>
      </c>
      <c r="Z46" s="70">
        <v>3164</v>
      </c>
      <c r="AA46" s="70">
        <v>3195</v>
      </c>
      <c r="AB46" s="70">
        <v>3358</v>
      </c>
      <c r="AC46" s="70">
        <v>3480</v>
      </c>
      <c r="AD46" s="70">
        <v>3566</v>
      </c>
      <c r="AE46" s="157">
        <v>3592</v>
      </c>
    </row>
    <row r="47" spans="1:32" ht="15" customHeight="1" thickBot="1" x14ac:dyDescent="0.3">
      <c r="A47" s="158">
        <v>52</v>
      </c>
      <c r="B47" s="18" t="s">
        <v>59</v>
      </c>
      <c r="C47" s="71">
        <v>4668</v>
      </c>
      <c r="D47" s="71">
        <v>4640</v>
      </c>
      <c r="E47" s="71">
        <v>4604</v>
      </c>
      <c r="F47" s="71">
        <v>4467</v>
      </c>
      <c r="G47" s="71">
        <v>4616</v>
      </c>
      <c r="H47" s="71">
        <v>4581</v>
      </c>
      <c r="I47" s="71">
        <v>4345</v>
      </c>
      <c r="J47" s="71">
        <v>4990</v>
      </c>
      <c r="K47" s="71">
        <v>6234</v>
      </c>
      <c r="L47" s="71">
        <v>6953</v>
      </c>
      <c r="M47" s="71">
        <v>7674</v>
      </c>
      <c r="N47" s="71">
        <v>8319</v>
      </c>
      <c r="O47" s="71">
        <v>9024</v>
      </c>
      <c r="P47" s="71">
        <v>9324</v>
      </c>
      <c r="Q47" s="71">
        <v>9523</v>
      </c>
      <c r="R47" s="71">
        <v>9675</v>
      </c>
      <c r="S47" s="71">
        <v>9821</v>
      </c>
      <c r="T47" s="71">
        <v>9788</v>
      </c>
      <c r="U47" s="71">
        <v>9683</v>
      </c>
      <c r="V47" s="71">
        <v>9941</v>
      </c>
      <c r="W47" s="71">
        <v>10100</v>
      </c>
      <c r="X47" s="71">
        <v>10305</v>
      </c>
      <c r="Y47" s="71">
        <v>10299</v>
      </c>
      <c r="Z47" s="71">
        <v>9907</v>
      </c>
      <c r="AA47" s="71">
        <v>9277</v>
      </c>
      <c r="AB47" s="71">
        <v>9442</v>
      </c>
      <c r="AC47" s="71">
        <v>10454</v>
      </c>
      <c r="AD47" s="71">
        <v>11199</v>
      </c>
      <c r="AE47" s="159">
        <v>10538</v>
      </c>
    </row>
    <row r="48" spans="1:32" s="11" customFormat="1" ht="15" customHeight="1" thickBot="1" x14ac:dyDescent="0.3">
      <c r="A48" s="160" t="s">
        <v>60</v>
      </c>
      <c r="B48" s="19" t="s">
        <v>61</v>
      </c>
      <c r="C48" s="64">
        <v>1197</v>
      </c>
      <c r="D48" s="64">
        <v>1169</v>
      </c>
      <c r="E48" s="64">
        <v>1152</v>
      </c>
      <c r="F48" s="64">
        <v>1022</v>
      </c>
      <c r="G48" s="64">
        <v>1038</v>
      </c>
      <c r="H48" s="64">
        <v>955</v>
      </c>
      <c r="I48" s="64">
        <v>945</v>
      </c>
      <c r="J48" s="64">
        <v>1064</v>
      </c>
      <c r="K48" s="64">
        <v>1447</v>
      </c>
      <c r="L48" s="64">
        <v>1707</v>
      </c>
      <c r="M48" s="64">
        <v>2023</v>
      </c>
      <c r="N48" s="64">
        <v>2190</v>
      </c>
      <c r="O48" s="64">
        <v>2426</v>
      </c>
      <c r="P48" s="64">
        <v>2622</v>
      </c>
      <c r="Q48" s="64">
        <v>2632</v>
      </c>
      <c r="R48" s="64">
        <v>2732</v>
      </c>
      <c r="S48" s="64">
        <v>2866</v>
      </c>
      <c r="T48" s="64">
        <v>2936</v>
      </c>
      <c r="U48" s="64">
        <v>3030</v>
      </c>
      <c r="V48" s="64">
        <v>3004</v>
      </c>
      <c r="W48" s="64">
        <v>3056</v>
      </c>
      <c r="X48" s="64">
        <v>3134</v>
      </c>
      <c r="Y48" s="64">
        <v>3183</v>
      </c>
      <c r="Z48" s="64">
        <v>3066</v>
      </c>
      <c r="AA48" s="64">
        <v>2500</v>
      </c>
      <c r="AB48" s="64">
        <v>2481</v>
      </c>
      <c r="AC48" s="64">
        <v>2886</v>
      </c>
      <c r="AD48" s="64">
        <v>3119</v>
      </c>
      <c r="AE48" s="145">
        <v>2961</v>
      </c>
      <c r="AF48" s="10"/>
    </row>
    <row r="49" spans="1:32" ht="15" customHeight="1" thickBot="1" x14ac:dyDescent="0.3">
      <c r="A49" s="150">
        <v>55</v>
      </c>
      <c r="B49" s="14" t="s">
        <v>62</v>
      </c>
      <c r="C49" s="67">
        <v>1197</v>
      </c>
      <c r="D49" s="67">
        <v>1169</v>
      </c>
      <c r="E49" s="67">
        <v>1152</v>
      </c>
      <c r="F49" s="67">
        <v>1022</v>
      </c>
      <c r="G49" s="67">
        <v>1038</v>
      </c>
      <c r="H49" s="67">
        <v>955</v>
      </c>
      <c r="I49" s="67">
        <v>945</v>
      </c>
      <c r="J49" s="67">
        <v>1064</v>
      </c>
      <c r="K49" s="67">
        <v>1447</v>
      </c>
      <c r="L49" s="67">
        <v>1707</v>
      </c>
      <c r="M49" s="67">
        <v>2023</v>
      </c>
      <c r="N49" s="67">
        <v>2190</v>
      </c>
      <c r="O49" s="67">
        <v>2426</v>
      </c>
      <c r="P49" s="67">
        <v>2622</v>
      </c>
      <c r="Q49" s="67">
        <v>2632</v>
      </c>
      <c r="R49" s="67">
        <v>2732</v>
      </c>
      <c r="S49" s="67">
        <v>2866</v>
      </c>
      <c r="T49" s="67">
        <v>2936</v>
      </c>
      <c r="U49" s="67">
        <v>3030</v>
      </c>
      <c r="V49" s="67">
        <v>3004</v>
      </c>
      <c r="W49" s="67">
        <v>3056</v>
      </c>
      <c r="X49" s="67">
        <v>3134</v>
      </c>
      <c r="Y49" s="67">
        <v>3183</v>
      </c>
      <c r="Z49" s="67">
        <v>3066</v>
      </c>
      <c r="AA49" s="67">
        <v>2500</v>
      </c>
      <c r="AB49" s="67">
        <v>2481</v>
      </c>
      <c r="AC49" s="67">
        <v>2886</v>
      </c>
      <c r="AD49" s="67">
        <v>3119</v>
      </c>
      <c r="AE49" s="151">
        <v>2961</v>
      </c>
    </row>
    <row r="50" spans="1:32" s="11" customFormat="1" ht="15" customHeight="1" thickBot="1" x14ac:dyDescent="0.3">
      <c r="A50" s="144" t="s">
        <v>63</v>
      </c>
      <c r="B50" s="9" t="s">
        <v>64</v>
      </c>
      <c r="C50" s="64">
        <v>2971</v>
      </c>
      <c r="D50" s="64">
        <v>3115</v>
      </c>
      <c r="E50" s="64">
        <v>3245</v>
      </c>
      <c r="F50" s="64">
        <v>3113</v>
      </c>
      <c r="G50" s="64">
        <v>3098</v>
      </c>
      <c r="H50" s="64">
        <v>3099</v>
      </c>
      <c r="I50" s="64">
        <v>2786</v>
      </c>
      <c r="J50" s="64">
        <v>3422</v>
      </c>
      <c r="K50" s="64">
        <v>3962</v>
      </c>
      <c r="L50" s="64">
        <v>4451</v>
      </c>
      <c r="M50" s="64">
        <v>5302</v>
      </c>
      <c r="N50" s="64">
        <v>6099</v>
      </c>
      <c r="O50" s="64">
        <v>6667</v>
      </c>
      <c r="P50" s="64">
        <v>6779</v>
      </c>
      <c r="Q50" s="64">
        <v>7002</v>
      </c>
      <c r="R50" s="64">
        <v>7186</v>
      </c>
      <c r="S50" s="64">
        <v>7318</v>
      </c>
      <c r="T50" s="64">
        <v>7244</v>
      </c>
      <c r="U50" s="64">
        <v>7170</v>
      </c>
      <c r="V50" s="64">
        <v>7084</v>
      </c>
      <c r="W50" s="64">
        <v>7190</v>
      </c>
      <c r="X50" s="64">
        <v>7148</v>
      </c>
      <c r="Y50" s="64">
        <v>6992</v>
      </c>
      <c r="Z50" s="64">
        <v>6788</v>
      </c>
      <c r="AA50" s="64">
        <v>6141</v>
      </c>
      <c r="AB50" s="64">
        <v>5789</v>
      </c>
      <c r="AC50" s="64">
        <v>5784</v>
      </c>
      <c r="AD50" s="64">
        <v>5426</v>
      </c>
      <c r="AE50" s="145">
        <v>4919</v>
      </c>
      <c r="AF50" s="10"/>
    </row>
    <row r="51" spans="1:32" ht="15" customHeight="1" x14ac:dyDescent="0.25">
      <c r="A51" s="152">
        <v>60</v>
      </c>
      <c r="B51" s="15" t="s">
        <v>65</v>
      </c>
      <c r="C51" s="68">
        <v>2542</v>
      </c>
      <c r="D51" s="68">
        <v>2636</v>
      </c>
      <c r="E51" s="68">
        <v>2705</v>
      </c>
      <c r="F51" s="68">
        <v>2524</v>
      </c>
      <c r="G51" s="68">
        <v>2463</v>
      </c>
      <c r="H51" s="68">
        <v>2492</v>
      </c>
      <c r="I51" s="68">
        <v>2239</v>
      </c>
      <c r="J51" s="68">
        <v>2849</v>
      </c>
      <c r="K51" s="68">
        <v>3301</v>
      </c>
      <c r="L51" s="68">
        <v>3781</v>
      </c>
      <c r="M51" s="68">
        <v>4620</v>
      </c>
      <c r="N51" s="68">
        <v>5405</v>
      </c>
      <c r="O51" s="68">
        <v>5920</v>
      </c>
      <c r="P51" s="68">
        <v>6019</v>
      </c>
      <c r="Q51" s="68">
        <v>6226</v>
      </c>
      <c r="R51" s="68">
        <v>6380</v>
      </c>
      <c r="S51" s="68">
        <v>6488</v>
      </c>
      <c r="T51" s="68">
        <v>6435</v>
      </c>
      <c r="U51" s="68">
        <v>6374</v>
      </c>
      <c r="V51" s="68">
        <v>6276</v>
      </c>
      <c r="W51" s="68">
        <v>6341</v>
      </c>
      <c r="X51" s="68">
        <v>6287</v>
      </c>
      <c r="Y51" s="68">
        <v>6127</v>
      </c>
      <c r="Z51" s="68">
        <v>5935</v>
      </c>
      <c r="AA51" s="68">
        <v>5367</v>
      </c>
      <c r="AB51" s="68">
        <v>5040</v>
      </c>
      <c r="AC51" s="68">
        <v>4987</v>
      </c>
      <c r="AD51" s="68">
        <v>4588</v>
      </c>
      <c r="AE51" s="153">
        <v>4070</v>
      </c>
    </row>
    <row r="52" spans="1:32" ht="15" customHeight="1" x14ac:dyDescent="0.25">
      <c r="A52" s="161">
        <v>61</v>
      </c>
      <c r="B52" s="20" t="s">
        <v>66</v>
      </c>
      <c r="C52" s="73">
        <v>4</v>
      </c>
      <c r="D52" s="73" t="s">
        <v>383</v>
      </c>
      <c r="E52" s="73">
        <v>6</v>
      </c>
      <c r="F52" s="73">
        <v>5</v>
      </c>
      <c r="G52" s="73">
        <v>8</v>
      </c>
      <c r="H52" s="73">
        <v>7</v>
      </c>
      <c r="I52" s="73">
        <v>5</v>
      </c>
      <c r="J52" s="73">
        <v>5</v>
      </c>
      <c r="K52" s="73">
        <v>7</v>
      </c>
      <c r="L52" s="73">
        <v>7</v>
      </c>
      <c r="M52" s="73">
        <v>6</v>
      </c>
      <c r="N52" s="73" t="s">
        <v>383</v>
      </c>
      <c r="O52" s="73">
        <v>5</v>
      </c>
      <c r="P52" s="73">
        <v>6</v>
      </c>
      <c r="Q52" s="73">
        <v>6</v>
      </c>
      <c r="R52" s="73">
        <v>6</v>
      </c>
      <c r="S52" s="73">
        <v>4</v>
      </c>
      <c r="T52" s="73">
        <v>6</v>
      </c>
      <c r="U52" s="73">
        <v>7</v>
      </c>
      <c r="V52" s="73">
        <v>6</v>
      </c>
      <c r="W52" s="73">
        <v>4</v>
      </c>
      <c r="X52" s="73">
        <v>4</v>
      </c>
      <c r="Y52" s="73">
        <v>4</v>
      </c>
      <c r="Z52" s="73">
        <v>6</v>
      </c>
      <c r="AA52" s="73">
        <v>6</v>
      </c>
      <c r="AB52" s="73">
        <v>5</v>
      </c>
      <c r="AC52" s="73">
        <v>7</v>
      </c>
      <c r="AD52" s="73">
        <v>6</v>
      </c>
      <c r="AE52" s="162">
        <v>5</v>
      </c>
    </row>
    <row r="53" spans="1:32" ht="15" customHeight="1" x14ac:dyDescent="0.25">
      <c r="A53" s="152">
        <v>62</v>
      </c>
      <c r="B53" s="15" t="s">
        <v>67</v>
      </c>
      <c r="C53" s="68">
        <v>10</v>
      </c>
      <c r="D53" s="68" t="s">
        <v>383</v>
      </c>
      <c r="E53" s="68">
        <v>11</v>
      </c>
      <c r="F53" s="68">
        <v>14</v>
      </c>
      <c r="G53" s="68">
        <v>13</v>
      </c>
      <c r="H53" s="68">
        <v>14</v>
      </c>
      <c r="I53" s="68">
        <v>11</v>
      </c>
      <c r="J53" s="68">
        <v>9</v>
      </c>
      <c r="K53" s="68">
        <v>9</v>
      </c>
      <c r="L53" s="68">
        <v>10</v>
      </c>
      <c r="M53" s="68">
        <v>11</v>
      </c>
      <c r="N53" s="68" t="s">
        <v>383</v>
      </c>
      <c r="O53" s="68">
        <v>10</v>
      </c>
      <c r="P53" s="68">
        <v>11</v>
      </c>
      <c r="Q53" s="68">
        <v>9</v>
      </c>
      <c r="R53" s="68">
        <v>10</v>
      </c>
      <c r="S53" s="68">
        <v>9</v>
      </c>
      <c r="T53" s="68">
        <v>9</v>
      </c>
      <c r="U53" s="68">
        <v>9</v>
      </c>
      <c r="V53" s="68">
        <v>10</v>
      </c>
      <c r="W53" s="68">
        <v>10</v>
      </c>
      <c r="X53" s="68">
        <v>10</v>
      </c>
      <c r="Y53" s="68">
        <v>13</v>
      </c>
      <c r="Z53" s="68">
        <v>13</v>
      </c>
      <c r="AA53" s="68">
        <v>13</v>
      </c>
      <c r="AB53" s="68">
        <v>9</v>
      </c>
      <c r="AC53" s="68">
        <v>7</v>
      </c>
      <c r="AD53" s="68">
        <v>8</v>
      </c>
      <c r="AE53" s="153">
        <v>8</v>
      </c>
    </row>
    <row r="54" spans="1:32" ht="15" customHeight="1" x14ac:dyDescent="0.25">
      <c r="A54" s="163">
        <v>63</v>
      </c>
      <c r="B54" s="21" t="s">
        <v>68</v>
      </c>
      <c r="C54" s="74">
        <v>261</v>
      </c>
      <c r="D54" s="74">
        <v>286</v>
      </c>
      <c r="E54" s="74">
        <v>310</v>
      </c>
      <c r="F54" s="74">
        <v>290</v>
      </c>
      <c r="G54" s="74">
        <v>296</v>
      </c>
      <c r="H54" s="74">
        <v>284</v>
      </c>
      <c r="I54" s="74">
        <v>263</v>
      </c>
      <c r="J54" s="74">
        <v>287</v>
      </c>
      <c r="K54" s="74">
        <v>357</v>
      </c>
      <c r="L54" s="74">
        <v>390</v>
      </c>
      <c r="M54" s="74">
        <v>430</v>
      </c>
      <c r="N54" s="74">
        <v>454</v>
      </c>
      <c r="O54" s="74">
        <v>501</v>
      </c>
      <c r="P54" s="74">
        <v>531</v>
      </c>
      <c r="Q54" s="74">
        <v>559</v>
      </c>
      <c r="R54" s="74">
        <v>592</v>
      </c>
      <c r="S54" s="74">
        <v>620</v>
      </c>
      <c r="T54" s="74">
        <v>605</v>
      </c>
      <c r="U54" s="74">
        <v>595</v>
      </c>
      <c r="V54" s="74">
        <v>605</v>
      </c>
      <c r="W54" s="74">
        <v>651</v>
      </c>
      <c r="X54" s="74">
        <v>668</v>
      </c>
      <c r="Y54" s="74">
        <v>667</v>
      </c>
      <c r="Z54" s="74">
        <v>664</v>
      </c>
      <c r="AA54" s="74">
        <v>584</v>
      </c>
      <c r="AB54" s="74">
        <v>560</v>
      </c>
      <c r="AC54" s="74">
        <v>607</v>
      </c>
      <c r="AD54" s="74">
        <v>643</v>
      </c>
      <c r="AE54" s="164">
        <v>664</v>
      </c>
    </row>
    <row r="55" spans="1:32" ht="15" customHeight="1" thickBot="1" x14ac:dyDescent="0.3">
      <c r="A55" s="152">
        <v>64</v>
      </c>
      <c r="B55" s="15" t="s">
        <v>99</v>
      </c>
      <c r="C55" s="68">
        <v>154</v>
      </c>
      <c r="D55" s="68">
        <v>178</v>
      </c>
      <c r="E55" s="68">
        <v>213</v>
      </c>
      <c r="F55" s="68">
        <v>280</v>
      </c>
      <c r="G55" s="68">
        <v>318</v>
      </c>
      <c r="H55" s="68">
        <v>302</v>
      </c>
      <c r="I55" s="68">
        <v>268</v>
      </c>
      <c r="J55" s="68">
        <v>272</v>
      </c>
      <c r="K55" s="68">
        <v>288</v>
      </c>
      <c r="L55" s="68">
        <v>263</v>
      </c>
      <c r="M55" s="68">
        <v>235</v>
      </c>
      <c r="N55" s="68">
        <v>227</v>
      </c>
      <c r="O55" s="68">
        <v>231</v>
      </c>
      <c r="P55" s="68">
        <v>212</v>
      </c>
      <c r="Q55" s="68">
        <v>202</v>
      </c>
      <c r="R55" s="68">
        <v>198</v>
      </c>
      <c r="S55" s="68">
        <v>197</v>
      </c>
      <c r="T55" s="68">
        <v>189</v>
      </c>
      <c r="U55" s="68">
        <v>185</v>
      </c>
      <c r="V55" s="68">
        <v>187</v>
      </c>
      <c r="W55" s="68">
        <v>184</v>
      </c>
      <c r="X55" s="68">
        <v>179</v>
      </c>
      <c r="Y55" s="68">
        <v>181</v>
      </c>
      <c r="Z55" s="68">
        <v>170</v>
      </c>
      <c r="AA55" s="68">
        <v>171</v>
      </c>
      <c r="AB55" s="68">
        <v>175</v>
      </c>
      <c r="AC55" s="68">
        <v>176</v>
      </c>
      <c r="AD55" s="68">
        <v>181</v>
      </c>
      <c r="AE55" s="153">
        <v>172</v>
      </c>
    </row>
    <row r="56" spans="1:32" s="11" customFormat="1" ht="15" customHeight="1" thickBot="1" x14ac:dyDescent="0.3">
      <c r="A56" s="144" t="s">
        <v>70</v>
      </c>
      <c r="B56" s="9" t="s">
        <v>71</v>
      </c>
      <c r="C56" s="64">
        <v>360</v>
      </c>
      <c r="D56" s="64">
        <v>374</v>
      </c>
      <c r="E56" s="64">
        <v>383</v>
      </c>
      <c r="F56" s="64">
        <v>378</v>
      </c>
      <c r="G56" s="64">
        <v>390</v>
      </c>
      <c r="H56" s="64">
        <v>385</v>
      </c>
      <c r="I56" s="64">
        <v>372</v>
      </c>
      <c r="J56" s="64">
        <v>390</v>
      </c>
      <c r="K56" s="64">
        <v>458</v>
      </c>
      <c r="L56" s="64">
        <v>476</v>
      </c>
      <c r="M56" s="64">
        <v>522</v>
      </c>
      <c r="N56" s="64">
        <v>552</v>
      </c>
      <c r="O56" s="64">
        <v>582</v>
      </c>
      <c r="P56" s="64">
        <v>590</v>
      </c>
      <c r="Q56" s="64">
        <v>625</v>
      </c>
      <c r="R56" s="64">
        <v>646</v>
      </c>
      <c r="S56" s="64">
        <v>654</v>
      </c>
      <c r="T56" s="64">
        <v>669</v>
      </c>
      <c r="U56" s="64">
        <v>660</v>
      </c>
      <c r="V56" s="64">
        <v>653</v>
      </c>
      <c r="W56" s="64">
        <v>656</v>
      </c>
      <c r="X56" s="64">
        <v>653</v>
      </c>
      <c r="Y56" s="64">
        <v>659</v>
      </c>
      <c r="Z56" s="64">
        <v>640</v>
      </c>
      <c r="AA56" s="64">
        <v>617</v>
      </c>
      <c r="AB56" s="64">
        <v>595</v>
      </c>
      <c r="AC56" s="64">
        <v>606</v>
      </c>
      <c r="AD56" s="64">
        <v>616</v>
      </c>
      <c r="AE56" s="145">
        <v>592</v>
      </c>
      <c r="AF56" s="10"/>
    </row>
    <row r="57" spans="1:32" ht="15" customHeight="1" x14ac:dyDescent="0.25">
      <c r="A57" s="152">
        <v>65</v>
      </c>
      <c r="B57" s="15" t="s">
        <v>72</v>
      </c>
      <c r="C57" s="68">
        <v>140</v>
      </c>
      <c r="D57" s="68">
        <v>144</v>
      </c>
      <c r="E57" s="68">
        <v>151</v>
      </c>
      <c r="F57" s="68">
        <v>139</v>
      </c>
      <c r="G57" s="68">
        <v>133</v>
      </c>
      <c r="H57" s="68">
        <v>137</v>
      </c>
      <c r="I57" s="68">
        <v>129</v>
      </c>
      <c r="J57" s="68">
        <v>125</v>
      </c>
      <c r="K57" s="68">
        <v>133</v>
      </c>
      <c r="L57" s="68">
        <v>139</v>
      </c>
      <c r="M57" s="68">
        <v>152</v>
      </c>
      <c r="N57" s="68">
        <v>156</v>
      </c>
      <c r="O57" s="68">
        <v>166</v>
      </c>
      <c r="P57" s="68">
        <v>154</v>
      </c>
      <c r="Q57" s="68">
        <v>159</v>
      </c>
      <c r="R57" s="68">
        <v>169</v>
      </c>
      <c r="S57" s="68">
        <v>174</v>
      </c>
      <c r="T57" s="68">
        <v>180</v>
      </c>
      <c r="U57" s="68">
        <v>179</v>
      </c>
      <c r="V57" s="68">
        <v>172</v>
      </c>
      <c r="W57" s="68">
        <v>175</v>
      </c>
      <c r="X57" s="68">
        <v>168</v>
      </c>
      <c r="Y57" s="68">
        <v>167</v>
      </c>
      <c r="Z57" s="68">
        <v>164</v>
      </c>
      <c r="AA57" s="68">
        <v>161</v>
      </c>
      <c r="AB57" s="68">
        <v>143</v>
      </c>
      <c r="AC57" s="68">
        <v>147</v>
      </c>
      <c r="AD57" s="68">
        <v>140</v>
      </c>
      <c r="AE57" s="153">
        <v>137</v>
      </c>
    </row>
    <row r="58" spans="1:32" ht="15" customHeight="1" x14ac:dyDescent="0.25">
      <c r="A58" s="156">
        <v>66</v>
      </c>
      <c r="B58" s="17" t="s">
        <v>100</v>
      </c>
      <c r="C58" s="70">
        <v>87</v>
      </c>
      <c r="D58" s="70">
        <v>93</v>
      </c>
      <c r="E58" s="70">
        <v>93</v>
      </c>
      <c r="F58" s="70">
        <v>106</v>
      </c>
      <c r="G58" s="70">
        <v>112</v>
      </c>
      <c r="H58" s="70">
        <v>104</v>
      </c>
      <c r="I58" s="70">
        <v>100</v>
      </c>
      <c r="J58" s="70">
        <v>103</v>
      </c>
      <c r="K58" s="70">
        <v>105</v>
      </c>
      <c r="L58" s="70">
        <v>109</v>
      </c>
      <c r="M58" s="70">
        <v>110</v>
      </c>
      <c r="N58" s="70">
        <v>107</v>
      </c>
      <c r="O58" s="70">
        <v>104</v>
      </c>
      <c r="P58" s="70">
        <v>95</v>
      </c>
      <c r="Q58" s="70">
        <v>95</v>
      </c>
      <c r="R58" s="70">
        <v>96</v>
      </c>
      <c r="S58" s="70">
        <v>92</v>
      </c>
      <c r="T58" s="70">
        <v>89</v>
      </c>
      <c r="U58" s="70">
        <v>85</v>
      </c>
      <c r="V58" s="70">
        <v>89</v>
      </c>
      <c r="W58" s="70">
        <v>90</v>
      </c>
      <c r="X58" s="70">
        <v>86</v>
      </c>
      <c r="Y58" s="70">
        <v>86</v>
      </c>
      <c r="Z58" s="70">
        <v>81</v>
      </c>
      <c r="AA58" s="70">
        <v>76</v>
      </c>
      <c r="AB58" s="70">
        <v>77</v>
      </c>
      <c r="AC58" s="70">
        <v>74</v>
      </c>
      <c r="AD58" s="70">
        <v>76</v>
      </c>
      <c r="AE58" s="157">
        <v>76</v>
      </c>
    </row>
    <row r="59" spans="1:32" ht="15" customHeight="1" thickBot="1" x14ac:dyDescent="0.3">
      <c r="A59" s="152">
        <v>67</v>
      </c>
      <c r="B59" s="15" t="s">
        <v>74</v>
      </c>
      <c r="C59" s="68">
        <v>133</v>
      </c>
      <c r="D59" s="68">
        <v>137</v>
      </c>
      <c r="E59" s="68">
        <v>139</v>
      </c>
      <c r="F59" s="68">
        <v>133</v>
      </c>
      <c r="G59" s="68">
        <v>145</v>
      </c>
      <c r="H59" s="68">
        <v>144</v>
      </c>
      <c r="I59" s="68">
        <v>143</v>
      </c>
      <c r="J59" s="68">
        <v>162</v>
      </c>
      <c r="K59" s="68">
        <v>220</v>
      </c>
      <c r="L59" s="68">
        <v>228</v>
      </c>
      <c r="M59" s="68">
        <v>260</v>
      </c>
      <c r="N59" s="68">
        <v>289</v>
      </c>
      <c r="O59" s="68">
        <v>312</v>
      </c>
      <c r="P59" s="68">
        <v>341</v>
      </c>
      <c r="Q59" s="68">
        <v>371</v>
      </c>
      <c r="R59" s="68">
        <v>381</v>
      </c>
      <c r="S59" s="68">
        <v>388</v>
      </c>
      <c r="T59" s="68">
        <v>400</v>
      </c>
      <c r="U59" s="68">
        <v>396</v>
      </c>
      <c r="V59" s="68">
        <v>392</v>
      </c>
      <c r="W59" s="68">
        <v>391</v>
      </c>
      <c r="X59" s="68">
        <v>399</v>
      </c>
      <c r="Y59" s="68">
        <v>406</v>
      </c>
      <c r="Z59" s="68">
        <v>395</v>
      </c>
      <c r="AA59" s="68">
        <v>380</v>
      </c>
      <c r="AB59" s="68">
        <v>375</v>
      </c>
      <c r="AC59" s="68">
        <v>385</v>
      </c>
      <c r="AD59" s="68">
        <v>400</v>
      </c>
      <c r="AE59" s="153">
        <v>379</v>
      </c>
    </row>
    <row r="60" spans="1:32" s="11" customFormat="1" ht="15" customHeight="1" thickBot="1" x14ac:dyDescent="0.3">
      <c r="A60" s="144" t="s">
        <v>75</v>
      </c>
      <c r="B60" s="9" t="s">
        <v>76</v>
      </c>
      <c r="C60" s="64">
        <v>7945</v>
      </c>
      <c r="D60" s="64">
        <v>8266</v>
      </c>
      <c r="E60" s="64">
        <v>8456</v>
      </c>
      <c r="F60" s="64">
        <v>8469</v>
      </c>
      <c r="G60" s="64">
        <v>8569</v>
      </c>
      <c r="H60" s="64">
        <v>8562</v>
      </c>
      <c r="I60" s="64">
        <v>8277</v>
      </c>
      <c r="J60" s="64">
        <v>9001</v>
      </c>
      <c r="K60" s="64">
        <v>10049</v>
      </c>
      <c r="L60" s="64">
        <v>10632</v>
      </c>
      <c r="M60" s="64">
        <v>11168</v>
      </c>
      <c r="N60" s="64">
        <v>11536</v>
      </c>
      <c r="O60" s="64">
        <v>11869</v>
      </c>
      <c r="P60" s="64">
        <v>11650</v>
      </c>
      <c r="Q60" s="64">
        <v>11639</v>
      </c>
      <c r="R60" s="64">
        <v>11620</v>
      </c>
      <c r="S60" s="64">
        <v>11325</v>
      </c>
      <c r="T60" s="64">
        <v>10978</v>
      </c>
      <c r="U60" s="64">
        <v>10620</v>
      </c>
      <c r="V60" s="64">
        <v>10343</v>
      </c>
      <c r="W60" s="64">
        <v>10025</v>
      </c>
      <c r="X60" s="64">
        <v>9736</v>
      </c>
      <c r="Y60" s="64">
        <v>9415</v>
      </c>
      <c r="Z60" s="64">
        <v>8896</v>
      </c>
      <c r="AA60" s="64">
        <v>8264</v>
      </c>
      <c r="AB60" s="64">
        <v>8061</v>
      </c>
      <c r="AC60" s="64">
        <v>8239</v>
      </c>
      <c r="AD60" s="64">
        <v>8296</v>
      </c>
      <c r="AE60" s="145">
        <v>7646</v>
      </c>
      <c r="AF60" s="10"/>
    </row>
    <row r="61" spans="1:32" ht="15" customHeight="1" x14ac:dyDescent="0.25">
      <c r="A61" s="146">
        <v>70</v>
      </c>
      <c r="B61" s="12" t="s">
        <v>77</v>
      </c>
      <c r="C61" s="65">
        <v>5033</v>
      </c>
      <c r="D61" s="65">
        <v>5135</v>
      </c>
      <c r="E61" s="65">
        <v>5180</v>
      </c>
      <c r="F61" s="65">
        <v>5098</v>
      </c>
      <c r="G61" s="65">
        <v>5036</v>
      </c>
      <c r="H61" s="65">
        <v>5010</v>
      </c>
      <c r="I61" s="65">
        <v>4912</v>
      </c>
      <c r="J61" s="65">
        <v>5193</v>
      </c>
      <c r="K61" s="65">
        <v>5584</v>
      </c>
      <c r="L61" s="65">
        <v>5767</v>
      </c>
      <c r="M61" s="65">
        <v>5994</v>
      </c>
      <c r="N61" s="65">
        <v>5953</v>
      </c>
      <c r="O61" s="65">
        <v>5972</v>
      </c>
      <c r="P61" s="65">
        <v>5849</v>
      </c>
      <c r="Q61" s="65">
        <v>5795</v>
      </c>
      <c r="R61" s="65">
        <v>5730</v>
      </c>
      <c r="S61" s="65">
        <v>5519</v>
      </c>
      <c r="T61" s="65">
        <v>5306</v>
      </c>
      <c r="U61" s="65">
        <v>5055</v>
      </c>
      <c r="V61" s="65">
        <v>4861</v>
      </c>
      <c r="W61" s="65">
        <v>4639</v>
      </c>
      <c r="X61" s="65">
        <v>4407</v>
      </c>
      <c r="Y61" s="65">
        <v>4191</v>
      </c>
      <c r="Z61" s="65">
        <v>3928</v>
      </c>
      <c r="AA61" s="65">
        <v>3611</v>
      </c>
      <c r="AB61" s="65">
        <v>3426</v>
      </c>
      <c r="AC61" s="65">
        <v>3494</v>
      </c>
      <c r="AD61" s="65">
        <v>3345</v>
      </c>
      <c r="AE61" s="147">
        <v>3097</v>
      </c>
    </row>
    <row r="62" spans="1:32" ht="15" customHeight="1" x14ac:dyDescent="0.25">
      <c r="A62" s="156">
        <v>71</v>
      </c>
      <c r="B62" s="17" t="s">
        <v>78</v>
      </c>
      <c r="C62" s="70">
        <v>111</v>
      </c>
      <c r="D62" s="70">
        <v>118</v>
      </c>
      <c r="E62" s="70">
        <v>109</v>
      </c>
      <c r="F62" s="70">
        <v>104</v>
      </c>
      <c r="G62" s="70">
        <v>100</v>
      </c>
      <c r="H62" s="70">
        <v>96</v>
      </c>
      <c r="I62" s="70">
        <v>91</v>
      </c>
      <c r="J62" s="70">
        <v>109</v>
      </c>
      <c r="K62" s="70">
        <v>136</v>
      </c>
      <c r="L62" s="70">
        <v>149</v>
      </c>
      <c r="M62" s="70">
        <v>153</v>
      </c>
      <c r="N62" s="70">
        <v>169</v>
      </c>
      <c r="O62" s="70">
        <v>176</v>
      </c>
      <c r="P62" s="70">
        <v>178</v>
      </c>
      <c r="Q62" s="70">
        <v>180</v>
      </c>
      <c r="R62" s="70">
        <v>191</v>
      </c>
      <c r="S62" s="70">
        <v>174</v>
      </c>
      <c r="T62" s="70">
        <v>173</v>
      </c>
      <c r="U62" s="70">
        <v>170</v>
      </c>
      <c r="V62" s="70">
        <v>160</v>
      </c>
      <c r="W62" s="70">
        <v>150</v>
      </c>
      <c r="X62" s="70">
        <v>156</v>
      </c>
      <c r="Y62" s="70">
        <v>153</v>
      </c>
      <c r="Z62" s="70">
        <v>135</v>
      </c>
      <c r="AA62" s="70">
        <v>110</v>
      </c>
      <c r="AB62" s="70">
        <v>107</v>
      </c>
      <c r="AC62" s="70">
        <v>110</v>
      </c>
      <c r="AD62" s="70">
        <v>117</v>
      </c>
      <c r="AE62" s="157">
        <v>114</v>
      </c>
    </row>
    <row r="63" spans="1:32" ht="15" customHeight="1" x14ac:dyDescent="0.25">
      <c r="A63" s="156">
        <v>72</v>
      </c>
      <c r="B63" s="17" t="s">
        <v>79</v>
      </c>
      <c r="C63" s="70">
        <v>78</v>
      </c>
      <c r="D63" s="70">
        <v>81</v>
      </c>
      <c r="E63" s="70">
        <v>95</v>
      </c>
      <c r="F63" s="70">
        <v>113</v>
      </c>
      <c r="G63" s="70">
        <v>122</v>
      </c>
      <c r="H63" s="70">
        <v>128</v>
      </c>
      <c r="I63" s="70">
        <v>112</v>
      </c>
      <c r="J63" s="70">
        <v>153</v>
      </c>
      <c r="K63" s="70">
        <v>194</v>
      </c>
      <c r="L63" s="70">
        <v>228</v>
      </c>
      <c r="M63" s="70">
        <v>270</v>
      </c>
      <c r="N63" s="70">
        <v>346</v>
      </c>
      <c r="O63" s="70">
        <v>378</v>
      </c>
      <c r="P63" s="70">
        <v>363</v>
      </c>
      <c r="Q63" s="70">
        <v>373</v>
      </c>
      <c r="R63" s="70">
        <v>392</v>
      </c>
      <c r="S63" s="70">
        <v>402</v>
      </c>
      <c r="T63" s="70">
        <v>399</v>
      </c>
      <c r="U63" s="70">
        <v>393</v>
      </c>
      <c r="V63" s="70">
        <v>401</v>
      </c>
      <c r="W63" s="70">
        <v>428</v>
      </c>
      <c r="X63" s="70">
        <v>460</v>
      </c>
      <c r="Y63" s="70">
        <v>481</v>
      </c>
      <c r="Z63" s="70">
        <v>498</v>
      </c>
      <c r="AA63" s="70">
        <v>525</v>
      </c>
      <c r="AB63" s="70">
        <v>563</v>
      </c>
      <c r="AC63" s="70">
        <v>616</v>
      </c>
      <c r="AD63" s="70">
        <v>658</v>
      </c>
      <c r="AE63" s="157">
        <v>632</v>
      </c>
    </row>
    <row r="64" spans="1:32" ht="15" customHeight="1" x14ac:dyDescent="0.25">
      <c r="A64" s="156">
        <v>73</v>
      </c>
      <c r="B64" s="17" t="s">
        <v>80</v>
      </c>
      <c r="C64" s="70">
        <v>10</v>
      </c>
      <c r="D64" s="70">
        <v>12</v>
      </c>
      <c r="E64" s="70">
        <v>14</v>
      </c>
      <c r="F64" s="70">
        <v>13</v>
      </c>
      <c r="G64" s="70">
        <v>17</v>
      </c>
      <c r="H64" s="70">
        <v>17</v>
      </c>
      <c r="I64" s="70">
        <v>17</v>
      </c>
      <c r="J64" s="70">
        <v>18</v>
      </c>
      <c r="K64" s="70">
        <v>20</v>
      </c>
      <c r="L64" s="70">
        <v>22</v>
      </c>
      <c r="M64" s="70">
        <v>24</v>
      </c>
      <c r="N64" s="70">
        <v>24</v>
      </c>
      <c r="O64" s="70">
        <v>28</v>
      </c>
      <c r="P64" s="70">
        <v>34</v>
      </c>
      <c r="Q64" s="70">
        <v>33</v>
      </c>
      <c r="R64" s="70">
        <v>34</v>
      </c>
      <c r="S64" s="70">
        <v>32</v>
      </c>
      <c r="T64" s="70">
        <v>32</v>
      </c>
      <c r="U64" s="70">
        <v>33</v>
      </c>
      <c r="V64" s="70">
        <v>36</v>
      </c>
      <c r="W64" s="70">
        <v>34</v>
      </c>
      <c r="X64" s="70">
        <v>37</v>
      </c>
      <c r="Y64" s="70">
        <v>40</v>
      </c>
      <c r="Z64" s="70">
        <v>44</v>
      </c>
      <c r="AA64" s="70">
        <v>43</v>
      </c>
      <c r="AB64" s="70">
        <v>49</v>
      </c>
      <c r="AC64" s="70">
        <v>51</v>
      </c>
      <c r="AD64" s="70">
        <v>59</v>
      </c>
      <c r="AE64" s="157">
        <v>55</v>
      </c>
    </row>
    <row r="65" spans="1:32" ht="15" customHeight="1" x14ac:dyDescent="0.25">
      <c r="A65" s="156">
        <v>74</v>
      </c>
      <c r="B65" s="17" t="s">
        <v>81</v>
      </c>
      <c r="C65" s="70">
        <v>2698</v>
      </c>
      <c r="D65" s="70">
        <v>2898</v>
      </c>
      <c r="E65" s="70">
        <v>3036</v>
      </c>
      <c r="F65" s="70">
        <v>3117</v>
      </c>
      <c r="G65" s="70">
        <v>3269</v>
      </c>
      <c r="H65" s="70">
        <v>3285</v>
      </c>
      <c r="I65" s="70">
        <v>3117</v>
      </c>
      <c r="J65" s="70">
        <v>3501</v>
      </c>
      <c r="K65" s="70">
        <v>4087</v>
      </c>
      <c r="L65" s="70">
        <v>4435</v>
      </c>
      <c r="M65" s="70">
        <v>4694</v>
      </c>
      <c r="N65" s="70">
        <v>5013</v>
      </c>
      <c r="O65" s="70">
        <v>5284</v>
      </c>
      <c r="P65" s="70">
        <v>5195</v>
      </c>
      <c r="Q65" s="70">
        <v>5231</v>
      </c>
      <c r="R65" s="70">
        <v>5247</v>
      </c>
      <c r="S65" s="70">
        <v>5173</v>
      </c>
      <c r="T65" s="70">
        <v>5042</v>
      </c>
      <c r="U65" s="70">
        <v>4946</v>
      </c>
      <c r="V65" s="70">
        <v>4865</v>
      </c>
      <c r="W65" s="70">
        <v>4752</v>
      </c>
      <c r="X65" s="70">
        <v>4658</v>
      </c>
      <c r="Y65" s="70">
        <v>4532</v>
      </c>
      <c r="Z65" s="70">
        <v>4276</v>
      </c>
      <c r="AA65" s="70">
        <v>3962</v>
      </c>
      <c r="AB65" s="70">
        <v>3902</v>
      </c>
      <c r="AC65" s="70">
        <v>3955</v>
      </c>
      <c r="AD65" s="70">
        <v>4103</v>
      </c>
      <c r="AE65" s="157">
        <v>3735</v>
      </c>
    </row>
    <row r="66" spans="1:32" ht="15" customHeight="1" thickBot="1" x14ac:dyDescent="0.3">
      <c r="A66" s="158">
        <v>75</v>
      </c>
      <c r="B66" s="18" t="s">
        <v>185</v>
      </c>
      <c r="C66" s="71">
        <v>15</v>
      </c>
      <c r="D66" s="71">
        <v>22</v>
      </c>
      <c r="E66" s="71">
        <v>22</v>
      </c>
      <c r="F66" s="71">
        <v>24</v>
      </c>
      <c r="G66" s="71">
        <v>25</v>
      </c>
      <c r="H66" s="71">
        <v>26</v>
      </c>
      <c r="I66" s="71">
        <v>28</v>
      </c>
      <c r="J66" s="71">
        <v>27</v>
      </c>
      <c r="K66" s="71">
        <v>28</v>
      </c>
      <c r="L66" s="71">
        <v>31</v>
      </c>
      <c r="M66" s="71">
        <v>33</v>
      </c>
      <c r="N66" s="71">
        <v>31</v>
      </c>
      <c r="O66" s="71">
        <v>31</v>
      </c>
      <c r="P66" s="71">
        <v>31</v>
      </c>
      <c r="Q66" s="71">
        <v>27</v>
      </c>
      <c r="R66" s="71">
        <v>26</v>
      </c>
      <c r="S66" s="71">
        <v>25</v>
      </c>
      <c r="T66" s="71">
        <v>26</v>
      </c>
      <c r="U66" s="71">
        <v>23</v>
      </c>
      <c r="V66" s="71">
        <v>20</v>
      </c>
      <c r="W66" s="71">
        <v>22</v>
      </c>
      <c r="X66" s="71">
        <v>18</v>
      </c>
      <c r="Y66" s="71">
        <v>18</v>
      </c>
      <c r="Z66" s="71">
        <v>15</v>
      </c>
      <c r="AA66" s="71">
        <v>13</v>
      </c>
      <c r="AB66" s="71">
        <v>14</v>
      </c>
      <c r="AC66" s="71">
        <v>13</v>
      </c>
      <c r="AD66" s="71">
        <v>14</v>
      </c>
      <c r="AE66" s="159">
        <v>13</v>
      </c>
    </row>
    <row r="67" spans="1:32" s="11" customFormat="1" ht="15" customHeight="1" thickBot="1" x14ac:dyDescent="0.3">
      <c r="A67" s="160" t="s">
        <v>83</v>
      </c>
      <c r="B67" s="19" t="s">
        <v>84</v>
      </c>
      <c r="C67" s="64">
        <v>668</v>
      </c>
      <c r="D67" s="64">
        <v>673</v>
      </c>
      <c r="E67" s="64">
        <v>678</v>
      </c>
      <c r="F67" s="64">
        <v>680</v>
      </c>
      <c r="G67" s="64">
        <v>641</v>
      </c>
      <c r="H67" s="64">
        <v>649</v>
      </c>
      <c r="I67" s="64">
        <v>634</v>
      </c>
      <c r="J67" s="64">
        <v>667</v>
      </c>
      <c r="K67" s="64">
        <v>706</v>
      </c>
      <c r="L67" s="64">
        <v>740</v>
      </c>
      <c r="M67" s="64">
        <v>781</v>
      </c>
      <c r="N67" s="64">
        <v>805</v>
      </c>
      <c r="O67" s="64">
        <v>845</v>
      </c>
      <c r="P67" s="64">
        <v>860</v>
      </c>
      <c r="Q67" s="64">
        <v>866</v>
      </c>
      <c r="R67" s="64">
        <v>883</v>
      </c>
      <c r="S67" s="64">
        <v>934</v>
      </c>
      <c r="T67" s="64">
        <v>954</v>
      </c>
      <c r="U67" s="64">
        <v>955</v>
      </c>
      <c r="V67" s="64">
        <v>941</v>
      </c>
      <c r="W67" s="64">
        <v>947</v>
      </c>
      <c r="X67" s="64">
        <v>953</v>
      </c>
      <c r="Y67" s="64">
        <v>937</v>
      </c>
      <c r="Z67" s="64">
        <v>920</v>
      </c>
      <c r="AA67" s="64">
        <v>876</v>
      </c>
      <c r="AB67" s="64">
        <v>866</v>
      </c>
      <c r="AC67" s="64">
        <v>915</v>
      </c>
      <c r="AD67" s="64">
        <v>933</v>
      </c>
      <c r="AE67" s="145">
        <v>890</v>
      </c>
      <c r="AF67" s="10"/>
    </row>
    <row r="68" spans="1:32" ht="15" customHeight="1" thickBot="1" x14ac:dyDescent="0.3">
      <c r="A68" s="150">
        <v>80</v>
      </c>
      <c r="B68" s="14" t="s">
        <v>85</v>
      </c>
      <c r="C68" s="70">
        <v>668</v>
      </c>
      <c r="D68" s="67">
        <v>673</v>
      </c>
      <c r="E68" s="67">
        <v>678</v>
      </c>
      <c r="F68" s="67">
        <v>680</v>
      </c>
      <c r="G68" s="67">
        <v>641</v>
      </c>
      <c r="H68" s="67">
        <v>649</v>
      </c>
      <c r="I68" s="67">
        <v>634</v>
      </c>
      <c r="J68" s="67">
        <v>667</v>
      </c>
      <c r="K68" s="67">
        <v>706</v>
      </c>
      <c r="L68" s="67">
        <v>740</v>
      </c>
      <c r="M68" s="67">
        <v>781</v>
      </c>
      <c r="N68" s="67">
        <v>805</v>
      </c>
      <c r="O68" s="67">
        <v>845</v>
      </c>
      <c r="P68" s="67">
        <v>860</v>
      </c>
      <c r="Q68" s="67">
        <v>866</v>
      </c>
      <c r="R68" s="67">
        <v>883</v>
      </c>
      <c r="S68" s="67">
        <v>934</v>
      </c>
      <c r="T68" s="67">
        <v>954</v>
      </c>
      <c r="U68" s="67">
        <v>955</v>
      </c>
      <c r="V68" s="67">
        <v>941</v>
      </c>
      <c r="W68" s="67">
        <v>947</v>
      </c>
      <c r="X68" s="67">
        <v>953</v>
      </c>
      <c r="Y68" s="67">
        <v>937</v>
      </c>
      <c r="Z68" s="67">
        <v>920</v>
      </c>
      <c r="AA68" s="67">
        <v>876</v>
      </c>
      <c r="AB68" s="67">
        <v>866</v>
      </c>
      <c r="AC68" s="67">
        <v>915</v>
      </c>
      <c r="AD68" s="67">
        <v>933</v>
      </c>
      <c r="AE68" s="151">
        <v>890</v>
      </c>
    </row>
    <row r="69" spans="1:32" s="11" customFormat="1" ht="15" customHeight="1" thickBot="1" x14ac:dyDescent="0.3">
      <c r="A69" s="144" t="s">
        <v>86</v>
      </c>
      <c r="B69" s="9" t="s">
        <v>87</v>
      </c>
      <c r="C69" s="64">
        <v>1465</v>
      </c>
      <c r="D69" s="64">
        <v>1477</v>
      </c>
      <c r="E69" s="64">
        <v>1537</v>
      </c>
      <c r="F69" s="64">
        <v>1510</v>
      </c>
      <c r="G69" s="64">
        <v>1524</v>
      </c>
      <c r="H69" s="64">
        <v>1526</v>
      </c>
      <c r="I69" s="64">
        <v>1469</v>
      </c>
      <c r="J69" s="64">
        <v>1539</v>
      </c>
      <c r="K69" s="64">
        <v>1708</v>
      </c>
      <c r="L69" s="64">
        <v>1846</v>
      </c>
      <c r="M69" s="64">
        <v>1941</v>
      </c>
      <c r="N69" s="64">
        <v>2067</v>
      </c>
      <c r="O69" s="64">
        <v>2197</v>
      </c>
      <c r="P69" s="64">
        <v>2286</v>
      </c>
      <c r="Q69" s="64">
        <v>2291</v>
      </c>
      <c r="R69" s="64">
        <v>2318</v>
      </c>
      <c r="S69" s="64">
        <v>2313</v>
      </c>
      <c r="T69" s="64">
        <v>2366</v>
      </c>
      <c r="U69" s="64">
        <v>2331</v>
      </c>
      <c r="V69" s="64">
        <v>2333</v>
      </c>
      <c r="W69" s="64">
        <v>2349</v>
      </c>
      <c r="X69" s="64">
        <v>2351</v>
      </c>
      <c r="Y69" s="64">
        <v>2306</v>
      </c>
      <c r="Z69" s="64">
        <v>2280</v>
      </c>
      <c r="AA69" s="64">
        <v>2179</v>
      </c>
      <c r="AB69" s="64">
        <v>2193</v>
      </c>
      <c r="AC69" s="64">
        <v>2251</v>
      </c>
      <c r="AD69" s="64">
        <v>2463</v>
      </c>
      <c r="AE69" s="145">
        <v>2272</v>
      </c>
      <c r="AF69" s="10"/>
    </row>
    <row r="70" spans="1:32" ht="15" customHeight="1" thickBot="1" x14ac:dyDescent="0.3">
      <c r="A70" s="150">
        <v>85</v>
      </c>
      <c r="B70" s="14" t="s">
        <v>88</v>
      </c>
      <c r="C70" s="67">
        <v>1465</v>
      </c>
      <c r="D70" s="67">
        <v>1477</v>
      </c>
      <c r="E70" s="67">
        <v>1537</v>
      </c>
      <c r="F70" s="67">
        <v>1510</v>
      </c>
      <c r="G70" s="67">
        <v>1524</v>
      </c>
      <c r="H70" s="67">
        <v>1526</v>
      </c>
      <c r="I70" s="67">
        <v>1469</v>
      </c>
      <c r="J70" s="67">
        <v>1539</v>
      </c>
      <c r="K70" s="67">
        <v>1708</v>
      </c>
      <c r="L70" s="67">
        <v>1846</v>
      </c>
      <c r="M70" s="67">
        <v>1941</v>
      </c>
      <c r="N70" s="67">
        <v>2067</v>
      </c>
      <c r="O70" s="67">
        <v>2197</v>
      </c>
      <c r="P70" s="67">
        <v>2286</v>
      </c>
      <c r="Q70" s="67">
        <v>2291</v>
      </c>
      <c r="R70" s="67">
        <v>2318</v>
      </c>
      <c r="S70" s="67">
        <v>2313</v>
      </c>
      <c r="T70" s="67">
        <v>2366</v>
      </c>
      <c r="U70" s="67">
        <v>2331</v>
      </c>
      <c r="V70" s="67">
        <v>2333</v>
      </c>
      <c r="W70" s="67">
        <v>2349</v>
      </c>
      <c r="X70" s="67">
        <v>2351</v>
      </c>
      <c r="Y70" s="67">
        <v>2306</v>
      </c>
      <c r="Z70" s="67">
        <v>2280</v>
      </c>
      <c r="AA70" s="67">
        <v>2179</v>
      </c>
      <c r="AB70" s="67">
        <v>2193</v>
      </c>
      <c r="AC70" s="67">
        <v>2251</v>
      </c>
      <c r="AD70" s="67">
        <v>2463</v>
      </c>
      <c r="AE70" s="151">
        <v>2272</v>
      </c>
    </row>
    <row r="71" spans="1:32" s="11" customFormat="1" ht="15" customHeight="1" thickBot="1" x14ac:dyDescent="0.3">
      <c r="A71" s="144" t="s">
        <v>89</v>
      </c>
      <c r="B71" s="9" t="s">
        <v>90</v>
      </c>
      <c r="C71" s="64">
        <v>3149</v>
      </c>
      <c r="D71" s="64">
        <v>3140</v>
      </c>
      <c r="E71" s="64">
        <v>3124</v>
      </c>
      <c r="F71" s="64">
        <v>3078</v>
      </c>
      <c r="G71" s="64">
        <v>3073</v>
      </c>
      <c r="H71" s="64">
        <v>3035</v>
      </c>
      <c r="I71" s="64">
        <v>2883</v>
      </c>
      <c r="J71" s="64">
        <v>3126</v>
      </c>
      <c r="K71" s="64">
        <v>3635</v>
      </c>
      <c r="L71" s="64">
        <v>3842</v>
      </c>
      <c r="M71" s="64">
        <v>4055</v>
      </c>
      <c r="N71" s="64">
        <v>4116</v>
      </c>
      <c r="O71" s="64">
        <v>4155</v>
      </c>
      <c r="P71" s="64">
        <v>4113</v>
      </c>
      <c r="Q71" s="64">
        <v>4045</v>
      </c>
      <c r="R71" s="64">
        <v>3948</v>
      </c>
      <c r="S71" s="64">
        <v>3878</v>
      </c>
      <c r="T71" s="64">
        <v>3796</v>
      </c>
      <c r="U71" s="64">
        <v>3753</v>
      </c>
      <c r="V71" s="64">
        <v>3677</v>
      </c>
      <c r="W71" s="64">
        <v>3629</v>
      </c>
      <c r="X71" s="64">
        <v>3551</v>
      </c>
      <c r="Y71" s="64">
        <v>3479</v>
      </c>
      <c r="Z71" s="64">
        <v>3321</v>
      </c>
      <c r="AA71" s="64">
        <v>3023</v>
      </c>
      <c r="AB71" s="64">
        <v>2915</v>
      </c>
      <c r="AC71" s="64">
        <v>3088</v>
      </c>
      <c r="AD71" s="64">
        <v>3186</v>
      </c>
      <c r="AE71" s="145">
        <v>2954</v>
      </c>
      <c r="AF71" s="10"/>
    </row>
    <row r="72" spans="1:32" ht="15" customHeight="1" x14ac:dyDescent="0.25">
      <c r="A72" s="146">
        <v>90</v>
      </c>
      <c r="B72" s="12" t="s">
        <v>91</v>
      </c>
      <c r="C72" s="65">
        <v>54</v>
      </c>
      <c r="D72" s="65">
        <v>46</v>
      </c>
      <c r="E72" s="65">
        <v>48</v>
      </c>
      <c r="F72" s="65">
        <v>43</v>
      </c>
      <c r="G72" s="65">
        <v>39</v>
      </c>
      <c r="H72" s="65">
        <v>35</v>
      </c>
      <c r="I72" s="65">
        <v>28</v>
      </c>
      <c r="J72" s="65">
        <v>34</v>
      </c>
      <c r="K72" s="65">
        <v>37</v>
      </c>
      <c r="L72" s="65">
        <v>39</v>
      </c>
      <c r="M72" s="65">
        <v>44</v>
      </c>
      <c r="N72" s="65">
        <v>45</v>
      </c>
      <c r="O72" s="65">
        <v>48</v>
      </c>
      <c r="P72" s="65">
        <v>49</v>
      </c>
      <c r="Q72" s="65">
        <v>49</v>
      </c>
      <c r="R72" s="65">
        <v>48</v>
      </c>
      <c r="S72" s="65">
        <v>44</v>
      </c>
      <c r="T72" s="65">
        <v>44</v>
      </c>
      <c r="U72" s="65">
        <v>45</v>
      </c>
      <c r="V72" s="65">
        <v>52</v>
      </c>
      <c r="W72" s="65">
        <v>53</v>
      </c>
      <c r="X72" s="65">
        <v>52</v>
      </c>
      <c r="Y72" s="65">
        <v>52</v>
      </c>
      <c r="Z72" s="65">
        <v>63</v>
      </c>
      <c r="AA72" s="65">
        <v>65</v>
      </c>
      <c r="AB72" s="65">
        <v>67</v>
      </c>
      <c r="AC72" s="65">
        <v>70</v>
      </c>
      <c r="AD72" s="65">
        <v>73</v>
      </c>
      <c r="AE72" s="147">
        <v>73</v>
      </c>
    </row>
    <row r="73" spans="1:32" ht="15" customHeight="1" x14ac:dyDescent="0.25">
      <c r="A73" s="156">
        <v>91</v>
      </c>
      <c r="B73" s="17" t="s">
        <v>92</v>
      </c>
      <c r="C73" s="70">
        <v>1465</v>
      </c>
      <c r="D73" s="70">
        <v>1463</v>
      </c>
      <c r="E73" s="70">
        <v>1438</v>
      </c>
      <c r="F73" s="70">
        <v>1451</v>
      </c>
      <c r="G73" s="70">
        <v>1449</v>
      </c>
      <c r="H73" s="70">
        <v>1460</v>
      </c>
      <c r="I73" s="70">
        <v>1438</v>
      </c>
      <c r="J73" s="70">
        <v>1473</v>
      </c>
      <c r="K73" s="70">
        <v>1497</v>
      </c>
      <c r="L73" s="70">
        <v>1545</v>
      </c>
      <c r="M73" s="70">
        <v>1557</v>
      </c>
      <c r="N73" s="70">
        <v>1582</v>
      </c>
      <c r="O73" s="70">
        <v>1595</v>
      </c>
      <c r="P73" s="70">
        <v>1593</v>
      </c>
      <c r="Q73" s="70">
        <v>1606</v>
      </c>
      <c r="R73" s="70">
        <v>1600</v>
      </c>
      <c r="S73" s="70">
        <v>1609</v>
      </c>
      <c r="T73" s="70">
        <v>1635</v>
      </c>
      <c r="U73" s="70">
        <v>1647</v>
      </c>
      <c r="V73" s="70">
        <v>1653</v>
      </c>
      <c r="W73" s="70">
        <v>1666</v>
      </c>
      <c r="X73" s="70">
        <v>1658</v>
      </c>
      <c r="Y73" s="70">
        <v>1652</v>
      </c>
      <c r="Z73" s="70">
        <v>1645</v>
      </c>
      <c r="AA73" s="70">
        <v>1622</v>
      </c>
      <c r="AB73" s="70">
        <v>1596</v>
      </c>
      <c r="AC73" s="70">
        <v>1607</v>
      </c>
      <c r="AD73" s="70">
        <v>1610</v>
      </c>
      <c r="AE73" s="157">
        <v>1571</v>
      </c>
    </row>
    <row r="74" spans="1:32" ht="15" customHeight="1" x14ac:dyDescent="0.25">
      <c r="A74" s="156">
        <v>92</v>
      </c>
      <c r="B74" s="17" t="s">
        <v>93</v>
      </c>
      <c r="C74" s="70">
        <v>408</v>
      </c>
      <c r="D74" s="70">
        <v>409</v>
      </c>
      <c r="E74" s="70">
        <v>388</v>
      </c>
      <c r="F74" s="70">
        <v>360</v>
      </c>
      <c r="G74" s="70">
        <v>366</v>
      </c>
      <c r="H74" s="70">
        <v>373</v>
      </c>
      <c r="I74" s="70">
        <v>357</v>
      </c>
      <c r="J74" s="70">
        <v>385</v>
      </c>
      <c r="K74" s="70">
        <v>463</v>
      </c>
      <c r="L74" s="70">
        <v>492</v>
      </c>
      <c r="M74" s="70">
        <v>555</v>
      </c>
      <c r="N74" s="70">
        <v>597</v>
      </c>
      <c r="O74" s="70">
        <v>603</v>
      </c>
      <c r="P74" s="70">
        <v>628</v>
      </c>
      <c r="Q74" s="70">
        <v>649</v>
      </c>
      <c r="R74" s="70">
        <v>632</v>
      </c>
      <c r="S74" s="70">
        <v>646</v>
      </c>
      <c r="T74" s="70">
        <v>671</v>
      </c>
      <c r="U74" s="70">
        <v>682</v>
      </c>
      <c r="V74" s="70">
        <v>655</v>
      </c>
      <c r="W74" s="70">
        <v>663</v>
      </c>
      <c r="X74" s="70">
        <v>661</v>
      </c>
      <c r="Y74" s="70">
        <v>671</v>
      </c>
      <c r="Z74" s="70">
        <v>643</v>
      </c>
      <c r="AA74" s="70">
        <v>563</v>
      </c>
      <c r="AB74" s="70">
        <v>565</v>
      </c>
      <c r="AC74" s="70">
        <v>662</v>
      </c>
      <c r="AD74" s="70">
        <v>693</v>
      </c>
      <c r="AE74" s="157">
        <v>647</v>
      </c>
    </row>
    <row r="75" spans="1:32" ht="15" customHeight="1" thickBot="1" x14ac:dyDescent="0.3">
      <c r="A75" s="158">
        <v>93</v>
      </c>
      <c r="B75" s="18" t="s">
        <v>94</v>
      </c>
      <c r="C75" s="76">
        <v>1222</v>
      </c>
      <c r="D75" s="76">
        <v>1222</v>
      </c>
      <c r="E75" s="76">
        <v>1250</v>
      </c>
      <c r="F75" s="76">
        <v>1224</v>
      </c>
      <c r="G75" s="76">
        <v>1219</v>
      </c>
      <c r="H75" s="76">
        <v>1167</v>
      </c>
      <c r="I75" s="76">
        <v>1060</v>
      </c>
      <c r="J75" s="76">
        <v>1234</v>
      </c>
      <c r="K75" s="76">
        <v>1638</v>
      </c>
      <c r="L75" s="76">
        <v>1766</v>
      </c>
      <c r="M75" s="76">
        <v>1899</v>
      </c>
      <c r="N75" s="76">
        <v>1892</v>
      </c>
      <c r="O75" s="76">
        <v>1909</v>
      </c>
      <c r="P75" s="76">
        <v>1843</v>
      </c>
      <c r="Q75" s="76">
        <v>1741</v>
      </c>
      <c r="R75" s="76">
        <v>1668</v>
      </c>
      <c r="S75" s="76">
        <v>1579</v>
      </c>
      <c r="T75" s="76">
        <v>1446</v>
      </c>
      <c r="U75" s="76">
        <v>1379</v>
      </c>
      <c r="V75" s="76">
        <v>1317</v>
      </c>
      <c r="W75" s="76">
        <v>1247</v>
      </c>
      <c r="X75" s="76">
        <v>1180</v>
      </c>
      <c r="Y75" s="76">
        <v>1104</v>
      </c>
      <c r="Z75" s="76">
        <v>970</v>
      </c>
      <c r="AA75" s="76">
        <v>773</v>
      </c>
      <c r="AB75" s="76">
        <v>687</v>
      </c>
      <c r="AC75" s="76">
        <v>749</v>
      </c>
      <c r="AD75" s="76">
        <v>810</v>
      </c>
      <c r="AE75" s="165">
        <v>663</v>
      </c>
    </row>
    <row r="76" spans="1:32" s="23" customFormat="1" ht="15" customHeight="1" thickBot="1" x14ac:dyDescent="0.3">
      <c r="A76" s="166"/>
      <c r="B76" s="167" t="s">
        <v>95</v>
      </c>
      <c r="C76" s="168">
        <v>38623</v>
      </c>
      <c r="D76" s="168">
        <v>39230</v>
      </c>
      <c r="E76" s="168">
        <v>39505</v>
      </c>
      <c r="F76" s="168">
        <v>38978</v>
      </c>
      <c r="G76" s="168">
        <v>39044</v>
      </c>
      <c r="H76" s="168">
        <v>38481</v>
      </c>
      <c r="I76" s="168">
        <v>37024</v>
      </c>
      <c r="J76" s="168">
        <v>41077</v>
      </c>
      <c r="K76" s="168">
        <v>46810</v>
      </c>
      <c r="L76" s="168">
        <v>50762</v>
      </c>
      <c r="M76" s="168">
        <v>54631</v>
      </c>
      <c r="N76" s="168">
        <v>57882</v>
      </c>
      <c r="O76" s="168">
        <v>60587</v>
      </c>
      <c r="P76" s="168">
        <v>60992</v>
      </c>
      <c r="Q76" s="168">
        <v>61367</v>
      </c>
      <c r="R76" s="168">
        <v>62237</v>
      </c>
      <c r="S76" s="168">
        <v>62164</v>
      </c>
      <c r="T76" s="168">
        <v>61531</v>
      </c>
      <c r="U76" s="168">
        <v>60731</v>
      </c>
      <c r="V76" s="168">
        <v>60184</v>
      </c>
      <c r="W76" s="168">
        <v>60113</v>
      </c>
      <c r="X76" s="168">
        <v>60018</v>
      </c>
      <c r="Y76" s="168">
        <v>59226</v>
      </c>
      <c r="Z76" s="168">
        <v>57532</v>
      </c>
      <c r="AA76" s="168">
        <v>54402</v>
      </c>
      <c r="AB76" s="168">
        <v>54504</v>
      </c>
      <c r="AC76" s="168">
        <v>57121</v>
      </c>
      <c r="AD76" s="168">
        <v>58274</v>
      </c>
      <c r="AE76" s="169">
        <v>55365</v>
      </c>
      <c r="AF76" s="22"/>
    </row>
    <row r="77" spans="1:32" ht="12" customHeight="1" x14ac:dyDescent="0.25">
      <c r="A77" s="7"/>
      <c r="B77" s="7"/>
      <c r="C77" s="7"/>
      <c r="D77" s="7"/>
      <c r="E77" s="24"/>
      <c r="F77" s="7"/>
      <c r="G77" s="25"/>
      <c r="H77" s="7"/>
      <c r="I77" s="7"/>
      <c r="J77" s="7"/>
      <c r="K77" s="7"/>
      <c r="L77" s="7"/>
      <c r="M77" s="7"/>
      <c r="N77" s="7"/>
      <c r="O77" s="7"/>
      <c r="P77" s="7"/>
      <c r="Q77" s="7"/>
      <c r="R77" s="7"/>
      <c r="S77" s="7"/>
      <c r="T77" s="7"/>
      <c r="U77" s="7"/>
      <c r="V77" s="7"/>
      <c r="W77" s="7"/>
      <c r="X77" s="7"/>
      <c r="Y77" s="7"/>
      <c r="Z77" s="7"/>
      <c r="AA77" s="7"/>
      <c r="AB77" s="7"/>
      <c r="AC77" s="7"/>
      <c r="AD77" s="7"/>
      <c r="AE77" s="7"/>
    </row>
    <row r="78" spans="1:32" ht="11.25" x14ac:dyDescent="0.25">
      <c r="A78" s="307" t="s">
        <v>96</v>
      </c>
      <c r="B78" s="307"/>
      <c r="C78" s="277"/>
      <c r="D78" s="277"/>
      <c r="E78" s="277"/>
      <c r="F78" s="26"/>
      <c r="G78" s="26"/>
      <c r="H78" s="7"/>
      <c r="I78" s="7"/>
      <c r="J78" s="7"/>
      <c r="K78" s="7"/>
      <c r="L78" s="7"/>
      <c r="M78" s="7"/>
      <c r="N78" s="7"/>
      <c r="O78" s="7"/>
      <c r="P78" s="7"/>
      <c r="Q78" s="7"/>
      <c r="R78" s="7"/>
      <c r="S78" s="7"/>
      <c r="T78" s="7"/>
      <c r="U78" s="7"/>
      <c r="V78" s="7"/>
      <c r="W78" s="7"/>
      <c r="X78" s="7"/>
      <c r="Y78" s="7"/>
      <c r="Z78" s="7"/>
      <c r="AA78" s="7"/>
      <c r="AB78" s="7"/>
      <c r="AC78" s="7"/>
      <c r="AD78" s="7"/>
      <c r="AE78" s="7"/>
    </row>
    <row r="79" spans="1:32" ht="26.45" customHeight="1" x14ac:dyDescent="0.25">
      <c r="A79" s="307" t="s">
        <v>381</v>
      </c>
      <c r="B79" s="307"/>
      <c r="C79" s="307"/>
      <c r="D79" s="277"/>
      <c r="E79" s="277"/>
      <c r="F79" s="277"/>
      <c r="G79" s="277"/>
      <c r="H79" s="27"/>
      <c r="I79" s="27"/>
      <c r="J79" s="27"/>
      <c r="K79" s="27"/>
      <c r="L79" s="7"/>
      <c r="M79" s="7"/>
      <c r="N79" s="7"/>
      <c r="O79" s="7"/>
      <c r="P79" s="7"/>
      <c r="Q79" s="7"/>
      <c r="R79" s="7"/>
      <c r="S79" s="7"/>
      <c r="T79" s="7"/>
      <c r="U79" s="7"/>
      <c r="V79" s="7"/>
      <c r="W79" s="7"/>
      <c r="X79" s="7"/>
      <c r="Y79" s="7"/>
      <c r="Z79" s="7"/>
      <c r="AA79" s="7"/>
      <c r="AB79" s="7"/>
      <c r="AC79" s="7"/>
      <c r="AD79" s="7"/>
      <c r="AE79" s="7"/>
    </row>
    <row r="80" spans="1:32" ht="26.45" customHeight="1" x14ac:dyDescent="0.25">
      <c r="A80" s="307" t="s">
        <v>382</v>
      </c>
      <c r="B80" s="307"/>
      <c r="C80" s="307"/>
      <c r="D80" s="277"/>
      <c r="E80" s="277"/>
      <c r="F80" s="277"/>
      <c r="G80" s="277"/>
      <c r="H80" s="27"/>
      <c r="I80" s="27"/>
      <c r="J80" s="27"/>
      <c r="K80" s="27"/>
      <c r="L80" s="7"/>
      <c r="M80" s="7"/>
      <c r="N80" s="7"/>
      <c r="O80" s="7"/>
      <c r="P80" s="7"/>
      <c r="Q80" s="7"/>
      <c r="R80" s="7"/>
      <c r="S80" s="7"/>
      <c r="T80" s="7"/>
      <c r="U80" s="7"/>
      <c r="V80" s="7"/>
      <c r="W80" s="7"/>
      <c r="X80" s="7"/>
      <c r="Y80" s="7"/>
      <c r="Z80" s="7"/>
      <c r="AA80" s="7"/>
      <c r="AB80" s="7"/>
      <c r="AC80" s="7"/>
      <c r="AD80" s="7"/>
      <c r="AE80" s="7"/>
    </row>
    <row r="81" spans="1:32" ht="26.45" customHeight="1" x14ac:dyDescent="0.25">
      <c r="A81" s="307" t="s">
        <v>151</v>
      </c>
      <c r="B81" s="307"/>
      <c r="C81" s="307"/>
      <c r="D81" s="277"/>
      <c r="E81" s="277"/>
      <c r="F81" s="277"/>
      <c r="G81" s="277"/>
      <c r="H81" s="27"/>
      <c r="I81" s="27"/>
      <c r="J81" s="27"/>
      <c r="K81" s="27"/>
      <c r="L81" s="7"/>
      <c r="M81" s="7"/>
      <c r="N81" s="7"/>
      <c r="O81" s="7"/>
      <c r="P81" s="7"/>
      <c r="Q81" s="7"/>
      <c r="R81" s="7"/>
      <c r="S81" s="7"/>
      <c r="T81" s="7"/>
      <c r="U81" s="7"/>
      <c r="V81" s="7"/>
      <c r="W81" s="7"/>
      <c r="X81" s="7"/>
      <c r="Y81" s="7"/>
      <c r="Z81" s="7"/>
      <c r="AA81" s="7"/>
      <c r="AB81" s="7"/>
      <c r="AC81" s="7"/>
      <c r="AD81" s="7"/>
      <c r="AE81" s="7"/>
    </row>
    <row r="82" spans="1:32" ht="46.5" customHeight="1" x14ac:dyDescent="0.25">
      <c r="A82" s="307" t="s">
        <v>384</v>
      </c>
      <c r="B82" s="307"/>
      <c r="C82" s="307"/>
      <c r="D82" s="307"/>
      <c r="E82" s="307"/>
      <c r="F82" s="307"/>
      <c r="G82" s="307"/>
      <c r="H82" s="28"/>
      <c r="I82" s="28"/>
      <c r="J82" s="28"/>
      <c r="K82" s="29"/>
      <c r="L82" s="29"/>
      <c r="M82" s="29"/>
      <c r="N82" s="29"/>
      <c r="O82" s="29"/>
      <c r="P82" s="29"/>
      <c r="Q82" s="29"/>
      <c r="R82" s="29"/>
      <c r="S82" s="29"/>
      <c r="T82" s="29"/>
      <c r="U82" s="29"/>
      <c r="V82" s="29"/>
      <c r="W82" s="29"/>
      <c r="X82" s="29"/>
      <c r="Y82" s="29"/>
      <c r="Z82" s="29"/>
      <c r="AA82" s="29"/>
      <c r="AB82" s="29"/>
      <c r="AC82" s="29"/>
      <c r="AD82" s="29"/>
      <c r="AE82" s="29"/>
      <c r="AF82" s="29"/>
    </row>
    <row r="83" spans="1:32" ht="19.899999999999999" customHeight="1" x14ac:dyDescent="0.25">
      <c r="A83" s="276"/>
      <c r="B83" s="276"/>
      <c r="C83" s="276"/>
      <c r="D83" s="276"/>
      <c r="E83" s="276"/>
      <c r="F83" s="276"/>
      <c r="G83" s="276"/>
      <c r="H83" s="28"/>
      <c r="I83" s="28"/>
      <c r="J83" s="28"/>
      <c r="K83" s="7"/>
      <c r="L83" s="7"/>
      <c r="M83" s="7"/>
      <c r="N83" s="7"/>
      <c r="O83" s="7"/>
      <c r="P83" s="7"/>
      <c r="Q83" s="7"/>
      <c r="R83" s="7"/>
      <c r="S83" s="7"/>
      <c r="T83" s="7"/>
      <c r="U83" s="7"/>
      <c r="V83" s="7"/>
      <c r="W83" s="7"/>
      <c r="X83" s="7"/>
      <c r="Y83" s="7"/>
      <c r="Z83" s="7"/>
      <c r="AA83" s="7"/>
      <c r="AB83" s="7"/>
      <c r="AC83" s="7"/>
      <c r="AD83" s="7"/>
      <c r="AE83" s="7"/>
    </row>
    <row r="84" spans="1:32" ht="6.75" customHeight="1" x14ac:dyDescent="0.25">
      <c r="A84" s="7"/>
      <c r="B84" s="7"/>
      <c r="C84" s="7"/>
      <c r="D84" s="7"/>
      <c r="E84" s="7"/>
      <c r="F84" s="7"/>
      <c r="G84" s="7"/>
      <c r="H84" s="7"/>
      <c r="I84" s="7"/>
      <c r="J84" s="7"/>
      <c r="K84" s="7"/>
      <c r="L84" s="7"/>
      <c r="M84" s="7"/>
      <c r="N84" s="7"/>
      <c r="O84" s="7"/>
      <c r="P84" s="7"/>
      <c r="Q84" s="7"/>
      <c r="R84" s="7"/>
      <c r="S84" s="7"/>
      <c r="T84" s="7"/>
      <c r="U84" s="7"/>
      <c r="V84" s="7"/>
      <c r="W84" s="7"/>
      <c r="X84" s="7"/>
      <c r="Y84" s="7"/>
      <c r="Z84" s="7"/>
      <c r="AA84" s="7"/>
      <c r="AB84" s="7"/>
      <c r="AC84" s="7"/>
      <c r="AD84" s="7"/>
      <c r="AE84" s="7"/>
    </row>
    <row r="85" spans="1:32" ht="0" hidden="1" customHeight="1" x14ac:dyDescent="0.25"/>
    <row r="86" spans="1:32" ht="0" hidden="1" customHeight="1" x14ac:dyDescent="0.25"/>
    <row r="87" spans="1:32" ht="0" hidden="1" customHeight="1" x14ac:dyDescent="0.25"/>
    <row r="88" spans="1:32" ht="0" hidden="1" customHeight="1" x14ac:dyDescent="0.25"/>
    <row r="89" spans="1:32" ht="0" hidden="1" customHeight="1" x14ac:dyDescent="0.25"/>
    <row r="90" spans="1:32" ht="0" hidden="1" customHeight="1" x14ac:dyDescent="0.25"/>
    <row r="91" spans="1:32" ht="0" hidden="1" customHeight="1" x14ac:dyDescent="0.25"/>
    <row r="92" spans="1:32" ht="0" hidden="1" customHeight="1" x14ac:dyDescent="0.25"/>
    <row r="93" spans="1:32" ht="0" hidden="1" customHeight="1" x14ac:dyDescent="0.25"/>
    <row r="94" spans="1:32" ht="0" hidden="1" customHeight="1" x14ac:dyDescent="0.25"/>
  </sheetData>
  <mergeCells count="37">
    <mergeCell ref="A2:C2"/>
    <mergeCell ref="B4:B5"/>
    <mergeCell ref="C4:C5"/>
    <mergeCell ref="D4:D5"/>
    <mergeCell ref="E4:E5"/>
    <mergeCell ref="A82:G82"/>
    <mergeCell ref="AE4:AE5"/>
    <mergeCell ref="A4:A5"/>
    <mergeCell ref="F4:F5"/>
    <mergeCell ref="O4:O5"/>
    <mergeCell ref="P4:P5"/>
    <mergeCell ref="W4:W5"/>
    <mergeCell ref="X4:X5"/>
    <mergeCell ref="S4:S5"/>
    <mergeCell ref="T4:T5"/>
    <mergeCell ref="U4:U5"/>
    <mergeCell ref="J4:J5"/>
    <mergeCell ref="Q4:Q5"/>
    <mergeCell ref="AA4:AA5"/>
    <mergeCell ref="Z4:Z5"/>
    <mergeCell ref="Y4:Y5"/>
    <mergeCell ref="AD4:AD5"/>
    <mergeCell ref="A79:C79"/>
    <mergeCell ref="A80:C80"/>
    <mergeCell ref="A81:C81"/>
    <mergeCell ref="A78:B78"/>
    <mergeCell ref="R4:R5"/>
    <mergeCell ref="AC4:AC5"/>
    <mergeCell ref="AB4:AB5"/>
    <mergeCell ref="G4:G5"/>
    <mergeCell ref="H4:H5"/>
    <mergeCell ref="I4:I5"/>
    <mergeCell ref="K4:K5"/>
    <mergeCell ref="L4:L5"/>
    <mergeCell ref="M4:M5"/>
    <mergeCell ref="N4:N5"/>
    <mergeCell ref="V4:V5"/>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9"/>
  <dimension ref="A1:DW94"/>
  <sheetViews>
    <sheetView zoomScale="115" zoomScaleNormal="115" workbookViewId="0">
      <pane xSplit="2" ySplit="5" topLeftCell="C66" activePane="bottomRight" state="frozen"/>
      <selection activeCell="C6" sqref="C6"/>
      <selection pane="topRight" activeCell="C6" sqref="C6"/>
      <selection pane="bottomLeft" activeCell="C6" sqref="C6"/>
      <selection pane="bottomRight" activeCell="C6" sqref="C6"/>
    </sheetView>
  </sheetViews>
  <sheetFormatPr baseColWidth="10" defaultColWidth="0" defaultRowHeight="0" customHeight="1" zeroHeight="1" x14ac:dyDescent="0.25"/>
  <cols>
    <col min="1" max="1" width="5.7109375" style="8" customWidth="1"/>
    <col min="2" max="2" width="62.7109375" style="8" customWidth="1"/>
    <col min="3" max="4" width="11.140625" style="30" customWidth="1"/>
    <col min="5" max="6" width="11.140625" style="8" customWidth="1"/>
    <col min="7" max="7" width="11.140625" style="31" customWidth="1"/>
    <col min="8" max="31" width="11.140625" style="8" customWidth="1"/>
    <col min="32" max="32" width="6.42578125" style="7" customWidth="1"/>
    <col min="33" max="127" width="0" style="8" hidden="1" customWidth="1"/>
    <col min="128" max="16384" width="6.42578125" style="8" hidden="1"/>
  </cols>
  <sheetData>
    <row r="1" spans="1:32" s="5" customFormat="1" ht="25.5" customHeight="1" thickBot="1" x14ac:dyDescent="0.25">
      <c r="A1" s="1"/>
      <c r="B1" s="2"/>
      <c r="C1" s="3"/>
      <c r="D1" s="172" t="s">
        <v>0</v>
      </c>
      <c r="E1" s="171"/>
      <c r="F1" s="171"/>
      <c r="G1" s="173"/>
      <c r="H1" s="171"/>
      <c r="I1" s="171"/>
      <c r="J1" s="171"/>
      <c r="K1" s="171"/>
      <c r="L1" s="171"/>
      <c r="M1" s="171"/>
      <c r="N1" s="171"/>
      <c r="O1" s="171"/>
      <c r="P1" s="171"/>
      <c r="Q1" s="171"/>
      <c r="R1" s="171"/>
      <c r="S1" s="171"/>
      <c r="T1" s="171"/>
      <c r="U1" s="171"/>
      <c r="V1" s="171"/>
      <c r="W1" s="171"/>
      <c r="X1" s="171"/>
      <c r="Y1" s="171"/>
      <c r="Z1" s="171"/>
      <c r="AA1" s="171"/>
      <c r="AB1" s="171"/>
      <c r="AC1" s="171"/>
      <c r="AD1" s="171"/>
      <c r="AE1" s="171"/>
      <c r="AF1" s="2"/>
    </row>
    <row r="2" spans="1:32" ht="22.5" customHeight="1" thickBot="1" x14ac:dyDescent="0.3">
      <c r="A2" s="303" t="s">
        <v>117</v>
      </c>
      <c r="B2" s="304"/>
      <c r="C2" s="304"/>
      <c r="D2" s="140"/>
      <c r="E2" s="140"/>
      <c r="F2" s="140"/>
      <c r="G2" s="140"/>
      <c r="H2" s="140"/>
      <c r="I2" s="140"/>
      <c r="J2" s="140"/>
      <c r="K2" s="140"/>
      <c r="L2" s="140"/>
      <c r="M2" s="140"/>
      <c r="N2" s="140"/>
      <c r="O2" s="140"/>
      <c r="P2" s="140"/>
      <c r="Q2" s="140"/>
      <c r="R2" s="140"/>
      <c r="S2" s="140"/>
      <c r="T2" s="140"/>
      <c r="U2" s="140"/>
      <c r="V2" s="140"/>
      <c r="W2" s="140"/>
      <c r="X2" s="140"/>
      <c r="Y2" s="140"/>
      <c r="Z2" s="140"/>
      <c r="AA2" s="140"/>
      <c r="AB2" s="140"/>
      <c r="AC2" s="140"/>
      <c r="AD2" s="140"/>
      <c r="AE2" s="141"/>
    </row>
    <row r="3" spans="1:32" ht="16.5" customHeight="1" thickBot="1" x14ac:dyDescent="0.25">
      <c r="A3" s="142" t="s">
        <v>299</v>
      </c>
      <c r="B3" s="57"/>
      <c r="C3" s="57"/>
      <c r="D3" s="58"/>
      <c r="E3" s="58"/>
      <c r="F3" s="58"/>
      <c r="G3" s="58"/>
      <c r="H3" s="59"/>
      <c r="I3" s="59"/>
      <c r="J3" s="59"/>
      <c r="K3" s="59"/>
      <c r="L3" s="59"/>
      <c r="M3" s="59"/>
      <c r="N3" s="59"/>
      <c r="O3" s="59"/>
      <c r="P3" s="59"/>
      <c r="Q3" s="59"/>
      <c r="R3" s="59"/>
      <c r="S3" s="59"/>
      <c r="T3" s="59"/>
      <c r="U3" s="59"/>
      <c r="V3" s="59"/>
      <c r="W3" s="59"/>
      <c r="X3" s="59"/>
      <c r="Y3" s="59"/>
      <c r="Z3" s="59"/>
      <c r="AA3" s="59"/>
      <c r="AB3" s="59"/>
      <c r="AC3" s="59"/>
      <c r="AD3" s="59"/>
      <c r="AE3" s="143"/>
    </row>
    <row r="4" spans="1:32" ht="15.75" customHeight="1" x14ac:dyDescent="0.25">
      <c r="A4" s="310"/>
      <c r="B4" s="308" t="s">
        <v>2</v>
      </c>
      <c r="C4" s="301">
        <v>1996</v>
      </c>
      <c r="D4" s="301">
        <v>1997</v>
      </c>
      <c r="E4" s="301">
        <v>1998</v>
      </c>
      <c r="F4" s="301">
        <v>1999</v>
      </c>
      <c r="G4" s="301">
        <v>2000</v>
      </c>
      <c r="H4" s="301">
        <v>2001</v>
      </c>
      <c r="I4" s="301">
        <v>2002</v>
      </c>
      <c r="J4" s="301">
        <v>2003</v>
      </c>
      <c r="K4" s="301">
        <v>2004</v>
      </c>
      <c r="L4" s="301">
        <v>2005</v>
      </c>
      <c r="M4" s="301">
        <v>2006</v>
      </c>
      <c r="N4" s="301">
        <v>2007</v>
      </c>
      <c r="O4" s="301">
        <v>2008</v>
      </c>
      <c r="P4" s="301">
        <v>2009</v>
      </c>
      <c r="Q4" s="301">
        <v>2010</v>
      </c>
      <c r="R4" s="301">
        <v>2011</v>
      </c>
      <c r="S4" s="301">
        <v>2012</v>
      </c>
      <c r="T4" s="301">
        <v>2013</v>
      </c>
      <c r="U4" s="301">
        <v>2014</v>
      </c>
      <c r="V4" s="301">
        <v>2015</v>
      </c>
      <c r="W4" s="301">
        <v>2016</v>
      </c>
      <c r="X4" s="301">
        <v>2017</v>
      </c>
      <c r="Y4" s="301">
        <v>2018</v>
      </c>
      <c r="Z4" s="301">
        <v>2019</v>
      </c>
      <c r="AA4" s="301">
        <v>2020</v>
      </c>
      <c r="AB4" s="301">
        <v>2021</v>
      </c>
      <c r="AC4" s="301">
        <v>2022</v>
      </c>
      <c r="AD4" s="301">
        <v>2023</v>
      </c>
      <c r="AE4" s="299">
        <v>2024</v>
      </c>
    </row>
    <row r="5" spans="1:32" ht="15.75" customHeight="1" thickBot="1" x14ac:dyDescent="0.3">
      <c r="A5" s="311"/>
      <c r="B5" s="309"/>
      <c r="C5" s="302"/>
      <c r="D5" s="302" t="s">
        <v>3</v>
      </c>
      <c r="E5" s="302"/>
      <c r="F5" s="302" t="s">
        <v>4</v>
      </c>
      <c r="G5" s="302"/>
      <c r="H5" s="302" t="s">
        <v>5</v>
      </c>
      <c r="I5" s="302"/>
      <c r="J5" s="302" t="s">
        <v>6</v>
      </c>
      <c r="K5" s="302"/>
      <c r="L5" s="302" t="s">
        <v>7</v>
      </c>
      <c r="M5" s="302"/>
      <c r="N5" s="302" t="s">
        <v>8</v>
      </c>
      <c r="O5" s="302"/>
      <c r="P5" s="302" t="s">
        <v>9</v>
      </c>
      <c r="Q5" s="302"/>
      <c r="R5" s="302" t="s">
        <v>10</v>
      </c>
      <c r="S5" s="302"/>
      <c r="T5" s="302"/>
      <c r="U5" s="302"/>
      <c r="V5" s="302"/>
      <c r="W5" s="302"/>
      <c r="X5" s="302"/>
      <c r="Y5" s="302"/>
      <c r="Z5" s="302"/>
      <c r="AA5" s="302"/>
      <c r="AB5" s="302"/>
      <c r="AC5" s="302"/>
      <c r="AD5" s="302"/>
      <c r="AE5" s="300"/>
    </row>
    <row r="6" spans="1:32" s="11" customFormat="1" ht="15" customHeight="1" thickBot="1" x14ac:dyDescent="0.3">
      <c r="A6" s="144" t="s">
        <v>11</v>
      </c>
      <c r="B6" s="9" t="s">
        <v>12</v>
      </c>
      <c r="C6" s="64">
        <v>1669</v>
      </c>
      <c r="D6" s="64">
        <v>1587</v>
      </c>
      <c r="E6" s="64">
        <v>1620</v>
      </c>
      <c r="F6" s="64">
        <v>1648</v>
      </c>
      <c r="G6" s="64">
        <v>1519</v>
      </c>
      <c r="H6" s="64">
        <v>1477</v>
      </c>
      <c r="I6" s="64">
        <v>1442</v>
      </c>
      <c r="J6" s="64">
        <v>1478</v>
      </c>
      <c r="K6" s="64">
        <v>1588</v>
      </c>
      <c r="L6" s="64">
        <v>1755</v>
      </c>
      <c r="M6" s="64">
        <v>1796</v>
      </c>
      <c r="N6" s="64">
        <v>1839</v>
      </c>
      <c r="O6" s="64">
        <v>1962</v>
      </c>
      <c r="P6" s="64">
        <v>1967</v>
      </c>
      <c r="Q6" s="64">
        <v>1984</v>
      </c>
      <c r="R6" s="64">
        <v>2033</v>
      </c>
      <c r="S6" s="64">
        <v>2042</v>
      </c>
      <c r="T6" s="64">
        <v>2037</v>
      </c>
      <c r="U6" s="64">
        <v>2027</v>
      </c>
      <c r="V6" s="64">
        <v>2018</v>
      </c>
      <c r="W6" s="64">
        <v>2021</v>
      </c>
      <c r="X6" s="64">
        <v>1986</v>
      </c>
      <c r="Y6" s="64">
        <v>1976</v>
      </c>
      <c r="Z6" s="64">
        <v>1949</v>
      </c>
      <c r="AA6" s="64">
        <v>1934</v>
      </c>
      <c r="AB6" s="64">
        <v>1956</v>
      </c>
      <c r="AC6" s="64">
        <v>2041</v>
      </c>
      <c r="AD6" s="64">
        <v>1990</v>
      </c>
      <c r="AE6" s="145">
        <v>1903</v>
      </c>
      <c r="AF6" s="10"/>
    </row>
    <row r="7" spans="1:32" ht="15" customHeight="1" x14ac:dyDescent="0.25">
      <c r="A7" s="146">
        <v>1</v>
      </c>
      <c r="B7" s="12" t="s">
        <v>13</v>
      </c>
      <c r="C7" s="68">
        <v>1623</v>
      </c>
      <c r="D7" s="68">
        <v>1538</v>
      </c>
      <c r="E7" s="68">
        <v>1570</v>
      </c>
      <c r="F7" s="68">
        <v>1592</v>
      </c>
      <c r="G7" s="68">
        <v>1461</v>
      </c>
      <c r="H7" s="68">
        <v>1417</v>
      </c>
      <c r="I7" s="68">
        <v>1379</v>
      </c>
      <c r="J7" s="68">
        <v>1411</v>
      </c>
      <c r="K7" s="68">
        <v>1510</v>
      </c>
      <c r="L7" s="68">
        <v>1655</v>
      </c>
      <c r="M7" s="68">
        <v>1688</v>
      </c>
      <c r="N7" s="68">
        <v>1723</v>
      </c>
      <c r="O7" s="68">
        <v>1840</v>
      </c>
      <c r="P7" s="68">
        <v>1838</v>
      </c>
      <c r="Q7" s="68">
        <v>1858</v>
      </c>
      <c r="R7" s="68">
        <v>1909</v>
      </c>
      <c r="S7" s="68">
        <v>1918</v>
      </c>
      <c r="T7" s="68">
        <v>1906</v>
      </c>
      <c r="U7" s="68">
        <v>1902</v>
      </c>
      <c r="V7" s="68">
        <v>1892</v>
      </c>
      <c r="W7" s="68">
        <v>1889</v>
      </c>
      <c r="X7" s="68">
        <v>1855</v>
      </c>
      <c r="Y7" s="68">
        <v>1852</v>
      </c>
      <c r="Z7" s="68">
        <v>1833</v>
      </c>
      <c r="AA7" s="68">
        <v>1816</v>
      </c>
      <c r="AB7" s="68">
        <v>1822</v>
      </c>
      <c r="AC7" s="68">
        <v>1893</v>
      </c>
      <c r="AD7" s="68">
        <v>1848</v>
      </c>
      <c r="AE7" s="147">
        <v>1772</v>
      </c>
    </row>
    <row r="8" spans="1:32" ht="15" customHeight="1" thickBot="1" x14ac:dyDescent="0.3">
      <c r="A8" s="148">
        <v>2</v>
      </c>
      <c r="B8" s="13" t="s">
        <v>14</v>
      </c>
      <c r="C8" s="69">
        <v>46</v>
      </c>
      <c r="D8" s="69">
        <v>49</v>
      </c>
      <c r="E8" s="69">
        <v>50</v>
      </c>
      <c r="F8" s="69">
        <v>56</v>
      </c>
      <c r="G8" s="69">
        <v>58</v>
      </c>
      <c r="H8" s="69">
        <v>60</v>
      </c>
      <c r="I8" s="69">
        <v>63</v>
      </c>
      <c r="J8" s="69">
        <v>67</v>
      </c>
      <c r="K8" s="69">
        <v>78</v>
      </c>
      <c r="L8" s="69">
        <v>100</v>
      </c>
      <c r="M8" s="69">
        <v>108</v>
      </c>
      <c r="N8" s="69">
        <v>116</v>
      </c>
      <c r="O8" s="69">
        <v>122</v>
      </c>
      <c r="P8" s="69">
        <v>129</v>
      </c>
      <c r="Q8" s="69">
        <v>126</v>
      </c>
      <c r="R8" s="69">
        <v>124</v>
      </c>
      <c r="S8" s="69">
        <v>124</v>
      </c>
      <c r="T8" s="69">
        <v>131</v>
      </c>
      <c r="U8" s="69">
        <v>125</v>
      </c>
      <c r="V8" s="69">
        <v>126</v>
      </c>
      <c r="W8" s="69">
        <v>132</v>
      </c>
      <c r="X8" s="69">
        <v>131</v>
      </c>
      <c r="Y8" s="69">
        <v>124</v>
      </c>
      <c r="Z8" s="69">
        <v>116</v>
      </c>
      <c r="AA8" s="69">
        <v>118</v>
      </c>
      <c r="AB8" s="69">
        <v>134</v>
      </c>
      <c r="AC8" s="69">
        <v>148</v>
      </c>
      <c r="AD8" s="69">
        <v>142</v>
      </c>
      <c r="AE8" s="149">
        <v>131</v>
      </c>
    </row>
    <row r="9" spans="1:32" s="11" customFormat="1" ht="15" customHeight="1" thickBot="1" x14ac:dyDescent="0.3">
      <c r="A9" s="144" t="s">
        <v>15</v>
      </c>
      <c r="B9" s="9" t="s">
        <v>16</v>
      </c>
      <c r="C9" s="64">
        <v>4</v>
      </c>
      <c r="D9" s="64">
        <v>6</v>
      </c>
      <c r="E9" s="64" t="s">
        <v>383</v>
      </c>
      <c r="F9" s="64" t="s">
        <v>383</v>
      </c>
      <c r="G9" s="64" t="s">
        <v>383</v>
      </c>
      <c r="H9" s="64" t="s">
        <v>383</v>
      </c>
      <c r="I9" s="64" t="s">
        <v>383</v>
      </c>
      <c r="J9" s="64" t="s">
        <v>383</v>
      </c>
      <c r="K9" s="64" t="s">
        <v>383</v>
      </c>
      <c r="L9" s="64">
        <v>4</v>
      </c>
      <c r="M9" s="64">
        <v>7</v>
      </c>
      <c r="N9" s="64">
        <v>8</v>
      </c>
      <c r="O9" s="64">
        <v>7</v>
      </c>
      <c r="P9" s="64">
        <v>7</v>
      </c>
      <c r="Q9" s="64">
        <v>7</v>
      </c>
      <c r="R9" s="64">
        <v>5</v>
      </c>
      <c r="S9" s="64">
        <v>5</v>
      </c>
      <c r="T9" s="64">
        <v>4</v>
      </c>
      <c r="U9" s="64">
        <v>4</v>
      </c>
      <c r="V9" s="64" t="s">
        <v>383</v>
      </c>
      <c r="W9" s="64">
        <v>6</v>
      </c>
      <c r="X9" s="64">
        <v>6</v>
      </c>
      <c r="Y9" s="64">
        <v>5</v>
      </c>
      <c r="Z9" s="64">
        <v>5</v>
      </c>
      <c r="AA9" s="64">
        <v>5</v>
      </c>
      <c r="AB9" s="64">
        <v>5</v>
      </c>
      <c r="AC9" s="64">
        <v>5</v>
      </c>
      <c r="AD9" s="64">
        <v>7</v>
      </c>
      <c r="AE9" s="145">
        <v>8</v>
      </c>
      <c r="AF9" s="10"/>
    </row>
    <row r="10" spans="1:32" ht="15" customHeight="1" thickBot="1" x14ac:dyDescent="0.3">
      <c r="A10" s="150">
        <v>5</v>
      </c>
      <c r="B10" s="14" t="s">
        <v>17</v>
      </c>
      <c r="C10" s="67">
        <v>4</v>
      </c>
      <c r="D10" s="67">
        <v>6</v>
      </c>
      <c r="E10" s="67" t="s">
        <v>383</v>
      </c>
      <c r="F10" s="67" t="s">
        <v>383</v>
      </c>
      <c r="G10" s="67" t="s">
        <v>383</v>
      </c>
      <c r="H10" s="67" t="s">
        <v>383</v>
      </c>
      <c r="I10" s="67" t="s">
        <v>383</v>
      </c>
      <c r="J10" s="67" t="s">
        <v>383</v>
      </c>
      <c r="K10" s="67" t="s">
        <v>383</v>
      </c>
      <c r="L10" s="67">
        <v>4</v>
      </c>
      <c r="M10" s="67">
        <v>7</v>
      </c>
      <c r="N10" s="67">
        <v>8</v>
      </c>
      <c r="O10" s="67">
        <v>7</v>
      </c>
      <c r="P10" s="67">
        <v>7</v>
      </c>
      <c r="Q10" s="67">
        <v>7</v>
      </c>
      <c r="R10" s="67">
        <v>5</v>
      </c>
      <c r="S10" s="67">
        <v>5</v>
      </c>
      <c r="T10" s="67">
        <v>4</v>
      </c>
      <c r="U10" s="67">
        <v>4</v>
      </c>
      <c r="V10" s="67" t="s">
        <v>383</v>
      </c>
      <c r="W10" s="67">
        <v>6</v>
      </c>
      <c r="X10" s="67">
        <v>6</v>
      </c>
      <c r="Y10" s="67">
        <v>5</v>
      </c>
      <c r="Z10" s="67">
        <v>5</v>
      </c>
      <c r="AA10" s="67">
        <v>5</v>
      </c>
      <c r="AB10" s="67">
        <v>5</v>
      </c>
      <c r="AC10" s="67">
        <v>5</v>
      </c>
      <c r="AD10" s="67">
        <v>7</v>
      </c>
      <c r="AE10" s="151">
        <v>8</v>
      </c>
    </row>
    <row r="11" spans="1:32" s="11" customFormat="1" ht="15" customHeight="1" thickBot="1" x14ac:dyDescent="0.3">
      <c r="A11" s="144" t="s">
        <v>18</v>
      </c>
      <c r="B11" s="9" t="s">
        <v>19</v>
      </c>
      <c r="C11" s="64">
        <v>19</v>
      </c>
      <c r="D11" s="64">
        <v>21</v>
      </c>
      <c r="E11" s="64">
        <v>20</v>
      </c>
      <c r="F11" s="64">
        <v>21</v>
      </c>
      <c r="G11" s="64">
        <v>17</v>
      </c>
      <c r="H11" s="64">
        <v>19</v>
      </c>
      <c r="I11" s="64">
        <v>11</v>
      </c>
      <c r="J11" s="64">
        <v>12</v>
      </c>
      <c r="K11" s="64">
        <v>13</v>
      </c>
      <c r="L11" s="64">
        <v>16</v>
      </c>
      <c r="M11" s="64">
        <v>13</v>
      </c>
      <c r="N11" s="64">
        <v>15</v>
      </c>
      <c r="O11" s="64">
        <v>13</v>
      </c>
      <c r="P11" s="64">
        <v>18</v>
      </c>
      <c r="Q11" s="64">
        <v>20</v>
      </c>
      <c r="R11" s="64">
        <v>19</v>
      </c>
      <c r="S11" s="64">
        <v>19</v>
      </c>
      <c r="T11" s="64">
        <v>22</v>
      </c>
      <c r="U11" s="64">
        <v>20</v>
      </c>
      <c r="V11" s="64">
        <v>21</v>
      </c>
      <c r="W11" s="64">
        <v>22</v>
      </c>
      <c r="X11" s="64">
        <v>25</v>
      </c>
      <c r="Y11" s="64">
        <v>24</v>
      </c>
      <c r="Z11" s="64">
        <v>24</v>
      </c>
      <c r="AA11" s="64">
        <v>22</v>
      </c>
      <c r="AB11" s="64">
        <v>22</v>
      </c>
      <c r="AC11" s="64">
        <v>25</v>
      </c>
      <c r="AD11" s="64">
        <v>25</v>
      </c>
      <c r="AE11" s="145">
        <v>25</v>
      </c>
      <c r="AF11" s="10"/>
    </row>
    <row r="12" spans="1:32" ht="15" customHeight="1" x14ac:dyDescent="0.25">
      <c r="A12" s="152">
        <v>11</v>
      </c>
      <c r="B12" s="15" t="s">
        <v>20</v>
      </c>
      <c r="C12" s="68" t="s">
        <v>383</v>
      </c>
      <c r="D12" s="68" t="s">
        <v>383</v>
      </c>
      <c r="E12" s="68" t="s">
        <v>383</v>
      </c>
      <c r="F12" s="68" t="s">
        <v>383</v>
      </c>
      <c r="G12" s="68" t="s">
        <v>383</v>
      </c>
      <c r="H12" s="68" t="s">
        <v>383</v>
      </c>
      <c r="I12" s="68" t="s">
        <v>383</v>
      </c>
      <c r="J12" s="68" t="s">
        <v>383</v>
      </c>
      <c r="K12" s="68" t="s">
        <v>383</v>
      </c>
      <c r="L12" s="68" t="s">
        <v>383</v>
      </c>
      <c r="M12" s="68" t="s">
        <v>383</v>
      </c>
      <c r="N12" s="68" t="s">
        <v>383</v>
      </c>
      <c r="O12" s="68" t="s">
        <v>383</v>
      </c>
      <c r="P12" s="68" t="s">
        <v>383</v>
      </c>
      <c r="Q12" s="68" t="s">
        <v>383</v>
      </c>
      <c r="R12" s="68" t="s">
        <v>383</v>
      </c>
      <c r="S12" s="68" t="s">
        <v>383</v>
      </c>
      <c r="T12" s="68" t="s">
        <v>383</v>
      </c>
      <c r="U12" s="68" t="s">
        <v>383</v>
      </c>
      <c r="V12" s="68" t="s">
        <v>383</v>
      </c>
      <c r="W12" s="68" t="s">
        <v>383</v>
      </c>
      <c r="X12" s="68" t="s">
        <v>383</v>
      </c>
      <c r="Y12" s="68" t="s">
        <v>383</v>
      </c>
      <c r="Z12" s="68" t="s">
        <v>383</v>
      </c>
      <c r="AA12" s="68" t="s">
        <v>383</v>
      </c>
      <c r="AB12" s="68" t="s">
        <v>383</v>
      </c>
      <c r="AC12" s="68" t="s">
        <v>383</v>
      </c>
      <c r="AD12" s="68" t="s">
        <v>383</v>
      </c>
      <c r="AE12" s="153" t="s">
        <v>383</v>
      </c>
    </row>
    <row r="13" spans="1:32" ht="15" customHeight="1" x14ac:dyDescent="0.25">
      <c r="A13" s="154">
        <v>13</v>
      </c>
      <c r="B13" s="16" t="s">
        <v>21</v>
      </c>
      <c r="C13" s="69" t="s">
        <v>383</v>
      </c>
      <c r="D13" s="69" t="s">
        <v>383</v>
      </c>
      <c r="E13" s="69" t="s">
        <v>383</v>
      </c>
      <c r="F13" s="69" t="s">
        <v>383</v>
      </c>
      <c r="G13" s="69" t="s">
        <v>383</v>
      </c>
      <c r="H13" s="69" t="s">
        <v>383</v>
      </c>
      <c r="I13" s="69" t="s">
        <v>383</v>
      </c>
      <c r="J13" s="69" t="s">
        <v>383</v>
      </c>
      <c r="K13" s="69" t="s">
        <v>383</v>
      </c>
      <c r="L13" s="69" t="s">
        <v>383</v>
      </c>
      <c r="M13" s="69" t="s">
        <v>383</v>
      </c>
      <c r="N13" s="69" t="s">
        <v>383</v>
      </c>
      <c r="O13" s="69" t="s">
        <v>383</v>
      </c>
      <c r="P13" s="69" t="s">
        <v>383</v>
      </c>
      <c r="Q13" s="69" t="s">
        <v>383</v>
      </c>
      <c r="R13" s="69" t="s">
        <v>383</v>
      </c>
      <c r="S13" s="69" t="s">
        <v>383</v>
      </c>
      <c r="T13" s="69" t="s">
        <v>383</v>
      </c>
      <c r="U13" s="69" t="s">
        <v>383</v>
      </c>
      <c r="V13" s="69" t="s">
        <v>383</v>
      </c>
      <c r="W13" s="69" t="s">
        <v>383</v>
      </c>
      <c r="X13" s="69" t="s">
        <v>383</v>
      </c>
      <c r="Y13" s="69" t="s">
        <v>383</v>
      </c>
      <c r="Z13" s="69" t="s">
        <v>383</v>
      </c>
      <c r="AA13" s="69" t="s">
        <v>383</v>
      </c>
      <c r="AB13" s="69" t="s">
        <v>383</v>
      </c>
      <c r="AC13" s="69" t="s">
        <v>383</v>
      </c>
      <c r="AD13" s="69" t="s">
        <v>383</v>
      </c>
      <c r="AE13" s="155" t="s">
        <v>383</v>
      </c>
    </row>
    <row r="14" spans="1:32" ht="15" customHeight="1" thickBot="1" x14ac:dyDescent="0.3">
      <c r="A14" s="152">
        <v>14</v>
      </c>
      <c r="B14" s="15" t="s">
        <v>22</v>
      </c>
      <c r="C14" s="68">
        <v>13</v>
      </c>
      <c r="D14" s="68">
        <v>16</v>
      </c>
      <c r="E14" s="68">
        <v>17</v>
      </c>
      <c r="F14" s="68">
        <v>16</v>
      </c>
      <c r="G14" s="68">
        <v>13</v>
      </c>
      <c r="H14" s="68">
        <v>14</v>
      </c>
      <c r="I14" s="68">
        <v>10</v>
      </c>
      <c r="J14" s="68">
        <v>11</v>
      </c>
      <c r="K14" s="68">
        <v>13</v>
      </c>
      <c r="L14" s="68">
        <v>16</v>
      </c>
      <c r="M14" s="68">
        <v>13</v>
      </c>
      <c r="N14" s="68">
        <v>13</v>
      </c>
      <c r="O14" s="68">
        <v>13</v>
      </c>
      <c r="P14" s="68">
        <v>16</v>
      </c>
      <c r="Q14" s="68">
        <v>18</v>
      </c>
      <c r="R14" s="68">
        <v>18</v>
      </c>
      <c r="S14" s="68">
        <v>18</v>
      </c>
      <c r="T14" s="68">
        <v>20</v>
      </c>
      <c r="U14" s="68">
        <v>19</v>
      </c>
      <c r="V14" s="68">
        <v>20</v>
      </c>
      <c r="W14" s="68">
        <v>20</v>
      </c>
      <c r="X14" s="68">
        <v>23</v>
      </c>
      <c r="Y14" s="68">
        <v>22</v>
      </c>
      <c r="Z14" s="68">
        <v>22</v>
      </c>
      <c r="AA14" s="68">
        <v>21</v>
      </c>
      <c r="AB14" s="68">
        <v>21</v>
      </c>
      <c r="AC14" s="68">
        <v>24</v>
      </c>
      <c r="AD14" s="68">
        <v>24</v>
      </c>
      <c r="AE14" s="153">
        <v>24</v>
      </c>
    </row>
    <row r="15" spans="1:32" s="11" customFormat="1" ht="15" customHeight="1" thickBot="1" x14ac:dyDescent="0.3">
      <c r="A15" s="144" t="s">
        <v>23</v>
      </c>
      <c r="B15" s="9" t="s">
        <v>24</v>
      </c>
      <c r="C15" s="64">
        <v>506</v>
      </c>
      <c r="D15" s="64">
        <v>502</v>
      </c>
      <c r="E15" s="64">
        <v>500</v>
      </c>
      <c r="F15" s="64">
        <v>521</v>
      </c>
      <c r="G15" s="64">
        <v>459</v>
      </c>
      <c r="H15" s="64">
        <v>449</v>
      </c>
      <c r="I15" s="64">
        <v>395</v>
      </c>
      <c r="J15" s="64">
        <v>420</v>
      </c>
      <c r="K15" s="64">
        <v>445</v>
      </c>
      <c r="L15" s="64">
        <v>500</v>
      </c>
      <c r="M15" s="64">
        <v>544</v>
      </c>
      <c r="N15" s="64">
        <v>574</v>
      </c>
      <c r="O15" s="64">
        <v>596</v>
      </c>
      <c r="P15" s="64">
        <v>608</v>
      </c>
      <c r="Q15" s="64">
        <v>608</v>
      </c>
      <c r="R15" s="64">
        <v>637</v>
      </c>
      <c r="S15" s="64">
        <v>629</v>
      </c>
      <c r="T15" s="64">
        <v>630</v>
      </c>
      <c r="U15" s="64">
        <v>632</v>
      </c>
      <c r="V15" s="64">
        <v>674</v>
      </c>
      <c r="W15" s="64">
        <v>684</v>
      </c>
      <c r="X15" s="64">
        <v>658</v>
      </c>
      <c r="Y15" s="64">
        <v>671</v>
      </c>
      <c r="Z15" s="64">
        <v>636</v>
      </c>
      <c r="AA15" s="64">
        <v>616</v>
      </c>
      <c r="AB15" s="64">
        <v>646</v>
      </c>
      <c r="AC15" s="64">
        <v>747</v>
      </c>
      <c r="AD15" s="64">
        <v>780</v>
      </c>
      <c r="AE15" s="145">
        <v>736</v>
      </c>
      <c r="AF15" s="10"/>
    </row>
    <row r="16" spans="1:32" ht="15" customHeight="1" x14ac:dyDescent="0.25">
      <c r="A16" s="152">
        <v>15</v>
      </c>
      <c r="B16" s="15" t="s">
        <v>25</v>
      </c>
      <c r="C16" s="68">
        <v>202</v>
      </c>
      <c r="D16" s="68">
        <v>191</v>
      </c>
      <c r="E16" s="68">
        <v>187</v>
      </c>
      <c r="F16" s="68">
        <v>199</v>
      </c>
      <c r="G16" s="68">
        <v>172</v>
      </c>
      <c r="H16" s="68">
        <v>173</v>
      </c>
      <c r="I16" s="68">
        <v>152</v>
      </c>
      <c r="J16" s="68">
        <v>156</v>
      </c>
      <c r="K16" s="68">
        <v>167</v>
      </c>
      <c r="L16" s="68">
        <v>194</v>
      </c>
      <c r="M16" s="68">
        <v>199</v>
      </c>
      <c r="N16" s="68">
        <v>209</v>
      </c>
      <c r="O16" s="68">
        <v>215</v>
      </c>
      <c r="P16" s="68">
        <v>219</v>
      </c>
      <c r="Q16" s="68">
        <v>220</v>
      </c>
      <c r="R16" s="68">
        <v>219</v>
      </c>
      <c r="S16" s="68">
        <v>223</v>
      </c>
      <c r="T16" s="68">
        <v>223</v>
      </c>
      <c r="U16" s="68">
        <v>224</v>
      </c>
      <c r="V16" s="68">
        <v>238</v>
      </c>
      <c r="W16" s="68">
        <v>246</v>
      </c>
      <c r="X16" s="68">
        <v>225</v>
      </c>
      <c r="Y16" s="68">
        <v>227</v>
      </c>
      <c r="Z16" s="68">
        <v>218</v>
      </c>
      <c r="AA16" s="68">
        <v>206</v>
      </c>
      <c r="AB16" s="68">
        <v>214</v>
      </c>
      <c r="AC16" s="68">
        <v>251</v>
      </c>
      <c r="AD16" s="68">
        <v>260</v>
      </c>
      <c r="AE16" s="153">
        <v>248</v>
      </c>
    </row>
    <row r="17" spans="1:31" ht="15" customHeight="1" x14ac:dyDescent="0.25">
      <c r="A17" s="156">
        <v>16</v>
      </c>
      <c r="B17" s="17" t="s">
        <v>26</v>
      </c>
      <c r="C17" s="70" t="s">
        <v>383</v>
      </c>
      <c r="D17" s="70" t="s">
        <v>383</v>
      </c>
      <c r="E17" s="70" t="s">
        <v>383</v>
      </c>
      <c r="F17" s="70" t="s">
        <v>383</v>
      </c>
      <c r="G17" s="70" t="s">
        <v>383</v>
      </c>
      <c r="H17" s="70" t="s">
        <v>383</v>
      </c>
      <c r="I17" s="70">
        <v>4</v>
      </c>
      <c r="J17" s="70">
        <v>5</v>
      </c>
      <c r="K17" s="70">
        <v>4</v>
      </c>
      <c r="L17" s="70">
        <v>4</v>
      </c>
      <c r="M17" s="70">
        <v>6</v>
      </c>
      <c r="N17" s="70">
        <v>6</v>
      </c>
      <c r="O17" s="70">
        <v>6</v>
      </c>
      <c r="P17" s="70">
        <v>6</v>
      </c>
      <c r="Q17" s="70">
        <v>6</v>
      </c>
      <c r="R17" s="70">
        <v>6</v>
      </c>
      <c r="S17" s="70">
        <v>6</v>
      </c>
      <c r="T17" s="70">
        <v>5</v>
      </c>
      <c r="U17" s="70">
        <v>6</v>
      </c>
      <c r="V17" s="70">
        <v>6</v>
      </c>
      <c r="W17" s="70">
        <v>6</v>
      </c>
      <c r="X17" s="70">
        <v>5</v>
      </c>
      <c r="Y17" s="70">
        <v>5</v>
      </c>
      <c r="Z17" s="70">
        <v>5</v>
      </c>
      <c r="AA17" s="70">
        <v>5</v>
      </c>
      <c r="AB17" s="70">
        <v>4</v>
      </c>
      <c r="AC17" s="70" t="s">
        <v>383</v>
      </c>
      <c r="AD17" s="70" t="s">
        <v>383</v>
      </c>
      <c r="AE17" s="157" t="s">
        <v>383</v>
      </c>
    </row>
    <row r="18" spans="1:31" ht="15" customHeight="1" x14ac:dyDescent="0.25">
      <c r="A18" s="156">
        <v>17</v>
      </c>
      <c r="B18" s="17" t="s">
        <v>27</v>
      </c>
      <c r="C18" s="70">
        <v>23</v>
      </c>
      <c r="D18" s="70">
        <v>19</v>
      </c>
      <c r="E18" s="70">
        <v>19</v>
      </c>
      <c r="F18" s="70">
        <v>17</v>
      </c>
      <c r="G18" s="70">
        <v>15</v>
      </c>
      <c r="H18" s="70">
        <v>13</v>
      </c>
      <c r="I18" s="70">
        <v>10</v>
      </c>
      <c r="J18" s="70">
        <v>11</v>
      </c>
      <c r="K18" s="70">
        <v>11</v>
      </c>
      <c r="L18" s="70">
        <v>12</v>
      </c>
      <c r="M18" s="70">
        <v>12</v>
      </c>
      <c r="N18" s="70">
        <v>12</v>
      </c>
      <c r="O18" s="70">
        <v>10</v>
      </c>
      <c r="P18" s="70">
        <v>10</v>
      </c>
      <c r="Q18" s="70">
        <v>11</v>
      </c>
      <c r="R18" s="70">
        <v>14</v>
      </c>
      <c r="S18" s="70">
        <v>15</v>
      </c>
      <c r="T18" s="70">
        <v>14</v>
      </c>
      <c r="U18" s="70">
        <v>13</v>
      </c>
      <c r="V18" s="70">
        <v>12</v>
      </c>
      <c r="W18" s="70">
        <v>16</v>
      </c>
      <c r="X18" s="70">
        <v>15</v>
      </c>
      <c r="Y18" s="70">
        <v>17</v>
      </c>
      <c r="Z18" s="70">
        <v>14</v>
      </c>
      <c r="AA18" s="70">
        <v>13</v>
      </c>
      <c r="AB18" s="70">
        <v>13</v>
      </c>
      <c r="AC18" s="70">
        <v>14</v>
      </c>
      <c r="AD18" s="70">
        <v>15</v>
      </c>
      <c r="AE18" s="157">
        <v>16</v>
      </c>
    </row>
    <row r="19" spans="1:31" ht="15" customHeight="1" x14ac:dyDescent="0.25">
      <c r="A19" s="156">
        <v>18</v>
      </c>
      <c r="B19" s="17" t="s">
        <v>28</v>
      </c>
      <c r="C19" s="70">
        <v>16</v>
      </c>
      <c r="D19" s="70">
        <v>15</v>
      </c>
      <c r="E19" s="70">
        <v>16</v>
      </c>
      <c r="F19" s="70">
        <v>17</v>
      </c>
      <c r="G19" s="70">
        <v>17</v>
      </c>
      <c r="H19" s="70">
        <v>17</v>
      </c>
      <c r="I19" s="70">
        <v>16</v>
      </c>
      <c r="J19" s="70">
        <v>15</v>
      </c>
      <c r="K19" s="70">
        <v>11</v>
      </c>
      <c r="L19" s="70">
        <v>13</v>
      </c>
      <c r="M19" s="70">
        <v>15</v>
      </c>
      <c r="N19" s="70">
        <v>12</v>
      </c>
      <c r="O19" s="70">
        <v>14</v>
      </c>
      <c r="P19" s="70">
        <v>18</v>
      </c>
      <c r="Q19" s="70">
        <v>19</v>
      </c>
      <c r="R19" s="70">
        <v>21</v>
      </c>
      <c r="S19" s="70">
        <v>20</v>
      </c>
      <c r="T19" s="70">
        <v>18</v>
      </c>
      <c r="U19" s="70">
        <v>14</v>
      </c>
      <c r="V19" s="70">
        <v>13</v>
      </c>
      <c r="W19" s="70">
        <v>11</v>
      </c>
      <c r="X19" s="70">
        <v>8</v>
      </c>
      <c r="Y19" s="70">
        <v>12</v>
      </c>
      <c r="Z19" s="70">
        <v>9</v>
      </c>
      <c r="AA19" s="70">
        <v>8</v>
      </c>
      <c r="AB19" s="70">
        <v>8</v>
      </c>
      <c r="AC19" s="70">
        <v>11</v>
      </c>
      <c r="AD19" s="70">
        <v>15</v>
      </c>
      <c r="AE19" s="157">
        <v>12</v>
      </c>
    </row>
    <row r="20" spans="1:31" ht="15" customHeight="1" x14ac:dyDescent="0.25">
      <c r="A20" s="156">
        <v>19</v>
      </c>
      <c r="B20" s="17" t="s">
        <v>115</v>
      </c>
      <c r="C20" s="70">
        <v>4</v>
      </c>
      <c r="D20" s="70">
        <v>5</v>
      </c>
      <c r="E20" s="70">
        <v>6</v>
      </c>
      <c r="F20" s="70">
        <v>6</v>
      </c>
      <c r="G20" s="70">
        <v>6</v>
      </c>
      <c r="H20" s="70">
        <v>7</v>
      </c>
      <c r="I20" s="70">
        <v>7</v>
      </c>
      <c r="J20" s="70">
        <v>4</v>
      </c>
      <c r="K20" s="70" t="s">
        <v>383</v>
      </c>
      <c r="L20" s="70">
        <v>4</v>
      </c>
      <c r="M20" s="70">
        <v>5</v>
      </c>
      <c r="N20" s="70">
        <v>5</v>
      </c>
      <c r="O20" s="70">
        <v>4</v>
      </c>
      <c r="P20" s="70">
        <v>4</v>
      </c>
      <c r="Q20" s="70">
        <v>5</v>
      </c>
      <c r="R20" s="70" t="s">
        <v>383</v>
      </c>
      <c r="S20" s="70">
        <v>4</v>
      </c>
      <c r="T20" s="70">
        <v>4</v>
      </c>
      <c r="U20" s="70" t="s">
        <v>383</v>
      </c>
      <c r="V20" s="70" t="s">
        <v>383</v>
      </c>
      <c r="W20" s="70" t="s">
        <v>383</v>
      </c>
      <c r="X20" s="70" t="s">
        <v>383</v>
      </c>
      <c r="Y20" s="70">
        <v>4</v>
      </c>
      <c r="Z20" s="70" t="s">
        <v>383</v>
      </c>
      <c r="AA20" s="70" t="s">
        <v>383</v>
      </c>
      <c r="AB20" s="70" t="s">
        <v>383</v>
      </c>
      <c r="AC20" s="70" t="s">
        <v>383</v>
      </c>
      <c r="AD20" s="70">
        <v>7</v>
      </c>
      <c r="AE20" s="157">
        <v>4</v>
      </c>
    </row>
    <row r="21" spans="1:31" ht="15" customHeight="1" x14ac:dyDescent="0.25">
      <c r="A21" s="156">
        <v>20</v>
      </c>
      <c r="B21" s="17" t="s">
        <v>30</v>
      </c>
      <c r="C21" s="70">
        <v>52</v>
      </c>
      <c r="D21" s="70">
        <v>58</v>
      </c>
      <c r="E21" s="70">
        <v>62</v>
      </c>
      <c r="F21" s="70">
        <v>63</v>
      </c>
      <c r="G21" s="70">
        <v>61</v>
      </c>
      <c r="H21" s="70">
        <v>64</v>
      </c>
      <c r="I21" s="70">
        <v>55</v>
      </c>
      <c r="J21" s="70">
        <v>81</v>
      </c>
      <c r="K21" s="70">
        <v>94</v>
      </c>
      <c r="L21" s="70">
        <v>96</v>
      </c>
      <c r="M21" s="70">
        <v>110</v>
      </c>
      <c r="N21" s="70">
        <v>130</v>
      </c>
      <c r="O21" s="70">
        <v>140</v>
      </c>
      <c r="P21" s="70">
        <v>135</v>
      </c>
      <c r="Q21" s="70">
        <v>130</v>
      </c>
      <c r="R21" s="70">
        <v>136</v>
      </c>
      <c r="S21" s="70">
        <v>134</v>
      </c>
      <c r="T21" s="70">
        <v>137</v>
      </c>
      <c r="U21" s="70">
        <v>151</v>
      </c>
      <c r="V21" s="70">
        <v>176</v>
      </c>
      <c r="W21" s="70">
        <v>178</v>
      </c>
      <c r="X21" s="70">
        <v>174</v>
      </c>
      <c r="Y21" s="70">
        <v>168</v>
      </c>
      <c r="Z21" s="70">
        <v>165</v>
      </c>
      <c r="AA21" s="70">
        <v>161</v>
      </c>
      <c r="AB21" s="70">
        <v>171</v>
      </c>
      <c r="AC21" s="70">
        <v>197</v>
      </c>
      <c r="AD21" s="70">
        <v>200</v>
      </c>
      <c r="AE21" s="157">
        <v>196</v>
      </c>
    </row>
    <row r="22" spans="1:31" ht="15" customHeight="1" x14ac:dyDescent="0.25">
      <c r="A22" s="156">
        <v>21</v>
      </c>
      <c r="B22" s="17" t="s">
        <v>31</v>
      </c>
      <c r="C22" s="70">
        <v>8</v>
      </c>
      <c r="D22" s="70">
        <v>8</v>
      </c>
      <c r="E22" s="70">
        <v>8</v>
      </c>
      <c r="F22" s="70">
        <v>9</v>
      </c>
      <c r="G22" s="70">
        <v>9</v>
      </c>
      <c r="H22" s="70">
        <v>6</v>
      </c>
      <c r="I22" s="70">
        <v>5</v>
      </c>
      <c r="J22" s="70">
        <v>5</v>
      </c>
      <c r="K22" s="70">
        <v>6</v>
      </c>
      <c r="L22" s="70">
        <v>6</v>
      </c>
      <c r="M22" s="70">
        <v>4</v>
      </c>
      <c r="N22" s="70">
        <v>4</v>
      </c>
      <c r="O22" s="70">
        <v>5</v>
      </c>
      <c r="P22" s="70" t="s">
        <v>383</v>
      </c>
      <c r="Q22" s="70" t="s">
        <v>383</v>
      </c>
      <c r="R22" s="70" t="s">
        <v>383</v>
      </c>
      <c r="S22" s="70" t="s">
        <v>383</v>
      </c>
      <c r="T22" s="70" t="s">
        <v>383</v>
      </c>
      <c r="U22" s="70" t="s">
        <v>383</v>
      </c>
      <c r="V22" s="70" t="s">
        <v>383</v>
      </c>
      <c r="W22" s="70" t="s">
        <v>383</v>
      </c>
      <c r="X22" s="70" t="s">
        <v>383</v>
      </c>
      <c r="Y22" s="70" t="s">
        <v>383</v>
      </c>
      <c r="Z22" s="70" t="s">
        <v>383</v>
      </c>
      <c r="AA22" s="70" t="s">
        <v>383</v>
      </c>
      <c r="AB22" s="70" t="s">
        <v>383</v>
      </c>
      <c r="AC22" s="70" t="s">
        <v>383</v>
      </c>
      <c r="AD22" s="70" t="s">
        <v>383</v>
      </c>
      <c r="AE22" s="157" t="s">
        <v>383</v>
      </c>
    </row>
    <row r="23" spans="1:31" ht="15" customHeight="1" x14ac:dyDescent="0.25">
      <c r="A23" s="156">
        <v>22</v>
      </c>
      <c r="B23" s="17" t="s">
        <v>98</v>
      </c>
      <c r="C23" s="70">
        <v>31</v>
      </c>
      <c r="D23" s="70">
        <v>34</v>
      </c>
      <c r="E23" s="70">
        <v>33</v>
      </c>
      <c r="F23" s="70">
        <v>35</v>
      </c>
      <c r="G23" s="70">
        <v>31</v>
      </c>
      <c r="H23" s="70">
        <v>30</v>
      </c>
      <c r="I23" s="70">
        <v>30</v>
      </c>
      <c r="J23" s="70">
        <v>27</v>
      </c>
      <c r="K23" s="70">
        <v>24</v>
      </c>
      <c r="L23" s="70">
        <v>26</v>
      </c>
      <c r="M23" s="70">
        <v>27</v>
      </c>
      <c r="N23" s="70">
        <v>32</v>
      </c>
      <c r="O23" s="70">
        <v>30</v>
      </c>
      <c r="P23" s="70">
        <v>32</v>
      </c>
      <c r="Q23" s="70">
        <v>33</v>
      </c>
      <c r="R23" s="70">
        <v>35</v>
      </c>
      <c r="S23" s="70">
        <v>30</v>
      </c>
      <c r="T23" s="70">
        <v>29</v>
      </c>
      <c r="U23" s="70">
        <v>30</v>
      </c>
      <c r="V23" s="70">
        <v>29</v>
      </c>
      <c r="W23" s="70">
        <v>25</v>
      </c>
      <c r="X23" s="70">
        <v>27</v>
      </c>
      <c r="Y23" s="70">
        <v>32</v>
      </c>
      <c r="Z23" s="70">
        <v>31</v>
      </c>
      <c r="AA23" s="70">
        <v>30</v>
      </c>
      <c r="AB23" s="70">
        <v>27</v>
      </c>
      <c r="AC23" s="70">
        <v>28</v>
      </c>
      <c r="AD23" s="70">
        <v>33</v>
      </c>
      <c r="AE23" s="157">
        <v>28</v>
      </c>
    </row>
    <row r="24" spans="1:31" ht="15" customHeight="1" x14ac:dyDescent="0.25">
      <c r="A24" s="156">
        <v>23</v>
      </c>
      <c r="B24" s="17" t="s">
        <v>33</v>
      </c>
      <c r="C24" s="70">
        <v>5</v>
      </c>
      <c r="D24" s="70">
        <v>4</v>
      </c>
      <c r="E24" s="70">
        <v>4</v>
      </c>
      <c r="F24" s="70" t="s">
        <v>383</v>
      </c>
      <c r="G24" s="70" t="s">
        <v>383</v>
      </c>
      <c r="H24" s="70" t="s">
        <v>383</v>
      </c>
      <c r="I24" s="70" t="s">
        <v>383</v>
      </c>
      <c r="J24" s="70" t="s">
        <v>383</v>
      </c>
      <c r="K24" s="70" t="s">
        <v>383</v>
      </c>
      <c r="L24" s="70" t="s">
        <v>383</v>
      </c>
      <c r="M24" s="70" t="s">
        <v>383</v>
      </c>
      <c r="N24" s="70" t="s">
        <v>383</v>
      </c>
      <c r="O24" s="70" t="s">
        <v>383</v>
      </c>
      <c r="P24" s="70" t="s">
        <v>383</v>
      </c>
      <c r="Q24" s="70" t="s">
        <v>383</v>
      </c>
      <c r="R24" s="70" t="s">
        <v>383</v>
      </c>
      <c r="S24" s="70" t="s">
        <v>383</v>
      </c>
      <c r="T24" s="70" t="s">
        <v>383</v>
      </c>
      <c r="U24" s="70" t="s">
        <v>383</v>
      </c>
      <c r="V24" s="70" t="s">
        <v>383</v>
      </c>
      <c r="W24" s="70" t="s">
        <v>383</v>
      </c>
      <c r="X24" s="70" t="s">
        <v>383</v>
      </c>
      <c r="Y24" s="70" t="s">
        <v>383</v>
      </c>
      <c r="Z24" s="70" t="s">
        <v>383</v>
      </c>
      <c r="AA24" s="70" t="s">
        <v>383</v>
      </c>
      <c r="AB24" s="70" t="s">
        <v>383</v>
      </c>
      <c r="AC24" s="70" t="s">
        <v>383</v>
      </c>
      <c r="AD24" s="70" t="s">
        <v>383</v>
      </c>
      <c r="AE24" s="157" t="s">
        <v>383</v>
      </c>
    </row>
    <row r="25" spans="1:31" ht="15" customHeight="1" x14ac:dyDescent="0.25">
      <c r="A25" s="156">
        <v>24</v>
      </c>
      <c r="B25" s="17" t="s">
        <v>34</v>
      </c>
      <c r="C25" s="70">
        <v>52</v>
      </c>
      <c r="D25" s="70">
        <v>52</v>
      </c>
      <c r="E25" s="70">
        <v>56</v>
      </c>
      <c r="F25" s="70">
        <v>63</v>
      </c>
      <c r="G25" s="70">
        <v>55</v>
      </c>
      <c r="H25" s="70">
        <v>57</v>
      </c>
      <c r="I25" s="70">
        <v>51</v>
      </c>
      <c r="J25" s="70">
        <v>44</v>
      </c>
      <c r="K25" s="70">
        <v>46</v>
      </c>
      <c r="L25" s="70">
        <v>47</v>
      </c>
      <c r="M25" s="70">
        <v>48</v>
      </c>
      <c r="N25" s="70">
        <v>55</v>
      </c>
      <c r="O25" s="70">
        <v>53</v>
      </c>
      <c r="P25" s="70">
        <v>55</v>
      </c>
      <c r="Q25" s="70">
        <v>53</v>
      </c>
      <c r="R25" s="70">
        <v>54</v>
      </c>
      <c r="S25" s="70">
        <v>51</v>
      </c>
      <c r="T25" s="70">
        <v>47</v>
      </c>
      <c r="U25" s="70">
        <v>50</v>
      </c>
      <c r="V25" s="70">
        <v>50</v>
      </c>
      <c r="W25" s="70">
        <v>52</v>
      </c>
      <c r="X25" s="70">
        <v>51</v>
      </c>
      <c r="Y25" s="70">
        <v>53</v>
      </c>
      <c r="Z25" s="70">
        <v>53</v>
      </c>
      <c r="AA25" s="70">
        <v>56</v>
      </c>
      <c r="AB25" s="70">
        <v>59</v>
      </c>
      <c r="AC25" s="70">
        <v>60</v>
      </c>
      <c r="AD25" s="70">
        <v>59</v>
      </c>
      <c r="AE25" s="157">
        <v>59</v>
      </c>
    </row>
    <row r="26" spans="1:31" ht="15" customHeight="1" x14ac:dyDescent="0.25">
      <c r="A26" s="156">
        <v>25</v>
      </c>
      <c r="B26" s="17" t="s">
        <v>35</v>
      </c>
      <c r="C26" s="70">
        <v>7</v>
      </c>
      <c r="D26" s="70">
        <v>7</v>
      </c>
      <c r="E26" s="70">
        <v>5</v>
      </c>
      <c r="F26" s="70">
        <v>6</v>
      </c>
      <c r="G26" s="70" t="s">
        <v>383</v>
      </c>
      <c r="H26" s="70">
        <v>4</v>
      </c>
      <c r="I26" s="70" t="s">
        <v>383</v>
      </c>
      <c r="J26" s="70">
        <v>4</v>
      </c>
      <c r="K26" s="70">
        <v>4</v>
      </c>
      <c r="L26" s="70">
        <v>6</v>
      </c>
      <c r="M26" s="70">
        <v>8</v>
      </c>
      <c r="N26" s="70">
        <v>7</v>
      </c>
      <c r="O26" s="70">
        <v>6</v>
      </c>
      <c r="P26" s="70">
        <v>5</v>
      </c>
      <c r="Q26" s="70">
        <v>9</v>
      </c>
      <c r="R26" s="70">
        <v>8</v>
      </c>
      <c r="S26" s="70">
        <v>8</v>
      </c>
      <c r="T26" s="70">
        <v>9</v>
      </c>
      <c r="U26" s="70">
        <v>8</v>
      </c>
      <c r="V26" s="70">
        <v>8</v>
      </c>
      <c r="W26" s="70">
        <v>9</v>
      </c>
      <c r="X26" s="70">
        <v>9</v>
      </c>
      <c r="Y26" s="70">
        <v>7</v>
      </c>
      <c r="Z26" s="70">
        <v>6</v>
      </c>
      <c r="AA26" s="70">
        <v>6</v>
      </c>
      <c r="AB26" s="70">
        <v>10</v>
      </c>
      <c r="AC26" s="70">
        <v>14</v>
      </c>
      <c r="AD26" s="70">
        <v>14</v>
      </c>
      <c r="AE26" s="157">
        <v>12</v>
      </c>
    </row>
    <row r="27" spans="1:31" ht="15" customHeight="1" x14ac:dyDescent="0.25">
      <c r="A27" s="156">
        <v>26</v>
      </c>
      <c r="B27" s="17" t="s">
        <v>36</v>
      </c>
      <c r="C27" s="70">
        <v>17</v>
      </c>
      <c r="D27" s="70">
        <v>16</v>
      </c>
      <c r="E27" s="70">
        <v>14</v>
      </c>
      <c r="F27" s="70">
        <v>17</v>
      </c>
      <c r="G27" s="70">
        <v>19</v>
      </c>
      <c r="H27" s="70">
        <v>12</v>
      </c>
      <c r="I27" s="70">
        <v>9</v>
      </c>
      <c r="J27" s="70">
        <v>10</v>
      </c>
      <c r="K27" s="70">
        <v>9</v>
      </c>
      <c r="L27" s="70">
        <v>11</v>
      </c>
      <c r="M27" s="70">
        <v>10</v>
      </c>
      <c r="N27" s="70">
        <v>13</v>
      </c>
      <c r="O27" s="70">
        <v>12</v>
      </c>
      <c r="P27" s="70">
        <v>12</v>
      </c>
      <c r="Q27" s="70">
        <v>15</v>
      </c>
      <c r="R27" s="70">
        <v>20</v>
      </c>
      <c r="S27" s="70">
        <v>16</v>
      </c>
      <c r="T27" s="70">
        <v>20</v>
      </c>
      <c r="U27" s="70">
        <v>20</v>
      </c>
      <c r="V27" s="70">
        <v>21</v>
      </c>
      <c r="W27" s="70">
        <v>20</v>
      </c>
      <c r="X27" s="70">
        <v>19</v>
      </c>
      <c r="Y27" s="70">
        <v>21</v>
      </c>
      <c r="Z27" s="70">
        <v>22</v>
      </c>
      <c r="AA27" s="70">
        <v>22</v>
      </c>
      <c r="AB27" s="70">
        <v>21</v>
      </c>
      <c r="AC27" s="70">
        <v>24</v>
      </c>
      <c r="AD27" s="70">
        <v>31</v>
      </c>
      <c r="AE27" s="157">
        <v>28</v>
      </c>
    </row>
    <row r="28" spans="1:31" ht="15" customHeight="1" x14ac:dyDescent="0.25">
      <c r="A28" s="156">
        <v>27</v>
      </c>
      <c r="B28" s="17" t="s">
        <v>37</v>
      </c>
      <c r="C28" s="70">
        <v>5</v>
      </c>
      <c r="D28" s="70">
        <v>8</v>
      </c>
      <c r="E28" s="70">
        <v>5</v>
      </c>
      <c r="F28" s="70">
        <v>7</v>
      </c>
      <c r="G28" s="70" t="s">
        <v>383</v>
      </c>
      <c r="H28" s="70">
        <v>4</v>
      </c>
      <c r="I28" s="70" t="s">
        <v>383</v>
      </c>
      <c r="J28" s="70" t="s">
        <v>383</v>
      </c>
      <c r="K28" s="70" t="s">
        <v>383</v>
      </c>
      <c r="L28" s="70" t="s">
        <v>383</v>
      </c>
      <c r="M28" s="70" t="s">
        <v>383</v>
      </c>
      <c r="N28" s="70" t="s">
        <v>383</v>
      </c>
      <c r="O28" s="70" t="s">
        <v>383</v>
      </c>
      <c r="P28" s="70" t="s">
        <v>383</v>
      </c>
      <c r="Q28" s="70" t="s">
        <v>383</v>
      </c>
      <c r="R28" s="70" t="s">
        <v>383</v>
      </c>
      <c r="S28" s="70" t="s">
        <v>383</v>
      </c>
      <c r="T28" s="70" t="s">
        <v>383</v>
      </c>
      <c r="U28" s="70" t="s">
        <v>383</v>
      </c>
      <c r="V28" s="70" t="s">
        <v>383</v>
      </c>
      <c r="W28" s="70" t="s">
        <v>383</v>
      </c>
      <c r="X28" s="70" t="s">
        <v>383</v>
      </c>
      <c r="Y28" s="70" t="s">
        <v>383</v>
      </c>
      <c r="Z28" s="70" t="s">
        <v>383</v>
      </c>
      <c r="AA28" s="70" t="s">
        <v>383</v>
      </c>
      <c r="AB28" s="70" t="s">
        <v>383</v>
      </c>
      <c r="AC28" s="70" t="s">
        <v>383</v>
      </c>
      <c r="AD28" s="70" t="s">
        <v>383</v>
      </c>
      <c r="AE28" s="157" t="s">
        <v>383</v>
      </c>
    </row>
    <row r="29" spans="1:31" ht="15" customHeight="1" x14ac:dyDescent="0.25">
      <c r="A29" s="156">
        <v>28</v>
      </c>
      <c r="B29" s="17" t="s">
        <v>38</v>
      </c>
      <c r="C29" s="70">
        <v>28</v>
      </c>
      <c r="D29" s="70">
        <v>31</v>
      </c>
      <c r="E29" s="70">
        <v>38</v>
      </c>
      <c r="F29" s="70">
        <v>33</v>
      </c>
      <c r="G29" s="70">
        <v>29</v>
      </c>
      <c r="H29" s="70">
        <v>25</v>
      </c>
      <c r="I29" s="70">
        <v>24</v>
      </c>
      <c r="J29" s="70">
        <v>25</v>
      </c>
      <c r="K29" s="70">
        <v>30</v>
      </c>
      <c r="L29" s="70">
        <v>39</v>
      </c>
      <c r="M29" s="70">
        <v>45</v>
      </c>
      <c r="N29" s="70">
        <v>43</v>
      </c>
      <c r="O29" s="70">
        <v>49</v>
      </c>
      <c r="P29" s="70">
        <v>46</v>
      </c>
      <c r="Q29" s="70">
        <v>44</v>
      </c>
      <c r="R29" s="70">
        <v>52</v>
      </c>
      <c r="S29" s="70">
        <v>53</v>
      </c>
      <c r="T29" s="70">
        <v>57</v>
      </c>
      <c r="U29" s="70">
        <v>54</v>
      </c>
      <c r="V29" s="70">
        <v>54</v>
      </c>
      <c r="W29" s="70">
        <v>55</v>
      </c>
      <c r="X29" s="70">
        <v>58</v>
      </c>
      <c r="Y29" s="70">
        <v>56</v>
      </c>
      <c r="Z29" s="70">
        <v>50</v>
      </c>
      <c r="AA29" s="70">
        <v>54</v>
      </c>
      <c r="AB29" s="70">
        <v>54</v>
      </c>
      <c r="AC29" s="70">
        <v>59</v>
      </c>
      <c r="AD29" s="70">
        <v>61</v>
      </c>
      <c r="AE29" s="157">
        <v>57</v>
      </c>
    </row>
    <row r="30" spans="1:31" ht="15" customHeight="1" x14ac:dyDescent="0.25">
      <c r="A30" s="156">
        <v>29</v>
      </c>
      <c r="B30" s="17" t="s">
        <v>39</v>
      </c>
      <c r="C30" s="70">
        <v>11</v>
      </c>
      <c r="D30" s="70">
        <v>16</v>
      </c>
      <c r="E30" s="70">
        <v>12</v>
      </c>
      <c r="F30" s="70">
        <v>9</v>
      </c>
      <c r="G30" s="70">
        <v>9</v>
      </c>
      <c r="H30" s="70">
        <v>7</v>
      </c>
      <c r="I30" s="70">
        <v>6</v>
      </c>
      <c r="J30" s="70">
        <v>8</v>
      </c>
      <c r="K30" s="70">
        <v>8</v>
      </c>
      <c r="L30" s="70">
        <v>7</v>
      </c>
      <c r="M30" s="70">
        <v>10</v>
      </c>
      <c r="N30" s="70">
        <v>9</v>
      </c>
      <c r="O30" s="70">
        <v>11</v>
      </c>
      <c r="P30" s="70">
        <v>10</v>
      </c>
      <c r="Q30" s="70">
        <v>8</v>
      </c>
      <c r="R30" s="70">
        <v>11</v>
      </c>
      <c r="S30" s="70">
        <v>11</v>
      </c>
      <c r="T30" s="70">
        <v>13</v>
      </c>
      <c r="U30" s="70">
        <v>11</v>
      </c>
      <c r="V30" s="70">
        <v>11</v>
      </c>
      <c r="W30" s="70">
        <v>13</v>
      </c>
      <c r="X30" s="70">
        <v>8</v>
      </c>
      <c r="Y30" s="70">
        <v>12</v>
      </c>
      <c r="Z30" s="70">
        <v>9</v>
      </c>
      <c r="AA30" s="70">
        <v>10</v>
      </c>
      <c r="AB30" s="70">
        <v>15</v>
      </c>
      <c r="AC30" s="70">
        <v>18</v>
      </c>
      <c r="AD30" s="70">
        <v>21</v>
      </c>
      <c r="AE30" s="157">
        <v>13</v>
      </c>
    </row>
    <row r="31" spans="1:31" ht="15" customHeight="1" x14ac:dyDescent="0.25">
      <c r="A31" s="156">
        <v>30</v>
      </c>
      <c r="B31" s="17" t="s">
        <v>40</v>
      </c>
      <c r="C31" s="70" t="s">
        <v>383</v>
      </c>
      <c r="D31" s="70" t="s">
        <v>383</v>
      </c>
      <c r="E31" s="70" t="s">
        <v>383</v>
      </c>
      <c r="F31" s="70" t="s">
        <v>383</v>
      </c>
      <c r="G31" s="70" t="s">
        <v>383</v>
      </c>
      <c r="H31" s="70" t="s">
        <v>383</v>
      </c>
      <c r="I31" s="70" t="s">
        <v>383</v>
      </c>
      <c r="J31" s="70" t="s">
        <v>383</v>
      </c>
      <c r="K31" s="70" t="s">
        <v>383</v>
      </c>
      <c r="L31" s="70" t="s">
        <v>383</v>
      </c>
      <c r="M31" s="70" t="s">
        <v>383</v>
      </c>
      <c r="N31" s="70" t="s">
        <v>383</v>
      </c>
      <c r="O31" s="70" t="s">
        <v>383</v>
      </c>
      <c r="P31" s="70" t="s">
        <v>383</v>
      </c>
      <c r="Q31" s="70" t="s">
        <v>383</v>
      </c>
      <c r="R31" s="70" t="s">
        <v>383</v>
      </c>
      <c r="S31" s="70" t="s">
        <v>383</v>
      </c>
      <c r="T31" s="70" t="s">
        <v>383</v>
      </c>
      <c r="U31" s="70" t="s">
        <v>383</v>
      </c>
      <c r="V31" s="70" t="s">
        <v>383</v>
      </c>
      <c r="W31" s="70" t="s">
        <v>383</v>
      </c>
      <c r="X31" s="70" t="s">
        <v>383</v>
      </c>
      <c r="Y31" s="70" t="s">
        <v>383</v>
      </c>
      <c r="Z31" s="70" t="s">
        <v>383</v>
      </c>
      <c r="AA31" s="70" t="s">
        <v>383</v>
      </c>
      <c r="AB31" s="70">
        <v>4</v>
      </c>
      <c r="AC31" s="70">
        <v>4</v>
      </c>
      <c r="AD31" s="70">
        <v>4</v>
      </c>
      <c r="AE31" s="157">
        <v>4</v>
      </c>
    </row>
    <row r="32" spans="1:31" ht="15" customHeight="1" x14ac:dyDescent="0.25">
      <c r="A32" s="156">
        <v>31</v>
      </c>
      <c r="B32" s="17" t="s">
        <v>41</v>
      </c>
      <c r="C32" s="70">
        <v>6</v>
      </c>
      <c r="D32" s="70">
        <v>5</v>
      </c>
      <c r="E32" s="70">
        <v>5</v>
      </c>
      <c r="F32" s="70">
        <v>5</v>
      </c>
      <c r="G32" s="70" t="s">
        <v>383</v>
      </c>
      <c r="H32" s="70" t="s">
        <v>383</v>
      </c>
      <c r="I32" s="70" t="s">
        <v>383</v>
      </c>
      <c r="J32" s="70" t="s">
        <v>383</v>
      </c>
      <c r="K32" s="70" t="s">
        <v>383</v>
      </c>
      <c r="L32" s="70" t="s">
        <v>383</v>
      </c>
      <c r="M32" s="70" t="s">
        <v>383</v>
      </c>
      <c r="N32" s="70" t="s">
        <v>383</v>
      </c>
      <c r="O32" s="70" t="s">
        <v>383</v>
      </c>
      <c r="P32" s="70">
        <v>6</v>
      </c>
      <c r="Q32" s="70">
        <v>5</v>
      </c>
      <c r="R32" s="70">
        <v>6</v>
      </c>
      <c r="S32" s="70">
        <v>6</v>
      </c>
      <c r="T32" s="70" t="s">
        <v>383</v>
      </c>
      <c r="U32" s="70" t="s">
        <v>383</v>
      </c>
      <c r="V32" s="70">
        <v>4</v>
      </c>
      <c r="W32" s="70" t="s">
        <v>383</v>
      </c>
      <c r="X32" s="70" t="s">
        <v>383</v>
      </c>
      <c r="Y32" s="70" t="s">
        <v>383</v>
      </c>
      <c r="Z32" s="70">
        <v>5</v>
      </c>
      <c r="AA32" s="70" t="s">
        <v>383</v>
      </c>
      <c r="AB32" s="70" t="s">
        <v>383</v>
      </c>
      <c r="AC32" s="70">
        <v>4</v>
      </c>
      <c r="AD32" s="70" t="s">
        <v>383</v>
      </c>
      <c r="AE32" s="157" t="s">
        <v>383</v>
      </c>
    </row>
    <row r="33" spans="1:32" ht="15" customHeight="1" x14ac:dyDescent="0.25">
      <c r="A33" s="156">
        <v>32</v>
      </c>
      <c r="B33" s="17" t="s">
        <v>42</v>
      </c>
      <c r="C33" s="70">
        <v>4</v>
      </c>
      <c r="D33" s="70" t="s">
        <v>383</v>
      </c>
      <c r="E33" s="70" t="s">
        <v>383</v>
      </c>
      <c r="F33" s="70" t="s">
        <v>383</v>
      </c>
      <c r="G33" s="70" t="s">
        <v>383</v>
      </c>
      <c r="H33" s="70" t="s">
        <v>383</v>
      </c>
      <c r="I33" s="70" t="s">
        <v>383</v>
      </c>
      <c r="J33" s="70" t="s">
        <v>383</v>
      </c>
      <c r="K33" s="70" t="s">
        <v>383</v>
      </c>
      <c r="L33" s="70" t="s">
        <v>383</v>
      </c>
      <c r="M33" s="70" t="s">
        <v>383</v>
      </c>
      <c r="N33" s="70" t="s">
        <v>383</v>
      </c>
      <c r="O33" s="70" t="s">
        <v>383</v>
      </c>
      <c r="P33" s="70" t="s">
        <v>383</v>
      </c>
      <c r="Q33" s="70" t="s">
        <v>383</v>
      </c>
      <c r="R33" s="70" t="s">
        <v>383</v>
      </c>
      <c r="S33" s="70" t="s">
        <v>383</v>
      </c>
      <c r="T33" s="70" t="s">
        <v>383</v>
      </c>
      <c r="U33" s="70" t="s">
        <v>383</v>
      </c>
      <c r="V33" s="70" t="s">
        <v>383</v>
      </c>
      <c r="W33" s="70" t="s">
        <v>383</v>
      </c>
      <c r="X33" s="70" t="s">
        <v>383</v>
      </c>
      <c r="Y33" s="70" t="s">
        <v>383</v>
      </c>
      <c r="Z33" s="70" t="s">
        <v>383</v>
      </c>
      <c r="AA33" s="70" t="s">
        <v>383</v>
      </c>
      <c r="AB33" s="70" t="s">
        <v>383</v>
      </c>
      <c r="AC33" s="70" t="s">
        <v>383</v>
      </c>
      <c r="AD33" s="70" t="s">
        <v>383</v>
      </c>
      <c r="AE33" s="157" t="s">
        <v>383</v>
      </c>
    </row>
    <row r="34" spans="1:32" ht="15" customHeight="1" x14ac:dyDescent="0.25">
      <c r="A34" s="156">
        <v>33</v>
      </c>
      <c r="B34" s="17" t="s">
        <v>43</v>
      </c>
      <c r="C34" s="70">
        <v>4</v>
      </c>
      <c r="D34" s="70" t="s">
        <v>383</v>
      </c>
      <c r="E34" s="70" t="s">
        <v>383</v>
      </c>
      <c r="F34" s="70">
        <v>4</v>
      </c>
      <c r="G34" s="70" t="s">
        <v>383</v>
      </c>
      <c r="H34" s="70" t="s">
        <v>383</v>
      </c>
      <c r="I34" s="70" t="s">
        <v>383</v>
      </c>
      <c r="J34" s="70" t="s">
        <v>383</v>
      </c>
      <c r="K34" s="70" t="s">
        <v>383</v>
      </c>
      <c r="L34" s="70" t="s">
        <v>383</v>
      </c>
      <c r="M34" s="70" t="s">
        <v>383</v>
      </c>
      <c r="N34" s="70" t="s">
        <v>383</v>
      </c>
      <c r="O34" s="70" t="s">
        <v>383</v>
      </c>
      <c r="P34" s="70" t="s">
        <v>383</v>
      </c>
      <c r="Q34" s="70" t="s">
        <v>383</v>
      </c>
      <c r="R34" s="70" t="s">
        <v>383</v>
      </c>
      <c r="S34" s="70" t="s">
        <v>383</v>
      </c>
      <c r="T34" s="70" t="s">
        <v>383</v>
      </c>
      <c r="U34" s="70" t="s">
        <v>383</v>
      </c>
      <c r="V34" s="70" t="s">
        <v>383</v>
      </c>
      <c r="W34" s="70" t="s">
        <v>383</v>
      </c>
      <c r="X34" s="70" t="s">
        <v>383</v>
      </c>
      <c r="Y34" s="70" t="s">
        <v>383</v>
      </c>
      <c r="Z34" s="70" t="s">
        <v>383</v>
      </c>
      <c r="AA34" s="70" t="s">
        <v>383</v>
      </c>
      <c r="AB34" s="70" t="s">
        <v>383</v>
      </c>
      <c r="AC34" s="70" t="s">
        <v>383</v>
      </c>
      <c r="AD34" s="70" t="s">
        <v>383</v>
      </c>
      <c r="AE34" s="157" t="s">
        <v>383</v>
      </c>
    </row>
    <row r="35" spans="1:32" ht="15" customHeight="1" x14ac:dyDescent="0.25">
      <c r="A35" s="156">
        <v>34</v>
      </c>
      <c r="B35" s="17" t="s">
        <v>44</v>
      </c>
      <c r="C35" s="70">
        <v>10</v>
      </c>
      <c r="D35" s="70">
        <v>5</v>
      </c>
      <c r="E35" s="70" t="s">
        <v>383</v>
      </c>
      <c r="F35" s="70" t="s">
        <v>383</v>
      </c>
      <c r="G35" s="70" t="s">
        <v>383</v>
      </c>
      <c r="H35" s="70" t="s">
        <v>383</v>
      </c>
      <c r="I35" s="70" t="s">
        <v>383</v>
      </c>
      <c r="J35" s="70">
        <v>5</v>
      </c>
      <c r="K35" s="70" t="s">
        <v>383</v>
      </c>
      <c r="L35" s="70">
        <v>5</v>
      </c>
      <c r="M35" s="70">
        <v>6</v>
      </c>
      <c r="N35" s="70">
        <v>6</v>
      </c>
      <c r="O35" s="70">
        <v>6</v>
      </c>
      <c r="P35" s="70">
        <v>7</v>
      </c>
      <c r="Q35" s="70">
        <v>6</v>
      </c>
      <c r="R35" s="70">
        <v>7</v>
      </c>
      <c r="S35" s="70">
        <v>7</v>
      </c>
      <c r="T35" s="70">
        <v>7</v>
      </c>
      <c r="U35" s="70">
        <v>6</v>
      </c>
      <c r="V35" s="70">
        <v>5</v>
      </c>
      <c r="W35" s="70">
        <v>5</v>
      </c>
      <c r="X35" s="70">
        <v>7</v>
      </c>
      <c r="Y35" s="70">
        <v>7</v>
      </c>
      <c r="Z35" s="70">
        <v>4</v>
      </c>
      <c r="AA35" s="70">
        <v>4</v>
      </c>
      <c r="AB35" s="70">
        <v>5</v>
      </c>
      <c r="AC35" s="70">
        <v>7</v>
      </c>
      <c r="AD35" s="70">
        <v>8</v>
      </c>
      <c r="AE35" s="157">
        <v>8</v>
      </c>
    </row>
    <row r="36" spans="1:32" ht="15" customHeight="1" x14ac:dyDescent="0.25">
      <c r="A36" s="156">
        <v>35</v>
      </c>
      <c r="B36" s="17" t="s">
        <v>45</v>
      </c>
      <c r="C36" s="70" t="s">
        <v>383</v>
      </c>
      <c r="D36" s="70">
        <v>4</v>
      </c>
      <c r="E36" s="70">
        <v>5</v>
      </c>
      <c r="F36" s="70">
        <v>4</v>
      </c>
      <c r="G36" s="70" t="s">
        <v>383</v>
      </c>
      <c r="H36" s="70" t="s">
        <v>383</v>
      </c>
      <c r="I36" s="70" t="s">
        <v>383</v>
      </c>
      <c r="J36" s="70" t="s">
        <v>383</v>
      </c>
      <c r="K36" s="70" t="s">
        <v>383</v>
      </c>
      <c r="L36" s="70" t="s">
        <v>383</v>
      </c>
      <c r="M36" s="70" t="s">
        <v>383</v>
      </c>
      <c r="N36" s="70" t="s">
        <v>383</v>
      </c>
      <c r="O36" s="70">
        <v>4</v>
      </c>
      <c r="P36" s="70">
        <v>6</v>
      </c>
      <c r="Q36" s="70">
        <v>6</v>
      </c>
      <c r="R36" s="70">
        <v>7</v>
      </c>
      <c r="S36" s="70">
        <v>5</v>
      </c>
      <c r="T36" s="70">
        <v>6</v>
      </c>
      <c r="U36" s="70">
        <v>6</v>
      </c>
      <c r="V36" s="70">
        <v>6</v>
      </c>
      <c r="W36" s="70">
        <v>5</v>
      </c>
      <c r="X36" s="70">
        <v>5</v>
      </c>
      <c r="Y36" s="70">
        <v>5</v>
      </c>
      <c r="Z36" s="70">
        <v>5</v>
      </c>
      <c r="AA36" s="70" t="s">
        <v>383</v>
      </c>
      <c r="AB36" s="70" t="s">
        <v>383</v>
      </c>
      <c r="AC36" s="70" t="s">
        <v>383</v>
      </c>
      <c r="AD36" s="70" t="s">
        <v>383</v>
      </c>
      <c r="AE36" s="157" t="s">
        <v>383</v>
      </c>
    </row>
    <row r="37" spans="1:32" ht="15" customHeight="1" x14ac:dyDescent="0.25">
      <c r="A37" s="156">
        <v>36</v>
      </c>
      <c r="B37" s="17" t="s">
        <v>46</v>
      </c>
      <c r="C37" s="70">
        <v>17</v>
      </c>
      <c r="D37" s="70">
        <v>17</v>
      </c>
      <c r="E37" s="70">
        <v>14</v>
      </c>
      <c r="F37" s="70">
        <v>16</v>
      </c>
      <c r="G37" s="70">
        <v>12</v>
      </c>
      <c r="H37" s="70">
        <v>14</v>
      </c>
      <c r="I37" s="70">
        <v>11</v>
      </c>
      <c r="J37" s="70">
        <v>10</v>
      </c>
      <c r="K37" s="70">
        <v>15</v>
      </c>
      <c r="L37" s="70">
        <v>21</v>
      </c>
      <c r="M37" s="70">
        <v>27</v>
      </c>
      <c r="N37" s="70">
        <v>22</v>
      </c>
      <c r="O37" s="70">
        <v>24</v>
      </c>
      <c r="P37" s="70">
        <v>24</v>
      </c>
      <c r="Q37" s="70">
        <v>25</v>
      </c>
      <c r="R37" s="70">
        <v>28</v>
      </c>
      <c r="S37" s="70">
        <v>30</v>
      </c>
      <c r="T37" s="70">
        <v>30</v>
      </c>
      <c r="U37" s="70">
        <v>27</v>
      </c>
      <c r="V37" s="70">
        <v>30</v>
      </c>
      <c r="W37" s="70">
        <v>29</v>
      </c>
      <c r="X37" s="70">
        <v>31</v>
      </c>
      <c r="Y37" s="70">
        <v>32</v>
      </c>
      <c r="Z37" s="70">
        <v>30</v>
      </c>
      <c r="AA37" s="70">
        <v>26</v>
      </c>
      <c r="AB37" s="70">
        <v>27</v>
      </c>
      <c r="AC37" s="70">
        <v>38</v>
      </c>
      <c r="AD37" s="70">
        <v>36</v>
      </c>
      <c r="AE37" s="157">
        <v>35</v>
      </c>
    </row>
    <row r="38" spans="1:32" ht="15" customHeight="1" thickBot="1" x14ac:dyDescent="0.3">
      <c r="A38" s="152">
        <v>37</v>
      </c>
      <c r="B38" s="15" t="s">
        <v>47</v>
      </c>
      <c r="C38" s="68" t="s">
        <v>383</v>
      </c>
      <c r="D38" s="68" t="s">
        <v>383</v>
      </c>
      <c r="E38" s="68" t="s">
        <v>383</v>
      </c>
      <c r="F38" s="68" t="s">
        <v>383</v>
      </c>
      <c r="G38" s="68" t="s">
        <v>383</v>
      </c>
      <c r="H38" s="68" t="s">
        <v>383</v>
      </c>
      <c r="I38" s="68" t="s">
        <v>383</v>
      </c>
      <c r="J38" s="68" t="s">
        <v>383</v>
      </c>
      <c r="K38" s="68" t="s">
        <v>383</v>
      </c>
      <c r="L38" s="68" t="s">
        <v>383</v>
      </c>
      <c r="M38" s="68" t="s">
        <v>383</v>
      </c>
      <c r="N38" s="68" t="s">
        <v>383</v>
      </c>
      <c r="O38" s="68" t="s">
        <v>383</v>
      </c>
      <c r="P38" s="68" t="s">
        <v>383</v>
      </c>
      <c r="Q38" s="68" t="s">
        <v>383</v>
      </c>
      <c r="R38" s="68" t="s">
        <v>383</v>
      </c>
      <c r="S38" s="68" t="s">
        <v>383</v>
      </c>
      <c r="T38" s="68" t="s">
        <v>383</v>
      </c>
      <c r="U38" s="68" t="s">
        <v>383</v>
      </c>
      <c r="V38" s="68" t="s">
        <v>383</v>
      </c>
      <c r="W38" s="68" t="s">
        <v>383</v>
      </c>
      <c r="X38" s="68" t="s">
        <v>383</v>
      </c>
      <c r="Y38" s="68" t="s">
        <v>383</v>
      </c>
      <c r="Z38" s="68" t="s">
        <v>383</v>
      </c>
      <c r="AA38" s="68" t="s">
        <v>383</v>
      </c>
      <c r="AB38" s="68" t="s">
        <v>383</v>
      </c>
      <c r="AC38" s="68" t="s">
        <v>383</v>
      </c>
      <c r="AD38" s="68" t="s">
        <v>383</v>
      </c>
      <c r="AE38" s="153" t="s">
        <v>383</v>
      </c>
    </row>
    <row r="39" spans="1:32" s="11" customFormat="1" ht="15" customHeight="1" thickBot="1" x14ac:dyDescent="0.3">
      <c r="A39" s="144" t="s">
        <v>48</v>
      </c>
      <c r="B39" s="9" t="s">
        <v>49</v>
      </c>
      <c r="C39" s="64">
        <v>22</v>
      </c>
      <c r="D39" s="64">
        <v>24</v>
      </c>
      <c r="E39" s="64">
        <v>22</v>
      </c>
      <c r="F39" s="64">
        <v>24</v>
      </c>
      <c r="G39" s="64">
        <v>20</v>
      </c>
      <c r="H39" s="64">
        <v>19</v>
      </c>
      <c r="I39" s="64">
        <v>19</v>
      </c>
      <c r="J39" s="64">
        <v>18</v>
      </c>
      <c r="K39" s="64">
        <v>19</v>
      </c>
      <c r="L39" s="64">
        <v>20</v>
      </c>
      <c r="M39" s="64">
        <v>21</v>
      </c>
      <c r="N39" s="64">
        <v>21</v>
      </c>
      <c r="O39" s="64">
        <v>21</v>
      </c>
      <c r="P39" s="64">
        <v>22</v>
      </c>
      <c r="Q39" s="64">
        <v>20</v>
      </c>
      <c r="R39" s="64">
        <v>22</v>
      </c>
      <c r="S39" s="64">
        <v>23</v>
      </c>
      <c r="T39" s="64">
        <v>22</v>
      </c>
      <c r="U39" s="64">
        <v>20</v>
      </c>
      <c r="V39" s="64">
        <v>22</v>
      </c>
      <c r="W39" s="64">
        <v>21</v>
      </c>
      <c r="X39" s="64">
        <v>24</v>
      </c>
      <c r="Y39" s="64">
        <v>21</v>
      </c>
      <c r="Z39" s="64">
        <v>20</v>
      </c>
      <c r="AA39" s="64">
        <v>20</v>
      </c>
      <c r="AB39" s="64">
        <v>23</v>
      </c>
      <c r="AC39" s="64">
        <v>26</v>
      </c>
      <c r="AD39" s="64">
        <v>25</v>
      </c>
      <c r="AE39" s="145">
        <v>25</v>
      </c>
      <c r="AF39" s="10"/>
    </row>
    <row r="40" spans="1:32" ht="15" customHeight="1" x14ac:dyDescent="0.25">
      <c r="A40" s="146">
        <v>40</v>
      </c>
      <c r="B40" s="12" t="s">
        <v>50</v>
      </c>
      <c r="C40" s="65">
        <v>11</v>
      </c>
      <c r="D40" s="65">
        <v>12</v>
      </c>
      <c r="E40" s="65">
        <v>11</v>
      </c>
      <c r="F40" s="65">
        <v>12</v>
      </c>
      <c r="G40" s="65">
        <v>8</v>
      </c>
      <c r="H40" s="65">
        <v>6</v>
      </c>
      <c r="I40" s="65">
        <v>6</v>
      </c>
      <c r="J40" s="65">
        <v>5</v>
      </c>
      <c r="K40" s="65">
        <v>7</v>
      </c>
      <c r="L40" s="65">
        <v>6</v>
      </c>
      <c r="M40" s="65">
        <v>7</v>
      </c>
      <c r="N40" s="65">
        <v>7</v>
      </c>
      <c r="O40" s="65">
        <v>7</v>
      </c>
      <c r="P40" s="65">
        <v>8</v>
      </c>
      <c r="Q40" s="65">
        <v>7</v>
      </c>
      <c r="R40" s="65">
        <v>8</v>
      </c>
      <c r="S40" s="65">
        <v>10</v>
      </c>
      <c r="T40" s="65">
        <v>10</v>
      </c>
      <c r="U40" s="65">
        <v>8</v>
      </c>
      <c r="V40" s="65">
        <v>10</v>
      </c>
      <c r="W40" s="65">
        <v>10</v>
      </c>
      <c r="X40" s="65">
        <v>13</v>
      </c>
      <c r="Y40" s="65">
        <v>10</v>
      </c>
      <c r="Z40" s="65">
        <v>9</v>
      </c>
      <c r="AA40" s="65">
        <v>9</v>
      </c>
      <c r="AB40" s="65">
        <v>12</v>
      </c>
      <c r="AC40" s="65">
        <v>15</v>
      </c>
      <c r="AD40" s="65">
        <v>13</v>
      </c>
      <c r="AE40" s="147">
        <v>14</v>
      </c>
    </row>
    <row r="41" spans="1:32" ht="15" customHeight="1" thickBot="1" x14ac:dyDescent="0.3">
      <c r="A41" s="158">
        <v>41</v>
      </c>
      <c r="B41" s="18" t="s">
        <v>51</v>
      </c>
      <c r="C41" s="71">
        <v>11</v>
      </c>
      <c r="D41" s="71">
        <v>12</v>
      </c>
      <c r="E41" s="71">
        <v>11</v>
      </c>
      <c r="F41" s="71">
        <v>12</v>
      </c>
      <c r="G41" s="71">
        <v>12</v>
      </c>
      <c r="H41" s="71">
        <v>13</v>
      </c>
      <c r="I41" s="71">
        <v>13</v>
      </c>
      <c r="J41" s="71">
        <v>13</v>
      </c>
      <c r="K41" s="71">
        <v>12</v>
      </c>
      <c r="L41" s="71">
        <v>14</v>
      </c>
      <c r="M41" s="71">
        <v>14</v>
      </c>
      <c r="N41" s="71">
        <v>14</v>
      </c>
      <c r="O41" s="71">
        <v>14</v>
      </c>
      <c r="P41" s="71">
        <v>14</v>
      </c>
      <c r="Q41" s="71">
        <v>13</v>
      </c>
      <c r="R41" s="71">
        <v>14</v>
      </c>
      <c r="S41" s="71">
        <v>13</v>
      </c>
      <c r="T41" s="71">
        <v>12</v>
      </c>
      <c r="U41" s="71">
        <v>12</v>
      </c>
      <c r="V41" s="71">
        <v>12</v>
      </c>
      <c r="W41" s="71">
        <v>11</v>
      </c>
      <c r="X41" s="71">
        <v>11</v>
      </c>
      <c r="Y41" s="71">
        <v>11</v>
      </c>
      <c r="Z41" s="71">
        <v>11</v>
      </c>
      <c r="AA41" s="71">
        <v>11</v>
      </c>
      <c r="AB41" s="71">
        <v>11</v>
      </c>
      <c r="AC41" s="71">
        <v>11</v>
      </c>
      <c r="AD41" s="71">
        <v>12</v>
      </c>
      <c r="AE41" s="159">
        <v>11</v>
      </c>
    </row>
    <row r="42" spans="1:32" s="11" customFormat="1" ht="15" customHeight="1" thickBot="1" x14ac:dyDescent="0.3">
      <c r="A42" s="160" t="s">
        <v>52</v>
      </c>
      <c r="B42" s="19" t="s">
        <v>53</v>
      </c>
      <c r="C42" s="64">
        <v>226</v>
      </c>
      <c r="D42" s="64">
        <v>220</v>
      </c>
      <c r="E42" s="64">
        <v>236</v>
      </c>
      <c r="F42" s="64">
        <v>217</v>
      </c>
      <c r="G42" s="64">
        <v>205</v>
      </c>
      <c r="H42" s="64">
        <v>165</v>
      </c>
      <c r="I42" s="64">
        <v>156</v>
      </c>
      <c r="J42" s="64">
        <v>177</v>
      </c>
      <c r="K42" s="64">
        <v>224</v>
      </c>
      <c r="L42" s="64">
        <v>299</v>
      </c>
      <c r="M42" s="64">
        <v>322</v>
      </c>
      <c r="N42" s="64">
        <v>378</v>
      </c>
      <c r="O42" s="64">
        <v>380</v>
      </c>
      <c r="P42" s="64">
        <v>384</v>
      </c>
      <c r="Q42" s="64">
        <v>388</v>
      </c>
      <c r="R42" s="64">
        <v>417</v>
      </c>
      <c r="S42" s="64">
        <v>437</v>
      </c>
      <c r="T42" s="64">
        <v>443</v>
      </c>
      <c r="U42" s="64">
        <v>433</v>
      </c>
      <c r="V42" s="64">
        <v>432</v>
      </c>
      <c r="W42" s="64">
        <v>442</v>
      </c>
      <c r="X42" s="64">
        <v>452</v>
      </c>
      <c r="Y42" s="64">
        <v>444</v>
      </c>
      <c r="Z42" s="64">
        <v>437</v>
      </c>
      <c r="AA42" s="64">
        <v>425</v>
      </c>
      <c r="AB42" s="64">
        <v>444</v>
      </c>
      <c r="AC42" s="64">
        <v>476</v>
      </c>
      <c r="AD42" s="64">
        <v>467</v>
      </c>
      <c r="AE42" s="145">
        <v>405</v>
      </c>
      <c r="AF42" s="10"/>
    </row>
    <row r="43" spans="1:32" ht="15" customHeight="1" thickBot="1" x14ac:dyDescent="0.3">
      <c r="A43" s="150">
        <v>45</v>
      </c>
      <c r="B43" s="14" t="s">
        <v>54</v>
      </c>
      <c r="C43" s="67">
        <v>226</v>
      </c>
      <c r="D43" s="67">
        <v>220</v>
      </c>
      <c r="E43" s="67">
        <v>236</v>
      </c>
      <c r="F43" s="67">
        <v>217</v>
      </c>
      <c r="G43" s="67">
        <v>205</v>
      </c>
      <c r="H43" s="67">
        <v>165</v>
      </c>
      <c r="I43" s="67">
        <v>156</v>
      </c>
      <c r="J43" s="67">
        <v>177</v>
      </c>
      <c r="K43" s="67">
        <v>224</v>
      </c>
      <c r="L43" s="67">
        <v>299</v>
      </c>
      <c r="M43" s="67">
        <v>322</v>
      </c>
      <c r="N43" s="67">
        <v>378</v>
      </c>
      <c r="O43" s="67">
        <v>380</v>
      </c>
      <c r="P43" s="67">
        <v>384</v>
      </c>
      <c r="Q43" s="67">
        <v>388</v>
      </c>
      <c r="R43" s="67">
        <v>417</v>
      </c>
      <c r="S43" s="67">
        <v>437</v>
      </c>
      <c r="T43" s="67">
        <v>443</v>
      </c>
      <c r="U43" s="67">
        <v>433</v>
      </c>
      <c r="V43" s="67">
        <v>432</v>
      </c>
      <c r="W43" s="67">
        <v>442</v>
      </c>
      <c r="X43" s="67">
        <v>452</v>
      </c>
      <c r="Y43" s="67">
        <v>444</v>
      </c>
      <c r="Z43" s="67">
        <v>437</v>
      </c>
      <c r="AA43" s="67">
        <v>425</v>
      </c>
      <c r="AB43" s="67">
        <v>444</v>
      </c>
      <c r="AC43" s="67">
        <v>476</v>
      </c>
      <c r="AD43" s="67">
        <v>467</v>
      </c>
      <c r="AE43" s="151">
        <v>405</v>
      </c>
    </row>
    <row r="44" spans="1:32" s="11" customFormat="1" ht="15" customHeight="1" thickBot="1" x14ac:dyDescent="0.3">
      <c r="A44" s="144" t="s">
        <v>55</v>
      </c>
      <c r="B44" s="9" t="s">
        <v>56</v>
      </c>
      <c r="C44" s="64">
        <v>1678</v>
      </c>
      <c r="D44" s="64">
        <v>1646</v>
      </c>
      <c r="E44" s="64">
        <v>1657</v>
      </c>
      <c r="F44" s="64">
        <v>1599</v>
      </c>
      <c r="G44" s="64">
        <v>1537</v>
      </c>
      <c r="H44" s="64">
        <v>1440</v>
      </c>
      <c r="I44" s="64">
        <v>1329</v>
      </c>
      <c r="J44" s="64">
        <v>1461</v>
      </c>
      <c r="K44" s="64">
        <v>1636</v>
      </c>
      <c r="L44" s="64">
        <v>1850</v>
      </c>
      <c r="M44" s="64">
        <v>2007</v>
      </c>
      <c r="N44" s="64">
        <v>2142</v>
      </c>
      <c r="O44" s="64">
        <v>2364</v>
      </c>
      <c r="P44" s="64">
        <v>2464</v>
      </c>
      <c r="Q44" s="64">
        <v>2500</v>
      </c>
      <c r="R44" s="64">
        <v>2709</v>
      </c>
      <c r="S44" s="64">
        <v>2783</v>
      </c>
      <c r="T44" s="64">
        <v>2823</v>
      </c>
      <c r="U44" s="64">
        <v>2884</v>
      </c>
      <c r="V44" s="64">
        <v>2975</v>
      </c>
      <c r="W44" s="64">
        <v>3003</v>
      </c>
      <c r="X44" s="64">
        <v>3071</v>
      </c>
      <c r="Y44" s="64">
        <v>3083</v>
      </c>
      <c r="Z44" s="64">
        <v>2904</v>
      </c>
      <c r="AA44" s="64">
        <v>2785</v>
      </c>
      <c r="AB44" s="64">
        <v>2784</v>
      </c>
      <c r="AC44" s="64">
        <v>3162</v>
      </c>
      <c r="AD44" s="64">
        <v>3351</v>
      </c>
      <c r="AE44" s="145">
        <v>3056</v>
      </c>
      <c r="AF44" s="10"/>
    </row>
    <row r="45" spans="1:32" ht="15" customHeight="1" x14ac:dyDescent="0.25">
      <c r="A45" s="146">
        <v>50</v>
      </c>
      <c r="B45" s="12" t="s">
        <v>57</v>
      </c>
      <c r="C45" s="65">
        <v>224</v>
      </c>
      <c r="D45" s="65">
        <v>221</v>
      </c>
      <c r="E45" s="65">
        <v>239</v>
      </c>
      <c r="F45" s="65">
        <v>250</v>
      </c>
      <c r="G45" s="65">
        <v>233</v>
      </c>
      <c r="H45" s="65">
        <v>218</v>
      </c>
      <c r="I45" s="65">
        <v>194</v>
      </c>
      <c r="J45" s="65">
        <v>216</v>
      </c>
      <c r="K45" s="65">
        <v>232</v>
      </c>
      <c r="L45" s="65">
        <v>261</v>
      </c>
      <c r="M45" s="65">
        <v>277</v>
      </c>
      <c r="N45" s="65">
        <v>284</v>
      </c>
      <c r="O45" s="65">
        <v>315</v>
      </c>
      <c r="P45" s="65">
        <v>339</v>
      </c>
      <c r="Q45" s="65">
        <v>338</v>
      </c>
      <c r="R45" s="65">
        <v>354</v>
      </c>
      <c r="S45" s="65">
        <v>365</v>
      </c>
      <c r="T45" s="65">
        <v>370</v>
      </c>
      <c r="U45" s="65">
        <v>370</v>
      </c>
      <c r="V45" s="65">
        <v>381</v>
      </c>
      <c r="W45" s="65">
        <v>385</v>
      </c>
      <c r="X45" s="65">
        <v>397</v>
      </c>
      <c r="Y45" s="65">
        <v>409</v>
      </c>
      <c r="Z45" s="65">
        <v>377</v>
      </c>
      <c r="AA45" s="65">
        <v>376</v>
      </c>
      <c r="AB45" s="65">
        <v>379</v>
      </c>
      <c r="AC45" s="65">
        <v>430</v>
      </c>
      <c r="AD45" s="65">
        <v>449</v>
      </c>
      <c r="AE45" s="147">
        <v>427</v>
      </c>
    </row>
    <row r="46" spans="1:32" ht="15" customHeight="1" x14ac:dyDescent="0.25">
      <c r="A46" s="156">
        <v>51</v>
      </c>
      <c r="B46" s="17" t="s">
        <v>58</v>
      </c>
      <c r="C46" s="70">
        <v>349</v>
      </c>
      <c r="D46" s="70">
        <v>349</v>
      </c>
      <c r="E46" s="70">
        <v>363</v>
      </c>
      <c r="F46" s="70">
        <v>342</v>
      </c>
      <c r="G46" s="70">
        <v>312</v>
      </c>
      <c r="H46" s="70">
        <v>292</v>
      </c>
      <c r="I46" s="70">
        <v>268</v>
      </c>
      <c r="J46" s="70">
        <v>284</v>
      </c>
      <c r="K46" s="70">
        <v>305</v>
      </c>
      <c r="L46" s="70">
        <v>341</v>
      </c>
      <c r="M46" s="70">
        <v>363</v>
      </c>
      <c r="N46" s="70">
        <v>387</v>
      </c>
      <c r="O46" s="70">
        <v>406</v>
      </c>
      <c r="P46" s="70">
        <v>405</v>
      </c>
      <c r="Q46" s="70">
        <v>418</v>
      </c>
      <c r="R46" s="70">
        <v>436</v>
      </c>
      <c r="S46" s="70">
        <v>447</v>
      </c>
      <c r="T46" s="70">
        <v>442</v>
      </c>
      <c r="U46" s="70">
        <v>461</v>
      </c>
      <c r="V46" s="70">
        <v>468</v>
      </c>
      <c r="W46" s="70">
        <v>476</v>
      </c>
      <c r="X46" s="70">
        <v>474</v>
      </c>
      <c r="Y46" s="70">
        <v>477</v>
      </c>
      <c r="Z46" s="70">
        <v>455</v>
      </c>
      <c r="AA46" s="70">
        <v>456</v>
      </c>
      <c r="AB46" s="70">
        <v>468</v>
      </c>
      <c r="AC46" s="70">
        <v>541</v>
      </c>
      <c r="AD46" s="70">
        <v>563</v>
      </c>
      <c r="AE46" s="157">
        <v>536</v>
      </c>
    </row>
    <row r="47" spans="1:32" ht="15" customHeight="1" thickBot="1" x14ac:dyDescent="0.3">
      <c r="A47" s="158">
        <v>52</v>
      </c>
      <c r="B47" s="18" t="s">
        <v>59</v>
      </c>
      <c r="C47" s="71">
        <v>1105</v>
      </c>
      <c r="D47" s="71">
        <v>1076</v>
      </c>
      <c r="E47" s="71">
        <v>1055</v>
      </c>
      <c r="F47" s="71">
        <v>1007</v>
      </c>
      <c r="G47" s="71">
        <v>992</v>
      </c>
      <c r="H47" s="71">
        <v>930</v>
      </c>
      <c r="I47" s="71">
        <v>867</v>
      </c>
      <c r="J47" s="71">
        <v>961</v>
      </c>
      <c r="K47" s="71">
        <v>1099</v>
      </c>
      <c r="L47" s="71">
        <v>1248</v>
      </c>
      <c r="M47" s="71">
        <v>1367</v>
      </c>
      <c r="N47" s="71">
        <v>1471</v>
      </c>
      <c r="O47" s="71">
        <v>1643</v>
      </c>
      <c r="P47" s="71">
        <v>1720</v>
      </c>
      <c r="Q47" s="71">
        <v>1744</v>
      </c>
      <c r="R47" s="71">
        <v>1919</v>
      </c>
      <c r="S47" s="71">
        <v>1971</v>
      </c>
      <c r="T47" s="71">
        <v>2011</v>
      </c>
      <c r="U47" s="71">
        <v>2053</v>
      </c>
      <c r="V47" s="71">
        <v>2126</v>
      </c>
      <c r="W47" s="71">
        <v>2142</v>
      </c>
      <c r="X47" s="71">
        <v>2200</v>
      </c>
      <c r="Y47" s="71">
        <v>2197</v>
      </c>
      <c r="Z47" s="71">
        <v>2072</v>
      </c>
      <c r="AA47" s="71">
        <v>1953</v>
      </c>
      <c r="AB47" s="71">
        <v>1937</v>
      </c>
      <c r="AC47" s="71">
        <v>2191</v>
      </c>
      <c r="AD47" s="71">
        <v>2339</v>
      </c>
      <c r="AE47" s="159">
        <v>2093</v>
      </c>
    </row>
    <row r="48" spans="1:32" s="11" customFormat="1" ht="15" customHeight="1" thickBot="1" x14ac:dyDescent="0.3">
      <c r="A48" s="160" t="s">
        <v>60</v>
      </c>
      <c r="B48" s="19" t="s">
        <v>61</v>
      </c>
      <c r="C48" s="64">
        <v>160</v>
      </c>
      <c r="D48" s="64">
        <v>152</v>
      </c>
      <c r="E48" s="64">
        <v>162</v>
      </c>
      <c r="F48" s="64">
        <v>153</v>
      </c>
      <c r="G48" s="64">
        <v>140</v>
      </c>
      <c r="H48" s="64">
        <v>133</v>
      </c>
      <c r="I48" s="64">
        <v>120</v>
      </c>
      <c r="J48" s="64">
        <v>128</v>
      </c>
      <c r="K48" s="64">
        <v>151</v>
      </c>
      <c r="L48" s="64">
        <v>187</v>
      </c>
      <c r="M48" s="64">
        <v>201</v>
      </c>
      <c r="N48" s="64">
        <v>245</v>
      </c>
      <c r="O48" s="64">
        <v>275</v>
      </c>
      <c r="P48" s="64">
        <v>280</v>
      </c>
      <c r="Q48" s="64">
        <v>322</v>
      </c>
      <c r="R48" s="64">
        <v>339</v>
      </c>
      <c r="S48" s="64">
        <v>355</v>
      </c>
      <c r="T48" s="64">
        <v>366</v>
      </c>
      <c r="U48" s="64">
        <v>387</v>
      </c>
      <c r="V48" s="64">
        <v>382</v>
      </c>
      <c r="W48" s="64">
        <v>399</v>
      </c>
      <c r="X48" s="64">
        <v>407</v>
      </c>
      <c r="Y48" s="64">
        <v>393</v>
      </c>
      <c r="Z48" s="64">
        <v>376</v>
      </c>
      <c r="AA48" s="64">
        <v>327</v>
      </c>
      <c r="AB48" s="64">
        <v>328</v>
      </c>
      <c r="AC48" s="64">
        <v>406</v>
      </c>
      <c r="AD48" s="64">
        <v>436</v>
      </c>
      <c r="AE48" s="145">
        <v>397</v>
      </c>
      <c r="AF48" s="10"/>
    </row>
    <row r="49" spans="1:32" ht="15" customHeight="1" thickBot="1" x14ac:dyDescent="0.3">
      <c r="A49" s="150">
        <v>55</v>
      </c>
      <c r="B49" s="14" t="s">
        <v>62</v>
      </c>
      <c r="C49" s="67">
        <v>160</v>
      </c>
      <c r="D49" s="67">
        <v>152</v>
      </c>
      <c r="E49" s="67">
        <v>162</v>
      </c>
      <c r="F49" s="67">
        <v>153</v>
      </c>
      <c r="G49" s="67">
        <v>140</v>
      </c>
      <c r="H49" s="67">
        <v>133</v>
      </c>
      <c r="I49" s="67">
        <v>120</v>
      </c>
      <c r="J49" s="67">
        <v>128</v>
      </c>
      <c r="K49" s="67">
        <v>151</v>
      </c>
      <c r="L49" s="67">
        <v>187</v>
      </c>
      <c r="M49" s="67">
        <v>201</v>
      </c>
      <c r="N49" s="67">
        <v>245</v>
      </c>
      <c r="O49" s="67">
        <v>275</v>
      </c>
      <c r="P49" s="67">
        <v>280</v>
      </c>
      <c r="Q49" s="67">
        <v>322</v>
      </c>
      <c r="R49" s="67">
        <v>339</v>
      </c>
      <c r="S49" s="67">
        <v>355</v>
      </c>
      <c r="T49" s="67">
        <v>366</v>
      </c>
      <c r="U49" s="67">
        <v>387</v>
      </c>
      <c r="V49" s="67">
        <v>382</v>
      </c>
      <c r="W49" s="67">
        <v>399</v>
      </c>
      <c r="X49" s="67">
        <v>407</v>
      </c>
      <c r="Y49" s="67">
        <v>393</v>
      </c>
      <c r="Z49" s="67">
        <v>376</v>
      </c>
      <c r="AA49" s="67">
        <v>327</v>
      </c>
      <c r="AB49" s="67">
        <v>328</v>
      </c>
      <c r="AC49" s="67">
        <v>406</v>
      </c>
      <c r="AD49" s="67">
        <v>436</v>
      </c>
      <c r="AE49" s="151">
        <v>397</v>
      </c>
    </row>
    <row r="50" spans="1:32" s="11" customFormat="1" ht="15" customHeight="1" thickBot="1" x14ac:dyDescent="0.3">
      <c r="A50" s="144" t="s">
        <v>63</v>
      </c>
      <c r="B50" s="9" t="s">
        <v>64</v>
      </c>
      <c r="C50" s="64">
        <v>312</v>
      </c>
      <c r="D50" s="64">
        <v>316</v>
      </c>
      <c r="E50" s="64">
        <v>349</v>
      </c>
      <c r="F50" s="64">
        <v>367</v>
      </c>
      <c r="G50" s="64">
        <v>333</v>
      </c>
      <c r="H50" s="64">
        <v>316</v>
      </c>
      <c r="I50" s="64">
        <v>306</v>
      </c>
      <c r="J50" s="64">
        <v>333</v>
      </c>
      <c r="K50" s="64">
        <v>367</v>
      </c>
      <c r="L50" s="64">
        <v>426</v>
      </c>
      <c r="M50" s="64">
        <v>464</v>
      </c>
      <c r="N50" s="64">
        <v>500</v>
      </c>
      <c r="O50" s="64">
        <v>561</v>
      </c>
      <c r="P50" s="64">
        <v>567</v>
      </c>
      <c r="Q50" s="64">
        <v>614</v>
      </c>
      <c r="R50" s="64">
        <v>639</v>
      </c>
      <c r="S50" s="64">
        <v>632</v>
      </c>
      <c r="T50" s="64">
        <v>643</v>
      </c>
      <c r="U50" s="64">
        <v>660</v>
      </c>
      <c r="V50" s="64">
        <v>656</v>
      </c>
      <c r="W50" s="64">
        <v>657</v>
      </c>
      <c r="X50" s="64">
        <v>670</v>
      </c>
      <c r="Y50" s="64">
        <v>661</v>
      </c>
      <c r="Z50" s="64">
        <v>644</v>
      </c>
      <c r="AA50" s="64">
        <v>640</v>
      </c>
      <c r="AB50" s="64">
        <v>634</v>
      </c>
      <c r="AC50" s="64">
        <v>714</v>
      </c>
      <c r="AD50" s="64">
        <v>715</v>
      </c>
      <c r="AE50" s="145">
        <v>680</v>
      </c>
      <c r="AF50" s="10"/>
    </row>
    <row r="51" spans="1:32" ht="15" customHeight="1" x14ac:dyDescent="0.25">
      <c r="A51" s="152">
        <v>60</v>
      </c>
      <c r="B51" s="15" t="s">
        <v>65</v>
      </c>
      <c r="C51" s="68">
        <v>190</v>
      </c>
      <c r="D51" s="68">
        <v>179</v>
      </c>
      <c r="E51" s="68">
        <v>208</v>
      </c>
      <c r="F51" s="68">
        <v>215</v>
      </c>
      <c r="G51" s="68">
        <v>184</v>
      </c>
      <c r="H51" s="68">
        <v>172</v>
      </c>
      <c r="I51" s="68">
        <v>165</v>
      </c>
      <c r="J51" s="68">
        <v>183</v>
      </c>
      <c r="K51" s="68">
        <v>207</v>
      </c>
      <c r="L51" s="68">
        <v>254</v>
      </c>
      <c r="M51" s="68">
        <v>296</v>
      </c>
      <c r="N51" s="68">
        <v>327</v>
      </c>
      <c r="O51" s="68">
        <v>374</v>
      </c>
      <c r="P51" s="68">
        <v>375</v>
      </c>
      <c r="Q51" s="68">
        <v>422</v>
      </c>
      <c r="R51" s="68">
        <v>432</v>
      </c>
      <c r="S51" s="68">
        <v>425</v>
      </c>
      <c r="T51" s="68">
        <v>432</v>
      </c>
      <c r="U51" s="68">
        <v>446</v>
      </c>
      <c r="V51" s="68">
        <v>439</v>
      </c>
      <c r="W51" s="68">
        <v>446</v>
      </c>
      <c r="X51" s="68">
        <v>451</v>
      </c>
      <c r="Y51" s="68">
        <v>450</v>
      </c>
      <c r="Z51" s="68">
        <v>438</v>
      </c>
      <c r="AA51" s="68">
        <v>434</v>
      </c>
      <c r="AB51" s="68">
        <v>434</v>
      </c>
      <c r="AC51" s="68">
        <v>487</v>
      </c>
      <c r="AD51" s="68">
        <v>495</v>
      </c>
      <c r="AE51" s="153">
        <v>483</v>
      </c>
    </row>
    <row r="52" spans="1:32" ht="15" customHeight="1" x14ac:dyDescent="0.25">
      <c r="A52" s="161">
        <v>61</v>
      </c>
      <c r="B52" s="20" t="s">
        <v>66</v>
      </c>
      <c r="C52" s="73" t="s">
        <v>383</v>
      </c>
      <c r="D52" s="73" t="s">
        <v>383</v>
      </c>
      <c r="E52" s="73" t="s">
        <v>383</v>
      </c>
      <c r="F52" s="73" t="s">
        <v>383</v>
      </c>
      <c r="G52" s="73" t="s">
        <v>383</v>
      </c>
      <c r="H52" s="73" t="s">
        <v>383</v>
      </c>
      <c r="I52" s="73" t="s">
        <v>383</v>
      </c>
      <c r="J52" s="73" t="s">
        <v>383</v>
      </c>
      <c r="K52" s="73" t="s">
        <v>383</v>
      </c>
      <c r="L52" s="73" t="s">
        <v>383</v>
      </c>
      <c r="M52" s="73" t="s">
        <v>383</v>
      </c>
      <c r="N52" s="73" t="s">
        <v>383</v>
      </c>
      <c r="O52" s="73" t="s">
        <v>383</v>
      </c>
      <c r="P52" s="73" t="s">
        <v>383</v>
      </c>
      <c r="Q52" s="73" t="s">
        <v>383</v>
      </c>
      <c r="R52" s="73" t="s">
        <v>383</v>
      </c>
      <c r="S52" s="73" t="s">
        <v>383</v>
      </c>
      <c r="T52" s="73" t="s">
        <v>383</v>
      </c>
      <c r="U52" s="73" t="s">
        <v>383</v>
      </c>
      <c r="V52" s="73" t="s">
        <v>383</v>
      </c>
      <c r="W52" s="73" t="s">
        <v>383</v>
      </c>
      <c r="X52" s="73" t="s">
        <v>383</v>
      </c>
      <c r="Y52" s="73" t="s">
        <v>383</v>
      </c>
      <c r="Z52" s="73" t="s">
        <v>383</v>
      </c>
      <c r="AA52" s="73" t="s">
        <v>383</v>
      </c>
      <c r="AB52" s="73" t="s">
        <v>383</v>
      </c>
      <c r="AC52" s="73" t="s">
        <v>383</v>
      </c>
      <c r="AD52" s="73" t="s">
        <v>383</v>
      </c>
      <c r="AE52" s="162" t="s">
        <v>383</v>
      </c>
    </row>
    <row r="53" spans="1:32" ht="15" customHeight="1" x14ac:dyDescent="0.25">
      <c r="A53" s="152">
        <v>62</v>
      </c>
      <c r="B53" s="15" t="s">
        <v>67</v>
      </c>
      <c r="C53" s="68" t="s">
        <v>383</v>
      </c>
      <c r="D53" s="68" t="s">
        <v>383</v>
      </c>
      <c r="E53" s="68" t="s">
        <v>383</v>
      </c>
      <c r="F53" s="68" t="s">
        <v>383</v>
      </c>
      <c r="G53" s="68" t="s">
        <v>383</v>
      </c>
      <c r="H53" s="68" t="s">
        <v>383</v>
      </c>
      <c r="I53" s="68" t="s">
        <v>383</v>
      </c>
      <c r="J53" s="68" t="s">
        <v>383</v>
      </c>
      <c r="K53" s="68" t="s">
        <v>383</v>
      </c>
      <c r="L53" s="68" t="s">
        <v>383</v>
      </c>
      <c r="M53" s="68" t="s">
        <v>383</v>
      </c>
      <c r="N53" s="68" t="s">
        <v>383</v>
      </c>
      <c r="O53" s="68" t="s">
        <v>383</v>
      </c>
      <c r="P53" s="68" t="s">
        <v>383</v>
      </c>
      <c r="Q53" s="68" t="s">
        <v>383</v>
      </c>
      <c r="R53" s="68" t="s">
        <v>383</v>
      </c>
      <c r="S53" s="68" t="s">
        <v>383</v>
      </c>
      <c r="T53" s="68" t="s">
        <v>383</v>
      </c>
      <c r="U53" s="68" t="s">
        <v>383</v>
      </c>
      <c r="V53" s="68" t="s">
        <v>383</v>
      </c>
      <c r="W53" s="68" t="s">
        <v>383</v>
      </c>
      <c r="X53" s="68" t="s">
        <v>383</v>
      </c>
      <c r="Y53" s="68" t="s">
        <v>383</v>
      </c>
      <c r="Z53" s="68" t="s">
        <v>383</v>
      </c>
      <c r="AA53" s="68" t="s">
        <v>383</v>
      </c>
      <c r="AB53" s="68" t="s">
        <v>383</v>
      </c>
      <c r="AC53" s="68" t="s">
        <v>383</v>
      </c>
      <c r="AD53" s="68" t="s">
        <v>383</v>
      </c>
      <c r="AE53" s="153" t="s">
        <v>383</v>
      </c>
    </row>
    <row r="54" spans="1:32" ht="15" customHeight="1" x14ac:dyDescent="0.25">
      <c r="A54" s="163">
        <v>63</v>
      </c>
      <c r="B54" s="21" t="s">
        <v>68</v>
      </c>
      <c r="C54" s="74">
        <v>66</v>
      </c>
      <c r="D54" s="74">
        <v>72</v>
      </c>
      <c r="E54" s="74">
        <v>79</v>
      </c>
      <c r="F54" s="74">
        <v>77</v>
      </c>
      <c r="G54" s="74">
        <v>71</v>
      </c>
      <c r="H54" s="74">
        <v>68</v>
      </c>
      <c r="I54" s="74">
        <v>69</v>
      </c>
      <c r="J54" s="74">
        <v>75</v>
      </c>
      <c r="K54" s="74">
        <v>86</v>
      </c>
      <c r="L54" s="74">
        <v>97</v>
      </c>
      <c r="M54" s="74">
        <v>95</v>
      </c>
      <c r="N54" s="74">
        <v>96</v>
      </c>
      <c r="O54" s="74">
        <v>116</v>
      </c>
      <c r="P54" s="74">
        <v>125</v>
      </c>
      <c r="Q54" s="74">
        <v>124</v>
      </c>
      <c r="R54" s="74">
        <v>134</v>
      </c>
      <c r="S54" s="74">
        <v>139</v>
      </c>
      <c r="T54" s="74">
        <v>149</v>
      </c>
      <c r="U54" s="74">
        <v>147</v>
      </c>
      <c r="V54" s="74">
        <v>152</v>
      </c>
      <c r="W54" s="74">
        <v>148</v>
      </c>
      <c r="X54" s="74">
        <v>152</v>
      </c>
      <c r="Y54" s="74">
        <v>151</v>
      </c>
      <c r="Z54" s="74">
        <v>141</v>
      </c>
      <c r="AA54" s="74">
        <v>135</v>
      </c>
      <c r="AB54" s="74">
        <v>136</v>
      </c>
      <c r="AC54" s="74">
        <v>152</v>
      </c>
      <c r="AD54" s="74">
        <v>146</v>
      </c>
      <c r="AE54" s="164">
        <v>127</v>
      </c>
    </row>
    <row r="55" spans="1:32" ht="15" customHeight="1" thickBot="1" x14ac:dyDescent="0.3">
      <c r="A55" s="152">
        <v>64</v>
      </c>
      <c r="B55" s="15" t="s">
        <v>99</v>
      </c>
      <c r="C55" s="68">
        <v>47</v>
      </c>
      <c r="D55" s="68">
        <v>55</v>
      </c>
      <c r="E55" s="68">
        <v>56</v>
      </c>
      <c r="F55" s="68">
        <v>68</v>
      </c>
      <c r="G55" s="68">
        <v>71</v>
      </c>
      <c r="H55" s="68">
        <v>69</v>
      </c>
      <c r="I55" s="68">
        <v>65</v>
      </c>
      <c r="J55" s="68">
        <v>67</v>
      </c>
      <c r="K55" s="68">
        <v>66</v>
      </c>
      <c r="L55" s="68">
        <v>65</v>
      </c>
      <c r="M55" s="68">
        <v>63</v>
      </c>
      <c r="N55" s="68">
        <v>67</v>
      </c>
      <c r="O55" s="68">
        <v>63</v>
      </c>
      <c r="P55" s="68">
        <v>57</v>
      </c>
      <c r="Q55" s="68">
        <v>59</v>
      </c>
      <c r="R55" s="68">
        <v>63</v>
      </c>
      <c r="S55" s="68">
        <v>60</v>
      </c>
      <c r="T55" s="68">
        <v>54</v>
      </c>
      <c r="U55" s="68">
        <v>60</v>
      </c>
      <c r="V55" s="68">
        <v>58</v>
      </c>
      <c r="W55" s="68">
        <v>56</v>
      </c>
      <c r="X55" s="68">
        <v>60</v>
      </c>
      <c r="Y55" s="68">
        <v>55</v>
      </c>
      <c r="Z55" s="68">
        <v>57</v>
      </c>
      <c r="AA55" s="68">
        <v>64</v>
      </c>
      <c r="AB55" s="68">
        <v>59</v>
      </c>
      <c r="AC55" s="68">
        <v>70</v>
      </c>
      <c r="AD55" s="68">
        <v>69</v>
      </c>
      <c r="AE55" s="153">
        <v>64</v>
      </c>
    </row>
    <row r="56" spans="1:32" s="11" customFormat="1" ht="15" customHeight="1" thickBot="1" x14ac:dyDescent="0.3">
      <c r="A56" s="144" t="s">
        <v>70</v>
      </c>
      <c r="B56" s="9" t="s">
        <v>71</v>
      </c>
      <c r="C56" s="64">
        <v>68</v>
      </c>
      <c r="D56" s="64">
        <v>78</v>
      </c>
      <c r="E56" s="64">
        <v>86</v>
      </c>
      <c r="F56" s="64">
        <v>93</v>
      </c>
      <c r="G56" s="64">
        <v>95</v>
      </c>
      <c r="H56" s="64">
        <v>99</v>
      </c>
      <c r="I56" s="64">
        <v>86</v>
      </c>
      <c r="J56" s="64">
        <v>90</v>
      </c>
      <c r="K56" s="64">
        <v>88</v>
      </c>
      <c r="L56" s="64">
        <v>103</v>
      </c>
      <c r="M56" s="64">
        <v>115</v>
      </c>
      <c r="N56" s="64">
        <v>125</v>
      </c>
      <c r="O56" s="64">
        <v>124</v>
      </c>
      <c r="P56" s="64">
        <v>115</v>
      </c>
      <c r="Q56" s="64">
        <v>115</v>
      </c>
      <c r="R56" s="64">
        <v>130</v>
      </c>
      <c r="S56" s="64">
        <v>124</v>
      </c>
      <c r="T56" s="64">
        <v>136</v>
      </c>
      <c r="U56" s="64">
        <v>131</v>
      </c>
      <c r="V56" s="64">
        <v>135</v>
      </c>
      <c r="W56" s="64">
        <v>137</v>
      </c>
      <c r="X56" s="64">
        <v>131</v>
      </c>
      <c r="Y56" s="64">
        <v>129</v>
      </c>
      <c r="Z56" s="64">
        <v>129</v>
      </c>
      <c r="AA56" s="64">
        <v>132</v>
      </c>
      <c r="AB56" s="64">
        <v>134</v>
      </c>
      <c r="AC56" s="64">
        <v>129</v>
      </c>
      <c r="AD56" s="64">
        <v>136</v>
      </c>
      <c r="AE56" s="145">
        <v>128</v>
      </c>
      <c r="AF56" s="10"/>
    </row>
    <row r="57" spans="1:32" ht="15" customHeight="1" x14ac:dyDescent="0.25">
      <c r="A57" s="152">
        <v>65</v>
      </c>
      <c r="B57" s="15" t="s">
        <v>72</v>
      </c>
      <c r="C57" s="68">
        <v>30</v>
      </c>
      <c r="D57" s="68">
        <v>35</v>
      </c>
      <c r="E57" s="68">
        <v>36</v>
      </c>
      <c r="F57" s="68">
        <v>34</v>
      </c>
      <c r="G57" s="68">
        <v>38</v>
      </c>
      <c r="H57" s="68">
        <v>38</v>
      </c>
      <c r="I57" s="68">
        <v>33</v>
      </c>
      <c r="J57" s="68">
        <v>31</v>
      </c>
      <c r="K57" s="68">
        <v>32</v>
      </c>
      <c r="L57" s="68">
        <v>37</v>
      </c>
      <c r="M57" s="68">
        <v>34</v>
      </c>
      <c r="N57" s="68">
        <v>42</v>
      </c>
      <c r="O57" s="68">
        <v>42</v>
      </c>
      <c r="P57" s="68">
        <v>39</v>
      </c>
      <c r="Q57" s="68">
        <v>43</v>
      </c>
      <c r="R57" s="68">
        <v>52</v>
      </c>
      <c r="S57" s="68">
        <v>51</v>
      </c>
      <c r="T57" s="68">
        <v>55</v>
      </c>
      <c r="U57" s="68">
        <v>55</v>
      </c>
      <c r="V57" s="68">
        <v>53</v>
      </c>
      <c r="W57" s="68">
        <v>55</v>
      </c>
      <c r="X57" s="68">
        <v>49</v>
      </c>
      <c r="Y57" s="68">
        <v>48</v>
      </c>
      <c r="Z57" s="68">
        <v>50</v>
      </c>
      <c r="AA57" s="68">
        <v>50</v>
      </c>
      <c r="AB57" s="68">
        <v>50</v>
      </c>
      <c r="AC57" s="68">
        <v>47</v>
      </c>
      <c r="AD57" s="68">
        <v>48</v>
      </c>
      <c r="AE57" s="153">
        <v>48</v>
      </c>
    </row>
    <row r="58" spans="1:32" ht="15" customHeight="1" x14ac:dyDescent="0.25">
      <c r="A58" s="156">
        <v>66</v>
      </c>
      <c r="B58" s="17" t="s">
        <v>100</v>
      </c>
      <c r="C58" s="70">
        <v>24</v>
      </c>
      <c r="D58" s="70">
        <v>29</v>
      </c>
      <c r="E58" s="70">
        <v>31</v>
      </c>
      <c r="F58" s="70">
        <v>36</v>
      </c>
      <c r="G58" s="70">
        <v>37</v>
      </c>
      <c r="H58" s="70">
        <v>39</v>
      </c>
      <c r="I58" s="70">
        <v>37</v>
      </c>
      <c r="J58" s="70">
        <v>38</v>
      </c>
      <c r="K58" s="70">
        <v>33</v>
      </c>
      <c r="L58" s="70">
        <v>40</v>
      </c>
      <c r="M58" s="70">
        <v>46</v>
      </c>
      <c r="N58" s="70">
        <v>47</v>
      </c>
      <c r="O58" s="70">
        <v>44</v>
      </c>
      <c r="P58" s="70">
        <v>35</v>
      </c>
      <c r="Q58" s="70">
        <v>33</v>
      </c>
      <c r="R58" s="70">
        <v>37</v>
      </c>
      <c r="S58" s="70">
        <v>34</v>
      </c>
      <c r="T58" s="70">
        <v>35</v>
      </c>
      <c r="U58" s="70">
        <v>28</v>
      </c>
      <c r="V58" s="70">
        <v>31</v>
      </c>
      <c r="W58" s="70">
        <v>34</v>
      </c>
      <c r="X58" s="70">
        <v>29</v>
      </c>
      <c r="Y58" s="70">
        <v>29</v>
      </c>
      <c r="Z58" s="70">
        <v>29</v>
      </c>
      <c r="AA58" s="70">
        <v>33</v>
      </c>
      <c r="AB58" s="70">
        <v>36</v>
      </c>
      <c r="AC58" s="70">
        <v>32</v>
      </c>
      <c r="AD58" s="70">
        <v>35</v>
      </c>
      <c r="AE58" s="157">
        <v>32</v>
      </c>
    </row>
    <row r="59" spans="1:32" ht="15" customHeight="1" thickBot="1" x14ac:dyDescent="0.3">
      <c r="A59" s="152">
        <v>67</v>
      </c>
      <c r="B59" s="15" t="s">
        <v>74</v>
      </c>
      <c r="C59" s="68">
        <v>14</v>
      </c>
      <c r="D59" s="68">
        <v>14</v>
      </c>
      <c r="E59" s="68">
        <v>19</v>
      </c>
      <c r="F59" s="68">
        <v>23</v>
      </c>
      <c r="G59" s="68">
        <v>20</v>
      </c>
      <c r="H59" s="68">
        <v>22</v>
      </c>
      <c r="I59" s="68">
        <v>16</v>
      </c>
      <c r="J59" s="68">
        <v>21</v>
      </c>
      <c r="K59" s="68">
        <v>23</v>
      </c>
      <c r="L59" s="68">
        <v>26</v>
      </c>
      <c r="M59" s="68">
        <v>35</v>
      </c>
      <c r="N59" s="68">
        <v>36</v>
      </c>
      <c r="O59" s="68">
        <v>38</v>
      </c>
      <c r="P59" s="68">
        <v>41</v>
      </c>
      <c r="Q59" s="68">
        <v>39</v>
      </c>
      <c r="R59" s="68">
        <v>41</v>
      </c>
      <c r="S59" s="68">
        <v>39</v>
      </c>
      <c r="T59" s="68">
        <v>46</v>
      </c>
      <c r="U59" s="68">
        <v>48</v>
      </c>
      <c r="V59" s="68">
        <v>51</v>
      </c>
      <c r="W59" s="68">
        <v>48</v>
      </c>
      <c r="X59" s="68">
        <v>53</v>
      </c>
      <c r="Y59" s="68">
        <v>52</v>
      </c>
      <c r="Z59" s="68">
        <v>50</v>
      </c>
      <c r="AA59" s="68">
        <v>49</v>
      </c>
      <c r="AB59" s="68">
        <v>48</v>
      </c>
      <c r="AC59" s="68">
        <v>50</v>
      </c>
      <c r="AD59" s="68">
        <v>53</v>
      </c>
      <c r="AE59" s="153">
        <v>48</v>
      </c>
    </row>
    <row r="60" spans="1:32" s="11" customFormat="1" ht="15" customHeight="1" thickBot="1" x14ac:dyDescent="0.3">
      <c r="A60" s="144" t="s">
        <v>75</v>
      </c>
      <c r="B60" s="9" t="s">
        <v>76</v>
      </c>
      <c r="C60" s="64">
        <v>962</v>
      </c>
      <c r="D60" s="64">
        <v>975</v>
      </c>
      <c r="E60" s="64">
        <v>1007</v>
      </c>
      <c r="F60" s="64">
        <v>992</v>
      </c>
      <c r="G60" s="64">
        <v>924</v>
      </c>
      <c r="H60" s="64">
        <v>943</v>
      </c>
      <c r="I60" s="64">
        <v>855</v>
      </c>
      <c r="J60" s="64">
        <v>897</v>
      </c>
      <c r="K60" s="64">
        <v>994</v>
      </c>
      <c r="L60" s="64">
        <v>1110</v>
      </c>
      <c r="M60" s="64">
        <v>1130</v>
      </c>
      <c r="N60" s="64">
        <v>1137</v>
      </c>
      <c r="O60" s="64">
        <v>1173</v>
      </c>
      <c r="P60" s="64">
        <v>1154</v>
      </c>
      <c r="Q60" s="64">
        <v>1179</v>
      </c>
      <c r="R60" s="64">
        <v>1227</v>
      </c>
      <c r="S60" s="64">
        <v>1227</v>
      </c>
      <c r="T60" s="64">
        <v>1223</v>
      </c>
      <c r="U60" s="64">
        <v>1188</v>
      </c>
      <c r="V60" s="64">
        <v>1190</v>
      </c>
      <c r="W60" s="64">
        <v>1158</v>
      </c>
      <c r="X60" s="64">
        <v>1172</v>
      </c>
      <c r="Y60" s="64">
        <v>1080</v>
      </c>
      <c r="Z60" s="64">
        <v>1054</v>
      </c>
      <c r="AA60" s="64">
        <v>973</v>
      </c>
      <c r="AB60" s="64">
        <v>983</v>
      </c>
      <c r="AC60" s="64">
        <v>1098</v>
      </c>
      <c r="AD60" s="64">
        <v>1219</v>
      </c>
      <c r="AE60" s="145">
        <v>1013</v>
      </c>
      <c r="AF60" s="10"/>
    </row>
    <row r="61" spans="1:32" ht="15" customHeight="1" x14ac:dyDescent="0.25">
      <c r="A61" s="146">
        <v>70</v>
      </c>
      <c r="B61" s="12" t="s">
        <v>77</v>
      </c>
      <c r="C61" s="65">
        <v>426</v>
      </c>
      <c r="D61" s="65">
        <v>427</v>
      </c>
      <c r="E61" s="65">
        <v>434</v>
      </c>
      <c r="F61" s="65">
        <v>430</v>
      </c>
      <c r="G61" s="65">
        <v>392</v>
      </c>
      <c r="H61" s="65">
        <v>382</v>
      </c>
      <c r="I61" s="65">
        <v>353</v>
      </c>
      <c r="J61" s="65">
        <v>374</v>
      </c>
      <c r="K61" s="65">
        <v>403</v>
      </c>
      <c r="L61" s="65">
        <v>403</v>
      </c>
      <c r="M61" s="65">
        <v>410</v>
      </c>
      <c r="N61" s="65">
        <v>398</v>
      </c>
      <c r="O61" s="65">
        <v>398</v>
      </c>
      <c r="P61" s="65">
        <v>399</v>
      </c>
      <c r="Q61" s="65">
        <v>410</v>
      </c>
      <c r="R61" s="65">
        <v>435</v>
      </c>
      <c r="S61" s="65">
        <v>441</v>
      </c>
      <c r="T61" s="65">
        <v>441</v>
      </c>
      <c r="U61" s="65">
        <v>413</v>
      </c>
      <c r="V61" s="65">
        <v>398</v>
      </c>
      <c r="W61" s="65">
        <v>388</v>
      </c>
      <c r="X61" s="65">
        <v>385</v>
      </c>
      <c r="Y61" s="65">
        <v>347</v>
      </c>
      <c r="Z61" s="65">
        <v>352</v>
      </c>
      <c r="AA61" s="65">
        <v>321</v>
      </c>
      <c r="AB61" s="65">
        <v>314</v>
      </c>
      <c r="AC61" s="65">
        <v>348</v>
      </c>
      <c r="AD61" s="65">
        <v>341</v>
      </c>
      <c r="AE61" s="147">
        <v>303</v>
      </c>
    </row>
    <row r="62" spans="1:32" ht="15" customHeight="1" x14ac:dyDescent="0.25">
      <c r="A62" s="156">
        <v>71</v>
      </c>
      <c r="B62" s="17" t="s">
        <v>78</v>
      </c>
      <c r="C62" s="70">
        <v>13</v>
      </c>
      <c r="D62" s="70">
        <v>10</v>
      </c>
      <c r="E62" s="70" t="s">
        <v>383</v>
      </c>
      <c r="F62" s="70" t="s">
        <v>383</v>
      </c>
      <c r="G62" s="70" t="s">
        <v>383</v>
      </c>
      <c r="H62" s="70" t="s">
        <v>383</v>
      </c>
      <c r="I62" s="70">
        <v>6</v>
      </c>
      <c r="J62" s="70">
        <v>7</v>
      </c>
      <c r="K62" s="70" t="s">
        <v>383</v>
      </c>
      <c r="L62" s="70" t="s">
        <v>383</v>
      </c>
      <c r="M62" s="70" t="s">
        <v>383</v>
      </c>
      <c r="N62" s="70" t="s">
        <v>383</v>
      </c>
      <c r="O62" s="70" t="s">
        <v>383</v>
      </c>
      <c r="P62" s="70" t="s">
        <v>383</v>
      </c>
      <c r="Q62" s="70">
        <v>22</v>
      </c>
      <c r="R62" s="70">
        <v>23</v>
      </c>
      <c r="S62" s="70">
        <v>19</v>
      </c>
      <c r="T62" s="70">
        <v>20</v>
      </c>
      <c r="U62" s="70">
        <v>19</v>
      </c>
      <c r="V62" s="70">
        <v>20</v>
      </c>
      <c r="W62" s="70">
        <v>19</v>
      </c>
      <c r="X62" s="70">
        <v>24</v>
      </c>
      <c r="Y62" s="70">
        <v>19</v>
      </c>
      <c r="Z62" s="70">
        <v>18</v>
      </c>
      <c r="AA62" s="70">
        <v>15</v>
      </c>
      <c r="AB62" s="70">
        <v>14</v>
      </c>
      <c r="AC62" s="70">
        <v>15</v>
      </c>
      <c r="AD62" s="70">
        <v>18</v>
      </c>
      <c r="AE62" s="157">
        <v>19</v>
      </c>
    </row>
    <row r="63" spans="1:32" ht="15" customHeight="1" x14ac:dyDescent="0.25">
      <c r="A63" s="156">
        <v>72</v>
      </c>
      <c r="B63" s="17" t="s">
        <v>79</v>
      </c>
      <c r="C63" s="70">
        <v>12</v>
      </c>
      <c r="D63" s="70">
        <v>14</v>
      </c>
      <c r="E63" s="70">
        <v>19</v>
      </c>
      <c r="F63" s="70">
        <v>20</v>
      </c>
      <c r="G63" s="70">
        <v>13</v>
      </c>
      <c r="H63" s="70">
        <v>12</v>
      </c>
      <c r="I63" s="70" t="s">
        <v>383</v>
      </c>
      <c r="J63" s="70" t="s">
        <v>383</v>
      </c>
      <c r="K63" s="70">
        <v>15</v>
      </c>
      <c r="L63" s="70">
        <v>25</v>
      </c>
      <c r="M63" s="70">
        <v>23</v>
      </c>
      <c r="N63" s="70">
        <v>28</v>
      </c>
      <c r="O63" s="70">
        <v>32</v>
      </c>
      <c r="P63" s="70">
        <v>33</v>
      </c>
      <c r="Q63" s="70">
        <v>34</v>
      </c>
      <c r="R63" s="70">
        <v>31</v>
      </c>
      <c r="S63" s="70">
        <v>35</v>
      </c>
      <c r="T63" s="70">
        <v>44</v>
      </c>
      <c r="U63" s="70">
        <v>46</v>
      </c>
      <c r="V63" s="70">
        <v>39</v>
      </c>
      <c r="W63" s="70">
        <v>41</v>
      </c>
      <c r="X63" s="70">
        <v>41</v>
      </c>
      <c r="Y63" s="70">
        <v>44</v>
      </c>
      <c r="Z63" s="70">
        <v>44</v>
      </c>
      <c r="AA63" s="70">
        <v>47</v>
      </c>
      <c r="AB63" s="70">
        <v>65</v>
      </c>
      <c r="AC63" s="70">
        <v>72</v>
      </c>
      <c r="AD63" s="70">
        <v>73</v>
      </c>
      <c r="AE63" s="157">
        <v>69</v>
      </c>
    </row>
    <row r="64" spans="1:32" ht="15" customHeight="1" x14ac:dyDescent="0.25">
      <c r="A64" s="156">
        <v>73</v>
      </c>
      <c r="B64" s="17" t="s">
        <v>80</v>
      </c>
      <c r="C64" s="70">
        <v>5</v>
      </c>
      <c r="D64" s="70" t="s">
        <v>383</v>
      </c>
      <c r="E64" s="70" t="s">
        <v>383</v>
      </c>
      <c r="F64" s="70" t="s">
        <v>383</v>
      </c>
      <c r="G64" s="70" t="s">
        <v>383</v>
      </c>
      <c r="H64" s="70" t="s">
        <v>383</v>
      </c>
      <c r="I64" s="70" t="s">
        <v>383</v>
      </c>
      <c r="J64" s="70" t="s">
        <v>383</v>
      </c>
      <c r="K64" s="70" t="s">
        <v>383</v>
      </c>
      <c r="L64" s="70" t="s">
        <v>383</v>
      </c>
      <c r="M64" s="70" t="s">
        <v>383</v>
      </c>
      <c r="N64" s="70" t="s">
        <v>383</v>
      </c>
      <c r="O64" s="70" t="s">
        <v>383</v>
      </c>
      <c r="P64" s="70" t="s">
        <v>383</v>
      </c>
      <c r="Q64" s="70">
        <v>6</v>
      </c>
      <c r="R64" s="70">
        <v>8</v>
      </c>
      <c r="S64" s="70">
        <v>9</v>
      </c>
      <c r="T64" s="70">
        <v>9</v>
      </c>
      <c r="U64" s="70">
        <v>11</v>
      </c>
      <c r="V64" s="70">
        <v>12</v>
      </c>
      <c r="W64" s="70">
        <v>13</v>
      </c>
      <c r="X64" s="70">
        <v>13</v>
      </c>
      <c r="Y64" s="70">
        <v>12</v>
      </c>
      <c r="Z64" s="70">
        <v>9</v>
      </c>
      <c r="AA64" s="70">
        <v>7</v>
      </c>
      <c r="AB64" s="70">
        <v>7</v>
      </c>
      <c r="AC64" s="70">
        <v>7</v>
      </c>
      <c r="AD64" s="70">
        <v>9</v>
      </c>
      <c r="AE64" s="157">
        <v>7</v>
      </c>
    </row>
    <row r="65" spans="1:32" ht="15" customHeight="1" x14ac:dyDescent="0.25">
      <c r="A65" s="156">
        <v>74</v>
      </c>
      <c r="B65" s="17" t="s">
        <v>81</v>
      </c>
      <c r="C65" s="70">
        <v>501</v>
      </c>
      <c r="D65" s="70">
        <v>516</v>
      </c>
      <c r="E65" s="70">
        <v>535</v>
      </c>
      <c r="F65" s="70">
        <v>519</v>
      </c>
      <c r="G65" s="70">
        <v>500</v>
      </c>
      <c r="H65" s="70">
        <v>525</v>
      </c>
      <c r="I65" s="70">
        <v>469</v>
      </c>
      <c r="J65" s="70">
        <v>491</v>
      </c>
      <c r="K65" s="70">
        <v>552</v>
      </c>
      <c r="L65" s="70">
        <v>659</v>
      </c>
      <c r="M65" s="70">
        <v>668</v>
      </c>
      <c r="N65" s="70">
        <v>679</v>
      </c>
      <c r="O65" s="70">
        <v>709</v>
      </c>
      <c r="P65" s="70">
        <v>682</v>
      </c>
      <c r="Q65" s="70">
        <v>693</v>
      </c>
      <c r="R65" s="70">
        <v>714</v>
      </c>
      <c r="S65" s="70">
        <v>710</v>
      </c>
      <c r="T65" s="70">
        <v>697</v>
      </c>
      <c r="U65" s="70">
        <v>688</v>
      </c>
      <c r="V65" s="70">
        <v>712</v>
      </c>
      <c r="W65" s="70">
        <v>689</v>
      </c>
      <c r="X65" s="70">
        <v>700</v>
      </c>
      <c r="Y65" s="70">
        <v>651</v>
      </c>
      <c r="Z65" s="70">
        <v>624</v>
      </c>
      <c r="AA65" s="70">
        <v>576</v>
      </c>
      <c r="AB65" s="70">
        <v>575</v>
      </c>
      <c r="AC65" s="70">
        <v>648</v>
      </c>
      <c r="AD65" s="70">
        <v>770</v>
      </c>
      <c r="AE65" s="157">
        <v>606</v>
      </c>
    </row>
    <row r="66" spans="1:32" ht="15" customHeight="1" thickBot="1" x14ac:dyDescent="0.3">
      <c r="A66" s="158">
        <v>75</v>
      </c>
      <c r="B66" s="18" t="s">
        <v>185</v>
      </c>
      <c r="C66" s="71">
        <v>5</v>
      </c>
      <c r="D66" s="71" t="s">
        <v>383</v>
      </c>
      <c r="E66" s="71">
        <v>5</v>
      </c>
      <c r="F66" s="71">
        <v>7</v>
      </c>
      <c r="G66" s="71">
        <v>10</v>
      </c>
      <c r="H66" s="71">
        <v>13</v>
      </c>
      <c r="I66" s="71">
        <v>11</v>
      </c>
      <c r="J66" s="71">
        <v>9</v>
      </c>
      <c r="K66" s="71">
        <v>12</v>
      </c>
      <c r="L66" s="71">
        <v>10</v>
      </c>
      <c r="M66" s="71">
        <v>11</v>
      </c>
      <c r="N66" s="71">
        <v>12</v>
      </c>
      <c r="O66" s="71">
        <v>14</v>
      </c>
      <c r="P66" s="71">
        <v>16</v>
      </c>
      <c r="Q66" s="71">
        <v>14</v>
      </c>
      <c r="R66" s="71">
        <v>16</v>
      </c>
      <c r="S66" s="71">
        <v>13</v>
      </c>
      <c r="T66" s="71">
        <v>12</v>
      </c>
      <c r="U66" s="71">
        <v>11</v>
      </c>
      <c r="V66" s="71">
        <v>9</v>
      </c>
      <c r="W66" s="71">
        <v>8</v>
      </c>
      <c r="X66" s="71">
        <v>9</v>
      </c>
      <c r="Y66" s="71">
        <v>7</v>
      </c>
      <c r="Z66" s="71">
        <v>7</v>
      </c>
      <c r="AA66" s="71">
        <v>7</v>
      </c>
      <c r="AB66" s="71">
        <v>8</v>
      </c>
      <c r="AC66" s="71">
        <v>8</v>
      </c>
      <c r="AD66" s="71">
        <v>8</v>
      </c>
      <c r="AE66" s="159">
        <v>9</v>
      </c>
    </row>
    <row r="67" spans="1:32" s="11" customFormat="1" ht="15" customHeight="1" thickBot="1" x14ac:dyDescent="0.3">
      <c r="A67" s="160" t="s">
        <v>83</v>
      </c>
      <c r="B67" s="19" t="s">
        <v>84</v>
      </c>
      <c r="C67" s="64">
        <v>103</v>
      </c>
      <c r="D67" s="64">
        <v>108</v>
      </c>
      <c r="E67" s="64">
        <v>116</v>
      </c>
      <c r="F67" s="64">
        <v>115</v>
      </c>
      <c r="G67" s="64">
        <v>100</v>
      </c>
      <c r="H67" s="64">
        <v>94</v>
      </c>
      <c r="I67" s="64">
        <v>92</v>
      </c>
      <c r="J67" s="64">
        <v>99</v>
      </c>
      <c r="K67" s="64">
        <v>102</v>
      </c>
      <c r="L67" s="64">
        <v>112</v>
      </c>
      <c r="M67" s="64">
        <v>114</v>
      </c>
      <c r="N67" s="64">
        <v>122</v>
      </c>
      <c r="O67" s="64">
        <v>120</v>
      </c>
      <c r="P67" s="64">
        <v>123</v>
      </c>
      <c r="Q67" s="64">
        <v>123</v>
      </c>
      <c r="R67" s="64">
        <v>125</v>
      </c>
      <c r="S67" s="64">
        <v>125</v>
      </c>
      <c r="T67" s="64">
        <v>121</v>
      </c>
      <c r="U67" s="64">
        <v>127</v>
      </c>
      <c r="V67" s="64">
        <v>126</v>
      </c>
      <c r="W67" s="64">
        <v>131</v>
      </c>
      <c r="X67" s="64">
        <v>142</v>
      </c>
      <c r="Y67" s="64">
        <v>145</v>
      </c>
      <c r="Z67" s="64">
        <v>146</v>
      </c>
      <c r="AA67" s="64">
        <v>133</v>
      </c>
      <c r="AB67" s="64">
        <v>139</v>
      </c>
      <c r="AC67" s="64">
        <v>144</v>
      </c>
      <c r="AD67" s="64">
        <v>162</v>
      </c>
      <c r="AE67" s="145">
        <v>148</v>
      </c>
      <c r="AF67" s="10"/>
    </row>
    <row r="68" spans="1:32" ht="15" customHeight="1" thickBot="1" x14ac:dyDescent="0.3">
      <c r="A68" s="150">
        <v>80</v>
      </c>
      <c r="B68" s="14" t="s">
        <v>85</v>
      </c>
      <c r="C68" s="70">
        <v>103</v>
      </c>
      <c r="D68" s="67">
        <v>108</v>
      </c>
      <c r="E68" s="67">
        <v>116</v>
      </c>
      <c r="F68" s="67">
        <v>115</v>
      </c>
      <c r="G68" s="67">
        <v>100</v>
      </c>
      <c r="H68" s="67">
        <v>94</v>
      </c>
      <c r="I68" s="67">
        <v>92</v>
      </c>
      <c r="J68" s="67">
        <v>99</v>
      </c>
      <c r="K68" s="67">
        <v>102</v>
      </c>
      <c r="L68" s="67">
        <v>112</v>
      </c>
      <c r="M68" s="67">
        <v>114</v>
      </c>
      <c r="N68" s="67">
        <v>122</v>
      </c>
      <c r="O68" s="67">
        <v>120</v>
      </c>
      <c r="P68" s="67">
        <v>123</v>
      </c>
      <c r="Q68" s="67">
        <v>123</v>
      </c>
      <c r="R68" s="67">
        <v>125</v>
      </c>
      <c r="S68" s="67">
        <v>125</v>
      </c>
      <c r="T68" s="67">
        <v>121</v>
      </c>
      <c r="U68" s="67">
        <v>127</v>
      </c>
      <c r="V68" s="67">
        <v>126</v>
      </c>
      <c r="W68" s="67">
        <v>131</v>
      </c>
      <c r="X68" s="67">
        <v>142</v>
      </c>
      <c r="Y68" s="67">
        <v>145</v>
      </c>
      <c r="Z68" s="67">
        <v>146</v>
      </c>
      <c r="AA68" s="67">
        <v>133</v>
      </c>
      <c r="AB68" s="67">
        <v>139</v>
      </c>
      <c r="AC68" s="67">
        <v>144</v>
      </c>
      <c r="AD68" s="67">
        <v>162</v>
      </c>
      <c r="AE68" s="151">
        <v>148</v>
      </c>
    </row>
    <row r="69" spans="1:32" s="11" customFormat="1" ht="15" customHeight="1" thickBot="1" x14ac:dyDescent="0.3">
      <c r="A69" s="144" t="s">
        <v>86</v>
      </c>
      <c r="B69" s="9" t="s">
        <v>87</v>
      </c>
      <c r="C69" s="64">
        <v>310</v>
      </c>
      <c r="D69" s="64">
        <v>320</v>
      </c>
      <c r="E69" s="64">
        <v>334</v>
      </c>
      <c r="F69" s="64">
        <v>317</v>
      </c>
      <c r="G69" s="64">
        <v>303</v>
      </c>
      <c r="H69" s="64">
        <v>303</v>
      </c>
      <c r="I69" s="64">
        <v>272</v>
      </c>
      <c r="J69" s="64">
        <v>278</v>
      </c>
      <c r="K69" s="64">
        <v>298</v>
      </c>
      <c r="L69" s="64">
        <v>320</v>
      </c>
      <c r="M69" s="64">
        <v>332</v>
      </c>
      <c r="N69" s="64">
        <v>344</v>
      </c>
      <c r="O69" s="64">
        <v>354</v>
      </c>
      <c r="P69" s="64">
        <v>389</v>
      </c>
      <c r="Q69" s="64">
        <v>401</v>
      </c>
      <c r="R69" s="64">
        <v>416</v>
      </c>
      <c r="S69" s="64">
        <v>434</v>
      </c>
      <c r="T69" s="64">
        <v>448</v>
      </c>
      <c r="U69" s="64">
        <v>467</v>
      </c>
      <c r="V69" s="64">
        <v>471</v>
      </c>
      <c r="W69" s="64">
        <v>488</v>
      </c>
      <c r="X69" s="64">
        <v>494</v>
      </c>
      <c r="Y69" s="64">
        <v>523</v>
      </c>
      <c r="Z69" s="64">
        <v>553</v>
      </c>
      <c r="AA69" s="64">
        <v>526</v>
      </c>
      <c r="AB69" s="64">
        <v>529</v>
      </c>
      <c r="AC69" s="64">
        <v>557</v>
      </c>
      <c r="AD69" s="64">
        <v>563</v>
      </c>
      <c r="AE69" s="145">
        <v>510</v>
      </c>
      <c r="AF69" s="10"/>
    </row>
    <row r="70" spans="1:32" ht="15" customHeight="1" thickBot="1" x14ac:dyDescent="0.3">
      <c r="A70" s="150">
        <v>85</v>
      </c>
      <c r="B70" s="14" t="s">
        <v>88</v>
      </c>
      <c r="C70" s="67">
        <v>310</v>
      </c>
      <c r="D70" s="67">
        <v>320</v>
      </c>
      <c r="E70" s="67">
        <v>334</v>
      </c>
      <c r="F70" s="67">
        <v>317</v>
      </c>
      <c r="G70" s="67">
        <v>303</v>
      </c>
      <c r="H70" s="67">
        <v>303</v>
      </c>
      <c r="I70" s="67">
        <v>272</v>
      </c>
      <c r="J70" s="67">
        <v>278</v>
      </c>
      <c r="K70" s="67">
        <v>298</v>
      </c>
      <c r="L70" s="67">
        <v>320</v>
      </c>
      <c r="M70" s="67">
        <v>332</v>
      </c>
      <c r="N70" s="67">
        <v>344</v>
      </c>
      <c r="O70" s="67">
        <v>354</v>
      </c>
      <c r="P70" s="67">
        <v>389</v>
      </c>
      <c r="Q70" s="67">
        <v>401</v>
      </c>
      <c r="R70" s="67">
        <v>416</v>
      </c>
      <c r="S70" s="67">
        <v>434</v>
      </c>
      <c r="T70" s="67">
        <v>448</v>
      </c>
      <c r="U70" s="67">
        <v>467</v>
      </c>
      <c r="V70" s="67">
        <v>471</v>
      </c>
      <c r="W70" s="67">
        <v>488</v>
      </c>
      <c r="X70" s="67">
        <v>494</v>
      </c>
      <c r="Y70" s="67">
        <v>523</v>
      </c>
      <c r="Z70" s="67">
        <v>553</v>
      </c>
      <c r="AA70" s="67">
        <v>526</v>
      </c>
      <c r="AB70" s="67">
        <v>529</v>
      </c>
      <c r="AC70" s="67">
        <v>557</v>
      </c>
      <c r="AD70" s="67">
        <v>563</v>
      </c>
      <c r="AE70" s="151">
        <v>510</v>
      </c>
    </row>
    <row r="71" spans="1:32" s="11" customFormat="1" ht="15" customHeight="1" thickBot="1" x14ac:dyDescent="0.3">
      <c r="A71" s="144" t="s">
        <v>89</v>
      </c>
      <c r="B71" s="9" t="s">
        <v>90</v>
      </c>
      <c r="C71" s="64">
        <v>556</v>
      </c>
      <c r="D71" s="64">
        <v>541</v>
      </c>
      <c r="E71" s="64">
        <v>534</v>
      </c>
      <c r="F71" s="64">
        <v>502</v>
      </c>
      <c r="G71" s="64">
        <v>472</v>
      </c>
      <c r="H71" s="64">
        <v>506</v>
      </c>
      <c r="I71" s="64">
        <v>476</v>
      </c>
      <c r="J71" s="64">
        <v>500</v>
      </c>
      <c r="K71" s="64">
        <v>524</v>
      </c>
      <c r="L71" s="64">
        <v>611</v>
      </c>
      <c r="M71" s="64">
        <v>614</v>
      </c>
      <c r="N71" s="64">
        <v>583</v>
      </c>
      <c r="O71" s="64">
        <v>580</v>
      </c>
      <c r="P71" s="64">
        <v>575</v>
      </c>
      <c r="Q71" s="64">
        <v>578</v>
      </c>
      <c r="R71" s="64">
        <v>607</v>
      </c>
      <c r="S71" s="64">
        <v>608</v>
      </c>
      <c r="T71" s="64">
        <v>640</v>
      </c>
      <c r="U71" s="64">
        <v>635</v>
      </c>
      <c r="V71" s="64">
        <v>628</v>
      </c>
      <c r="W71" s="64">
        <v>639</v>
      </c>
      <c r="X71" s="64">
        <v>642</v>
      </c>
      <c r="Y71" s="64">
        <v>613</v>
      </c>
      <c r="Z71" s="64">
        <v>593</v>
      </c>
      <c r="AA71" s="64">
        <v>557</v>
      </c>
      <c r="AB71" s="64">
        <v>555</v>
      </c>
      <c r="AC71" s="64">
        <v>606</v>
      </c>
      <c r="AD71" s="64">
        <v>633</v>
      </c>
      <c r="AE71" s="145">
        <v>568</v>
      </c>
      <c r="AF71" s="10"/>
    </row>
    <row r="72" spans="1:32" ht="15" customHeight="1" x14ac:dyDescent="0.25">
      <c r="A72" s="146">
        <v>90</v>
      </c>
      <c r="B72" s="12" t="s">
        <v>91</v>
      </c>
      <c r="C72" s="65">
        <v>10</v>
      </c>
      <c r="D72" s="65">
        <v>12</v>
      </c>
      <c r="E72" s="65">
        <v>9</v>
      </c>
      <c r="F72" s="65">
        <v>7</v>
      </c>
      <c r="G72" s="65">
        <v>5</v>
      </c>
      <c r="H72" s="65">
        <v>6</v>
      </c>
      <c r="I72" s="65">
        <v>6</v>
      </c>
      <c r="J72" s="65">
        <v>5</v>
      </c>
      <c r="K72" s="65">
        <v>5</v>
      </c>
      <c r="L72" s="65">
        <v>7</v>
      </c>
      <c r="M72" s="65">
        <v>8</v>
      </c>
      <c r="N72" s="65">
        <v>6</v>
      </c>
      <c r="O72" s="65">
        <v>6</v>
      </c>
      <c r="P72" s="65">
        <v>5</v>
      </c>
      <c r="Q72" s="65">
        <v>6</v>
      </c>
      <c r="R72" s="65">
        <v>9</v>
      </c>
      <c r="S72" s="65">
        <v>7</v>
      </c>
      <c r="T72" s="65">
        <v>8</v>
      </c>
      <c r="U72" s="65">
        <v>6</v>
      </c>
      <c r="V72" s="65">
        <v>6</v>
      </c>
      <c r="W72" s="65">
        <v>7</v>
      </c>
      <c r="X72" s="65">
        <v>7</v>
      </c>
      <c r="Y72" s="65">
        <v>6</v>
      </c>
      <c r="Z72" s="65">
        <v>8</v>
      </c>
      <c r="AA72" s="65">
        <v>7</v>
      </c>
      <c r="AB72" s="65">
        <v>7</v>
      </c>
      <c r="AC72" s="65">
        <v>8</v>
      </c>
      <c r="AD72" s="65">
        <v>5</v>
      </c>
      <c r="AE72" s="147">
        <v>5</v>
      </c>
    </row>
    <row r="73" spans="1:32" ht="15" customHeight="1" x14ac:dyDescent="0.25">
      <c r="A73" s="156">
        <v>91</v>
      </c>
      <c r="B73" s="17" t="s">
        <v>92</v>
      </c>
      <c r="C73" s="70">
        <v>215</v>
      </c>
      <c r="D73" s="70">
        <v>222</v>
      </c>
      <c r="E73" s="70">
        <v>223</v>
      </c>
      <c r="F73" s="70">
        <v>227</v>
      </c>
      <c r="G73" s="70">
        <v>216</v>
      </c>
      <c r="H73" s="70">
        <v>228</v>
      </c>
      <c r="I73" s="70">
        <v>222</v>
      </c>
      <c r="J73" s="70">
        <v>228</v>
      </c>
      <c r="K73" s="70">
        <v>230</v>
      </c>
      <c r="L73" s="70">
        <v>246</v>
      </c>
      <c r="M73" s="70">
        <v>254</v>
      </c>
      <c r="N73" s="70">
        <v>256</v>
      </c>
      <c r="O73" s="70">
        <v>261</v>
      </c>
      <c r="P73" s="70">
        <v>268</v>
      </c>
      <c r="Q73" s="70">
        <v>266</v>
      </c>
      <c r="R73" s="70">
        <v>271</v>
      </c>
      <c r="S73" s="70">
        <v>279</v>
      </c>
      <c r="T73" s="70">
        <v>287</v>
      </c>
      <c r="U73" s="70">
        <v>291</v>
      </c>
      <c r="V73" s="70">
        <v>291</v>
      </c>
      <c r="W73" s="70">
        <v>286</v>
      </c>
      <c r="X73" s="70">
        <v>292</v>
      </c>
      <c r="Y73" s="70">
        <v>288</v>
      </c>
      <c r="Z73" s="70">
        <v>281</v>
      </c>
      <c r="AA73" s="70">
        <v>273</v>
      </c>
      <c r="AB73" s="70">
        <v>281</v>
      </c>
      <c r="AC73" s="70">
        <v>296</v>
      </c>
      <c r="AD73" s="70">
        <v>296</v>
      </c>
      <c r="AE73" s="157">
        <v>279</v>
      </c>
    </row>
    <row r="74" spans="1:32" ht="15" customHeight="1" x14ac:dyDescent="0.25">
      <c r="A74" s="156">
        <v>92</v>
      </c>
      <c r="B74" s="17" t="s">
        <v>93</v>
      </c>
      <c r="C74" s="70">
        <v>92</v>
      </c>
      <c r="D74" s="70">
        <v>81</v>
      </c>
      <c r="E74" s="70">
        <v>73</v>
      </c>
      <c r="F74" s="70">
        <v>64</v>
      </c>
      <c r="G74" s="70">
        <v>73</v>
      </c>
      <c r="H74" s="70">
        <v>72</v>
      </c>
      <c r="I74" s="70">
        <v>63</v>
      </c>
      <c r="J74" s="70">
        <v>68</v>
      </c>
      <c r="K74" s="70">
        <v>70</v>
      </c>
      <c r="L74" s="70">
        <v>86</v>
      </c>
      <c r="M74" s="70">
        <v>92</v>
      </c>
      <c r="N74" s="70">
        <v>106</v>
      </c>
      <c r="O74" s="70">
        <v>107</v>
      </c>
      <c r="P74" s="70">
        <v>119</v>
      </c>
      <c r="Q74" s="70">
        <v>123</v>
      </c>
      <c r="R74" s="70">
        <v>130</v>
      </c>
      <c r="S74" s="70">
        <v>134</v>
      </c>
      <c r="T74" s="70">
        <v>154</v>
      </c>
      <c r="U74" s="70">
        <v>153</v>
      </c>
      <c r="V74" s="70">
        <v>150</v>
      </c>
      <c r="W74" s="70">
        <v>167</v>
      </c>
      <c r="X74" s="70">
        <v>168</v>
      </c>
      <c r="Y74" s="70">
        <v>163</v>
      </c>
      <c r="Z74" s="70">
        <v>155</v>
      </c>
      <c r="AA74" s="70">
        <v>146</v>
      </c>
      <c r="AB74" s="70">
        <v>145</v>
      </c>
      <c r="AC74" s="70">
        <v>161</v>
      </c>
      <c r="AD74" s="70">
        <v>174</v>
      </c>
      <c r="AE74" s="157">
        <v>150</v>
      </c>
    </row>
    <row r="75" spans="1:32" ht="15" customHeight="1" thickBot="1" x14ac:dyDescent="0.3">
      <c r="A75" s="170">
        <v>93</v>
      </c>
      <c r="B75" s="63" t="s">
        <v>94</v>
      </c>
      <c r="C75" s="76">
        <v>239</v>
      </c>
      <c r="D75" s="76">
        <v>226</v>
      </c>
      <c r="E75" s="76">
        <v>229</v>
      </c>
      <c r="F75" s="76">
        <v>204</v>
      </c>
      <c r="G75" s="76">
        <v>178</v>
      </c>
      <c r="H75" s="76">
        <v>200</v>
      </c>
      <c r="I75" s="76">
        <v>185</v>
      </c>
      <c r="J75" s="76">
        <v>199</v>
      </c>
      <c r="K75" s="76">
        <v>219</v>
      </c>
      <c r="L75" s="76">
        <v>272</v>
      </c>
      <c r="M75" s="76">
        <v>260</v>
      </c>
      <c r="N75" s="76">
        <v>215</v>
      </c>
      <c r="O75" s="76">
        <v>206</v>
      </c>
      <c r="P75" s="76">
        <v>183</v>
      </c>
      <c r="Q75" s="76">
        <v>183</v>
      </c>
      <c r="R75" s="76">
        <v>197</v>
      </c>
      <c r="S75" s="76">
        <v>188</v>
      </c>
      <c r="T75" s="76">
        <v>191</v>
      </c>
      <c r="U75" s="76">
        <v>185</v>
      </c>
      <c r="V75" s="76">
        <v>181</v>
      </c>
      <c r="W75" s="76">
        <v>179</v>
      </c>
      <c r="X75" s="76">
        <v>175</v>
      </c>
      <c r="Y75" s="76">
        <v>156</v>
      </c>
      <c r="Z75" s="76">
        <v>149</v>
      </c>
      <c r="AA75" s="76">
        <v>131</v>
      </c>
      <c r="AB75" s="76">
        <v>122</v>
      </c>
      <c r="AC75" s="76">
        <v>141</v>
      </c>
      <c r="AD75" s="76">
        <v>158</v>
      </c>
      <c r="AE75" s="165">
        <v>134</v>
      </c>
    </row>
    <row r="76" spans="1:32" s="23" customFormat="1" ht="15" customHeight="1" thickBot="1" x14ac:dyDescent="0.3">
      <c r="A76" s="166"/>
      <c r="B76" s="167" t="s">
        <v>95</v>
      </c>
      <c r="C76" s="168">
        <v>6595</v>
      </c>
      <c r="D76" s="168">
        <v>6496</v>
      </c>
      <c r="E76" s="168">
        <v>6643</v>
      </c>
      <c r="F76" s="168">
        <v>6569</v>
      </c>
      <c r="G76" s="168">
        <v>6124</v>
      </c>
      <c r="H76" s="168">
        <v>5963</v>
      </c>
      <c r="I76" s="168">
        <v>5559</v>
      </c>
      <c r="J76" s="168">
        <v>5891</v>
      </c>
      <c r="K76" s="168">
        <v>6449</v>
      </c>
      <c r="L76" s="168">
        <v>7313</v>
      </c>
      <c r="M76" s="168">
        <v>7680</v>
      </c>
      <c r="N76" s="168">
        <v>8033</v>
      </c>
      <c r="O76" s="168">
        <v>8530</v>
      </c>
      <c r="P76" s="168">
        <v>8673</v>
      </c>
      <c r="Q76" s="168">
        <v>8859</v>
      </c>
      <c r="R76" s="168">
        <v>9325</v>
      </c>
      <c r="S76" s="168">
        <v>9443</v>
      </c>
      <c r="T76" s="168">
        <v>9558</v>
      </c>
      <c r="U76" s="168">
        <v>9615</v>
      </c>
      <c r="V76" s="168">
        <v>9730</v>
      </c>
      <c r="W76" s="168">
        <v>9808</v>
      </c>
      <c r="X76" s="168">
        <v>9880</v>
      </c>
      <c r="Y76" s="168">
        <v>9768</v>
      </c>
      <c r="Z76" s="168">
        <v>9470</v>
      </c>
      <c r="AA76" s="168">
        <v>9095</v>
      </c>
      <c r="AB76" s="168">
        <v>9182</v>
      </c>
      <c r="AC76" s="168">
        <v>10136</v>
      </c>
      <c r="AD76" s="168">
        <v>10509</v>
      </c>
      <c r="AE76" s="169">
        <v>9602</v>
      </c>
      <c r="AF76" s="22"/>
    </row>
    <row r="77" spans="1:32" ht="12" customHeight="1" x14ac:dyDescent="0.25">
      <c r="A77" s="7"/>
      <c r="B77" s="7"/>
      <c r="C77" s="7"/>
      <c r="D77" s="7"/>
      <c r="E77" s="24"/>
      <c r="F77" s="7"/>
      <c r="G77" s="25"/>
      <c r="H77" s="7"/>
      <c r="I77" s="7"/>
      <c r="J77" s="7"/>
      <c r="K77" s="7"/>
      <c r="L77" s="7"/>
      <c r="M77" s="7"/>
      <c r="N77" s="7"/>
      <c r="O77" s="7"/>
      <c r="P77" s="7"/>
      <c r="Q77" s="7"/>
      <c r="R77" s="7"/>
      <c r="S77" s="7"/>
      <c r="T77" s="7"/>
      <c r="U77" s="7"/>
      <c r="V77" s="7"/>
      <c r="W77" s="7"/>
      <c r="X77" s="7"/>
      <c r="Y77" s="7"/>
      <c r="Z77" s="7"/>
      <c r="AA77" s="7"/>
      <c r="AB77" s="7"/>
      <c r="AC77" s="7"/>
      <c r="AD77" s="7"/>
      <c r="AE77" s="7"/>
    </row>
    <row r="78" spans="1:32" ht="11.25" x14ac:dyDescent="0.25">
      <c r="A78" s="307" t="s">
        <v>96</v>
      </c>
      <c r="B78" s="307"/>
      <c r="C78" s="277"/>
      <c r="D78" s="277"/>
      <c r="E78" s="277"/>
      <c r="F78" s="26"/>
      <c r="G78" s="26"/>
      <c r="H78" s="7"/>
      <c r="I78" s="7"/>
      <c r="J78" s="7"/>
      <c r="K78" s="7"/>
      <c r="L78" s="7"/>
      <c r="M78" s="7"/>
      <c r="N78" s="7"/>
      <c r="O78" s="7"/>
      <c r="P78" s="7"/>
      <c r="Q78" s="7"/>
      <c r="R78" s="7"/>
      <c r="S78" s="7"/>
      <c r="T78" s="7"/>
      <c r="U78" s="7"/>
      <c r="V78" s="7"/>
      <c r="W78" s="7"/>
      <c r="X78" s="7"/>
      <c r="Y78" s="7"/>
      <c r="Z78" s="7"/>
      <c r="AA78" s="7"/>
      <c r="AB78" s="7"/>
      <c r="AC78" s="7"/>
      <c r="AD78" s="7"/>
      <c r="AE78" s="7"/>
    </row>
    <row r="79" spans="1:32" ht="26.45" customHeight="1" x14ac:dyDescent="0.25">
      <c r="A79" s="307" t="s">
        <v>381</v>
      </c>
      <c r="B79" s="307"/>
      <c r="C79" s="307"/>
      <c r="D79" s="277"/>
      <c r="E79" s="277"/>
      <c r="F79" s="277"/>
      <c r="G79" s="277"/>
      <c r="H79" s="27"/>
      <c r="I79" s="27"/>
      <c r="J79" s="27"/>
      <c r="K79" s="27"/>
      <c r="L79" s="7"/>
      <c r="M79" s="7"/>
      <c r="N79" s="7"/>
      <c r="O79" s="7"/>
      <c r="P79" s="7"/>
      <c r="Q79" s="7"/>
      <c r="R79" s="7"/>
      <c r="S79" s="7"/>
      <c r="T79" s="7"/>
      <c r="U79" s="7"/>
      <c r="V79" s="7"/>
      <c r="W79" s="7"/>
      <c r="X79" s="7"/>
      <c r="Y79" s="7"/>
      <c r="Z79" s="7"/>
      <c r="AA79" s="7"/>
      <c r="AB79" s="7"/>
      <c r="AC79" s="7"/>
      <c r="AD79" s="7"/>
      <c r="AE79" s="7"/>
    </row>
    <row r="80" spans="1:32" ht="26.45" customHeight="1" x14ac:dyDescent="0.25">
      <c r="A80" s="307" t="s">
        <v>382</v>
      </c>
      <c r="B80" s="307"/>
      <c r="C80" s="307"/>
      <c r="D80" s="277"/>
      <c r="E80" s="277"/>
      <c r="F80" s="277"/>
      <c r="G80" s="277"/>
      <c r="H80" s="27"/>
      <c r="I80" s="27"/>
      <c r="J80" s="27"/>
      <c r="K80" s="27"/>
      <c r="L80" s="7"/>
      <c r="M80" s="7"/>
      <c r="N80" s="7"/>
      <c r="O80" s="7"/>
      <c r="P80" s="7"/>
      <c r="Q80" s="7"/>
      <c r="R80" s="7"/>
      <c r="S80" s="7"/>
      <c r="T80" s="7"/>
      <c r="U80" s="7"/>
      <c r="V80" s="7"/>
      <c r="W80" s="7"/>
      <c r="X80" s="7"/>
      <c r="Y80" s="7"/>
      <c r="Z80" s="7"/>
      <c r="AA80" s="7"/>
      <c r="AB80" s="7"/>
      <c r="AC80" s="7"/>
      <c r="AD80" s="7"/>
      <c r="AE80" s="7"/>
    </row>
    <row r="81" spans="1:32" ht="26.45" customHeight="1" x14ac:dyDescent="0.25">
      <c r="A81" s="307" t="s">
        <v>151</v>
      </c>
      <c r="B81" s="307"/>
      <c r="C81" s="307"/>
      <c r="D81" s="277"/>
      <c r="E81" s="277"/>
      <c r="F81" s="277"/>
      <c r="G81" s="277"/>
      <c r="H81" s="27"/>
      <c r="I81" s="27"/>
      <c r="J81" s="27"/>
      <c r="K81" s="27"/>
      <c r="L81" s="7"/>
      <c r="M81" s="7"/>
      <c r="N81" s="7"/>
      <c r="O81" s="7"/>
      <c r="P81" s="7"/>
      <c r="Q81" s="7"/>
      <c r="R81" s="7"/>
      <c r="S81" s="7"/>
      <c r="T81" s="7"/>
      <c r="U81" s="7"/>
      <c r="V81" s="7"/>
      <c r="W81" s="7"/>
      <c r="X81" s="7"/>
      <c r="Y81" s="7"/>
      <c r="Z81" s="7"/>
      <c r="AA81" s="7"/>
      <c r="AB81" s="7"/>
      <c r="AC81" s="7"/>
      <c r="AD81" s="7"/>
      <c r="AE81" s="7"/>
    </row>
    <row r="82" spans="1:32" ht="46.5" customHeight="1" x14ac:dyDescent="0.25">
      <c r="A82" s="307" t="s">
        <v>384</v>
      </c>
      <c r="B82" s="307"/>
      <c r="C82" s="307"/>
      <c r="D82" s="307"/>
      <c r="E82" s="307"/>
      <c r="F82" s="307"/>
      <c r="G82" s="307"/>
      <c r="H82" s="28"/>
      <c r="I82" s="28"/>
      <c r="J82" s="28"/>
      <c r="K82" s="29"/>
      <c r="L82" s="29"/>
      <c r="M82" s="29"/>
      <c r="N82" s="29"/>
      <c r="O82" s="29"/>
      <c r="P82" s="29"/>
      <c r="Q82" s="29"/>
      <c r="R82" s="29"/>
      <c r="S82" s="29"/>
      <c r="T82" s="29"/>
      <c r="U82" s="29"/>
      <c r="V82" s="29"/>
      <c r="W82" s="29"/>
      <c r="X82" s="29"/>
      <c r="Y82" s="29"/>
      <c r="Z82" s="29"/>
      <c r="AA82" s="29"/>
      <c r="AB82" s="29"/>
      <c r="AC82" s="29"/>
      <c r="AD82" s="29"/>
      <c r="AE82" s="29"/>
      <c r="AF82" s="29"/>
    </row>
    <row r="83" spans="1:32" ht="19.899999999999999" customHeight="1" x14ac:dyDescent="0.25">
      <c r="A83" s="276"/>
      <c r="B83" s="276"/>
      <c r="C83" s="276"/>
      <c r="D83" s="276"/>
      <c r="E83" s="276"/>
      <c r="F83" s="276"/>
      <c r="G83" s="276"/>
      <c r="H83" s="28"/>
      <c r="I83" s="28"/>
      <c r="J83" s="28"/>
      <c r="K83" s="7"/>
      <c r="L83" s="7"/>
      <c r="M83" s="7"/>
      <c r="N83" s="7"/>
      <c r="O83" s="7"/>
      <c r="P83" s="7"/>
      <c r="Q83" s="7"/>
      <c r="R83" s="7"/>
      <c r="S83" s="7"/>
      <c r="T83" s="7"/>
      <c r="U83" s="7"/>
      <c r="V83" s="7"/>
      <c r="W83" s="7"/>
      <c r="X83" s="7"/>
      <c r="Y83" s="7"/>
      <c r="Z83" s="7"/>
      <c r="AA83" s="7"/>
      <c r="AB83" s="7"/>
      <c r="AC83" s="7"/>
      <c r="AD83" s="7"/>
      <c r="AE83" s="7"/>
    </row>
    <row r="84" spans="1:32" ht="6.75" customHeight="1" x14ac:dyDescent="0.25">
      <c r="A84" s="7"/>
      <c r="B84" s="7"/>
      <c r="C84" s="7"/>
      <c r="D84" s="7"/>
      <c r="E84" s="7"/>
      <c r="F84" s="7"/>
      <c r="G84" s="7"/>
      <c r="H84" s="7"/>
      <c r="I84" s="7"/>
      <c r="J84" s="7"/>
      <c r="K84" s="7"/>
      <c r="L84" s="7"/>
      <c r="M84" s="7"/>
      <c r="N84" s="7"/>
      <c r="O84" s="7"/>
      <c r="P84" s="7"/>
      <c r="Q84" s="7"/>
      <c r="R84" s="7"/>
      <c r="S84" s="7"/>
      <c r="T84" s="7"/>
      <c r="U84" s="7"/>
      <c r="V84" s="7"/>
      <c r="W84" s="7"/>
      <c r="X84" s="7"/>
      <c r="Y84" s="7"/>
      <c r="Z84" s="7"/>
      <c r="AA84" s="7"/>
      <c r="AB84" s="7"/>
      <c r="AC84" s="7"/>
      <c r="AD84" s="7"/>
      <c r="AE84" s="7"/>
    </row>
    <row r="85" spans="1:32" ht="0" hidden="1" customHeight="1" x14ac:dyDescent="0.25"/>
    <row r="86" spans="1:32" ht="0" hidden="1" customHeight="1" x14ac:dyDescent="0.25"/>
    <row r="87" spans="1:32" ht="0" hidden="1" customHeight="1" x14ac:dyDescent="0.25"/>
    <row r="88" spans="1:32" ht="0" hidden="1" customHeight="1" x14ac:dyDescent="0.25"/>
    <row r="89" spans="1:32" ht="0" hidden="1" customHeight="1" x14ac:dyDescent="0.25"/>
    <row r="90" spans="1:32" ht="0" hidden="1" customHeight="1" x14ac:dyDescent="0.25"/>
    <row r="91" spans="1:32" ht="0" hidden="1" customHeight="1" x14ac:dyDescent="0.25"/>
    <row r="92" spans="1:32" ht="0" hidden="1" customHeight="1" x14ac:dyDescent="0.25"/>
    <row r="93" spans="1:32" ht="0" hidden="1" customHeight="1" x14ac:dyDescent="0.25"/>
    <row r="94" spans="1:32" ht="0" hidden="1" customHeight="1" x14ac:dyDescent="0.25"/>
  </sheetData>
  <mergeCells count="37">
    <mergeCell ref="A2:C2"/>
    <mergeCell ref="B4:B5"/>
    <mergeCell ref="C4:C5"/>
    <mergeCell ref="D4:D5"/>
    <mergeCell ref="E4:E5"/>
    <mergeCell ref="A4:A5"/>
    <mergeCell ref="A82:G82"/>
    <mergeCell ref="AE4:AE5"/>
    <mergeCell ref="F4:F5"/>
    <mergeCell ref="G4:G5"/>
    <mergeCell ref="I4:I5"/>
    <mergeCell ref="J4:J5"/>
    <mergeCell ref="K4:K5"/>
    <mergeCell ref="Z4:Z5"/>
    <mergeCell ref="Y4:Y5"/>
    <mergeCell ref="T4:T5"/>
    <mergeCell ref="U4:U5"/>
    <mergeCell ref="V4:V5"/>
    <mergeCell ref="W4:W5"/>
    <mergeCell ref="S4:S5"/>
    <mergeCell ref="Q4:Q5"/>
    <mergeCell ref="R4:R5"/>
    <mergeCell ref="AD4:AD5"/>
    <mergeCell ref="A79:C79"/>
    <mergeCell ref="A80:C80"/>
    <mergeCell ref="A81:C81"/>
    <mergeCell ref="A78:B78"/>
    <mergeCell ref="O4:O5"/>
    <mergeCell ref="AC4:AC5"/>
    <mergeCell ref="AB4:AB5"/>
    <mergeCell ref="X4:X5"/>
    <mergeCell ref="AA4:AA5"/>
    <mergeCell ref="P4:P5"/>
    <mergeCell ref="M4:M5"/>
    <mergeCell ref="H4:H5"/>
    <mergeCell ref="N4:N5"/>
    <mergeCell ref="L4:L5"/>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0"/>
  <dimension ref="A1:DW94"/>
  <sheetViews>
    <sheetView zoomScale="85" zoomScaleNormal="85" workbookViewId="0">
      <pane xSplit="2" ySplit="5" topLeftCell="C6" activePane="bottomRight" state="frozen"/>
      <selection activeCell="C6" sqref="C6"/>
      <selection pane="topRight" activeCell="C6" sqref="C6"/>
      <selection pane="bottomLeft" activeCell="C6" sqref="C6"/>
      <selection pane="bottomRight" activeCell="C6" sqref="C6"/>
    </sheetView>
  </sheetViews>
  <sheetFormatPr baseColWidth="10" defaultColWidth="0" defaultRowHeight="0" customHeight="1" zeroHeight="1" x14ac:dyDescent="0.25"/>
  <cols>
    <col min="1" max="1" width="5.7109375" style="8" customWidth="1"/>
    <col min="2" max="2" width="62.7109375" style="8" customWidth="1"/>
    <col min="3" max="4" width="11.140625" style="30" customWidth="1"/>
    <col min="5" max="6" width="11.140625" style="8" customWidth="1"/>
    <col min="7" max="7" width="11.140625" style="31" customWidth="1"/>
    <col min="8" max="31" width="11.140625" style="8" customWidth="1"/>
    <col min="32" max="32" width="6.42578125" style="7" customWidth="1"/>
    <col min="33" max="127" width="0" style="8" hidden="1" customWidth="1"/>
    <col min="128" max="16384" width="6.42578125" style="8" hidden="1"/>
  </cols>
  <sheetData>
    <row r="1" spans="1:32" s="5" customFormat="1" ht="25.5" customHeight="1" thickBot="1" x14ac:dyDescent="0.25">
      <c r="A1" s="1"/>
      <c r="B1" s="2"/>
      <c r="C1" s="3"/>
      <c r="D1" s="172" t="s">
        <v>0</v>
      </c>
      <c r="E1" s="171"/>
      <c r="F1" s="171"/>
      <c r="G1" s="173"/>
      <c r="H1" s="171"/>
      <c r="I1" s="171"/>
      <c r="J1" s="171"/>
      <c r="K1" s="171"/>
      <c r="L1" s="171"/>
      <c r="M1" s="171"/>
      <c r="N1" s="171"/>
      <c r="O1" s="171"/>
      <c r="P1" s="171"/>
      <c r="Q1" s="171"/>
      <c r="R1" s="171"/>
      <c r="S1" s="171"/>
      <c r="T1" s="171"/>
      <c r="U1" s="171"/>
      <c r="V1" s="171"/>
      <c r="W1" s="171"/>
      <c r="X1" s="171"/>
      <c r="Y1" s="171"/>
      <c r="Z1" s="171"/>
      <c r="AA1" s="171"/>
      <c r="AB1" s="171"/>
      <c r="AC1" s="171"/>
      <c r="AD1" s="171"/>
      <c r="AE1" s="171"/>
      <c r="AF1" s="2"/>
    </row>
    <row r="2" spans="1:32" ht="22.5" customHeight="1" thickBot="1" x14ac:dyDescent="0.3">
      <c r="A2" s="303" t="s">
        <v>118</v>
      </c>
      <c r="B2" s="304"/>
      <c r="C2" s="304"/>
      <c r="D2" s="140"/>
      <c r="E2" s="140"/>
      <c r="F2" s="140"/>
      <c r="G2" s="140"/>
      <c r="H2" s="140"/>
      <c r="I2" s="140"/>
      <c r="J2" s="140"/>
      <c r="K2" s="140"/>
      <c r="L2" s="140"/>
      <c r="M2" s="140"/>
      <c r="N2" s="140"/>
      <c r="O2" s="140"/>
      <c r="P2" s="140"/>
      <c r="Q2" s="140"/>
      <c r="R2" s="140"/>
      <c r="S2" s="140"/>
      <c r="T2" s="140"/>
      <c r="U2" s="140"/>
      <c r="V2" s="140"/>
      <c r="W2" s="140"/>
      <c r="X2" s="140"/>
      <c r="Y2" s="140"/>
      <c r="Z2" s="140"/>
      <c r="AA2" s="140"/>
      <c r="AB2" s="140"/>
      <c r="AC2" s="140"/>
      <c r="AD2" s="140"/>
      <c r="AE2" s="141"/>
    </row>
    <row r="3" spans="1:32" ht="16.5" customHeight="1" thickBot="1" x14ac:dyDescent="0.25">
      <c r="A3" s="142" t="s">
        <v>299</v>
      </c>
      <c r="B3" s="57"/>
      <c r="C3" s="57"/>
      <c r="D3" s="58"/>
      <c r="E3" s="58"/>
      <c r="F3" s="58"/>
      <c r="G3" s="58"/>
      <c r="H3" s="59"/>
      <c r="I3" s="59"/>
      <c r="J3" s="59"/>
      <c r="K3" s="59"/>
      <c r="L3" s="59"/>
      <c r="M3" s="59"/>
      <c r="N3" s="59"/>
      <c r="O3" s="59"/>
      <c r="P3" s="59"/>
      <c r="Q3" s="59"/>
      <c r="R3" s="59"/>
      <c r="S3" s="59"/>
      <c r="T3" s="59"/>
      <c r="U3" s="59"/>
      <c r="V3" s="59"/>
      <c r="W3" s="59"/>
      <c r="X3" s="59"/>
      <c r="Y3" s="59"/>
      <c r="Z3" s="59"/>
      <c r="AA3" s="59"/>
      <c r="AB3" s="59"/>
      <c r="AC3" s="59"/>
      <c r="AD3" s="59"/>
      <c r="AE3" s="143"/>
    </row>
    <row r="4" spans="1:32" ht="15.75" customHeight="1" x14ac:dyDescent="0.25">
      <c r="A4" s="310"/>
      <c r="B4" s="308" t="s">
        <v>2</v>
      </c>
      <c r="C4" s="301">
        <v>1996</v>
      </c>
      <c r="D4" s="301">
        <v>1997</v>
      </c>
      <c r="E4" s="301">
        <v>1998</v>
      </c>
      <c r="F4" s="301">
        <v>1999</v>
      </c>
      <c r="G4" s="301">
        <v>2000</v>
      </c>
      <c r="H4" s="301">
        <v>2001</v>
      </c>
      <c r="I4" s="301">
        <v>2002</v>
      </c>
      <c r="J4" s="301">
        <v>2003</v>
      </c>
      <c r="K4" s="301">
        <v>2004</v>
      </c>
      <c r="L4" s="301">
        <v>2005</v>
      </c>
      <c r="M4" s="301">
        <v>2006</v>
      </c>
      <c r="N4" s="301">
        <v>2007</v>
      </c>
      <c r="O4" s="301">
        <v>2008</v>
      </c>
      <c r="P4" s="301">
        <v>2009</v>
      </c>
      <c r="Q4" s="301">
        <v>2010</v>
      </c>
      <c r="R4" s="301">
        <v>2011</v>
      </c>
      <c r="S4" s="301">
        <v>2012</v>
      </c>
      <c r="T4" s="301">
        <v>2013</v>
      </c>
      <c r="U4" s="301">
        <v>2014</v>
      </c>
      <c r="V4" s="301">
        <v>2015</v>
      </c>
      <c r="W4" s="301">
        <v>2016</v>
      </c>
      <c r="X4" s="301">
        <v>2017</v>
      </c>
      <c r="Y4" s="301">
        <v>2018</v>
      </c>
      <c r="Z4" s="301">
        <v>2019</v>
      </c>
      <c r="AA4" s="301">
        <v>2020</v>
      </c>
      <c r="AB4" s="301">
        <v>2021</v>
      </c>
      <c r="AC4" s="301">
        <v>2022</v>
      </c>
      <c r="AD4" s="301">
        <v>2023</v>
      </c>
      <c r="AE4" s="299">
        <v>2024</v>
      </c>
    </row>
    <row r="5" spans="1:32" ht="15.75" customHeight="1" thickBot="1" x14ac:dyDescent="0.3">
      <c r="A5" s="311"/>
      <c r="B5" s="309"/>
      <c r="C5" s="302"/>
      <c r="D5" s="302" t="s">
        <v>3</v>
      </c>
      <c r="E5" s="302"/>
      <c r="F5" s="302" t="s">
        <v>4</v>
      </c>
      <c r="G5" s="302"/>
      <c r="H5" s="302" t="s">
        <v>5</v>
      </c>
      <c r="I5" s="302"/>
      <c r="J5" s="302" t="s">
        <v>6</v>
      </c>
      <c r="K5" s="302"/>
      <c r="L5" s="302" t="s">
        <v>7</v>
      </c>
      <c r="M5" s="302"/>
      <c r="N5" s="302" t="s">
        <v>8</v>
      </c>
      <c r="O5" s="302"/>
      <c r="P5" s="302" t="s">
        <v>9</v>
      </c>
      <c r="Q5" s="302"/>
      <c r="R5" s="302" t="s">
        <v>10</v>
      </c>
      <c r="S5" s="302"/>
      <c r="T5" s="302"/>
      <c r="U5" s="302"/>
      <c r="V5" s="302"/>
      <c r="W5" s="302"/>
      <c r="X5" s="302"/>
      <c r="Y5" s="302"/>
      <c r="Z5" s="302"/>
      <c r="AA5" s="302"/>
      <c r="AB5" s="302"/>
      <c r="AC5" s="302"/>
      <c r="AD5" s="302"/>
      <c r="AE5" s="300"/>
    </row>
    <row r="6" spans="1:32" s="11" customFormat="1" ht="15" customHeight="1" thickBot="1" x14ac:dyDescent="0.3">
      <c r="A6" s="144" t="s">
        <v>11</v>
      </c>
      <c r="B6" s="9" t="s">
        <v>12</v>
      </c>
      <c r="C6" s="64">
        <v>3531</v>
      </c>
      <c r="D6" s="64">
        <v>3298</v>
      </c>
      <c r="E6" s="64">
        <v>3110</v>
      </c>
      <c r="F6" s="64">
        <v>3040</v>
      </c>
      <c r="G6" s="64">
        <v>3160</v>
      </c>
      <c r="H6" s="64">
        <v>2743</v>
      </c>
      <c r="I6" s="64">
        <v>2328</v>
      </c>
      <c r="J6" s="64">
        <v>2182</v>
      </c>
      <c r="K6" s="64">
        <v>2132</v>
      </c>
      <c r="L6" s="64">
        <v>2142</v>
      </c>
      <c r="M6" s="64">
        <v>2201</v>
      </c>
      <c r="N6" s="64">
        <v>2230</v>
      </c>
      <c r="O6" s="64">
        <v>2433</v>
      </c>
      <c r="P6" s="64">
        <v>2388</v>
      </c>
      <c r="Q6" s="64">
        <v>2029</v>
      </c>
      <c r="R6" s="64">
        <v>2268</v>
      </c>
      <c r="S6" s="64">
        <v>2326</v>
      </c>
      <c r="T6" s="64">
        <v>2380</v>
      </c>
      <c r="U6" s="64">
        <v>2317</v>
      </c>
      <c r="V6" s="64">
        <v>2232</v>
      </c>
      <c r="W6" s="64">
        <v>2223</v>
      </c>
      <c r="X6" s="64">
        <v>2214</v>
      </c>
      <c r="Y6" s="64">
        <v>2208</v>
      </c>
      <c r="Z6" s="64">
        <v>2173</v>
      </c>
      <c r="AA6" s="64">
        <v>2097</v>
      </c>
      <c r="AB6" s="64">
        <v>2081</v>
      </c>
      <c r="AC6" s="64">
        <v>2122</v>
      </c>
      <c r="AD6" s="64">
        <v>2181</v>
      </c>
      <c r="AE6" s="145">
        <v>2181</v>
      </c>
      <c r="AF6" s="10"/>
    </row>
    <row r="7" spans="1:32" ht="15" customHeight="1" x14ac:dyDescent="0.25">
      <c r="A7" s="146">
        <v>1</v>
      </c>
      <c r="B7" s="12" t="s">
        <v>13</v>
      </c>
      <c r="C7" s="68">
        <v>3328</v>
      </c>
      <c r="D7" s="68">
        <v>3118</v>
      </c>
      <c r="E7" s="68">
        <v>2922</v>
      </c>
      <c r="F7" s="68">
        <v>2851</v>
      </c>
      <c r="G7" s="68">
        <v>2923</v>
      </c>
      <c r="H7" s="68">
        <v>2542</v>
      </c>
      <c r="I7" s="68">
        <v>2181</v>
      </c>
      <c r="J7" s="68">
        <v>2040</v>
      </c>
      <c r="K7" s="68">
        <v>1998</v>
      </c>
      <c r="L7" s="68">
        <v>2013</v>
      </c>
      <c r="M7" s="68">
        <v>2077</v>
      </c>
      <c r="N7" s="68">
        <v>2097</v>
      </c>
      <c r="O7" s="68">
        <v>2268</v>
      </c>
      <c r="P7" s="68">
        <v>2195</v>
      </c>
      <c r="Q7" s="68">
        <v>1888</v>
      </c>
      <c r="R7" s="68">
        <v>1947</v>
      </c>
      <c r="S7" s="68">
        <v>1964</v>
      </c>
      <c r="T7" s="68">
        <v>2032</v>
      </c>
      <c r="U7" s="68">
        <v>2011</v>
      </c>
      <c r="V7" s="68">
        <v>1945</v>
      </c>
      <c r="W7" s="68">
        <v>1948</v>
      </c>
      <c r="X7" s="68">
        <v>1939</v>
      </c>
      <c r="Y7" s="68">
        <v>1940</v>
      </c>
      <c r="Z7" s="68">
        <v>1904</v>
      </c>
      <c r="AA7" s="68">
        <v>1852</v>
      </c>
      <c r="AB7" s="68">
        <v>1826</v>
      </c>
      <c r="AC7" s="68">
        <v>1879</v>
      </c>
      <c r="AD7" s="68">
        <v>1953</v>
      </c>
      <c r="AE7" s="147">
        <v>1938</v>
      </c>
    </row>
    <row r="8" spans="1:32" ht="15" customHeight="1" thickBot="1" x14ac:dyDescent="0.3">
      <c r="A8" s="148">
        <v>2</v>
      </c>
      <c r="B8" s="13" t="s">
        <v>14</v>
      </c>
      <c r="C8" s="69">
        <v>203</v>
      </c>
      <c r="D8" s="69">
        <v>180</v>
      </c>
      <c r="E8" s="69">
        <v>188</v>
      </c>
      <c r="F8" s="69">
        <v>189</v>
      </c>
      <c r="G8" s="69">
        <v>237</v>
      </c>
      <c r="H8" s="69">
        <v>201</v>
      </c>
      <c r="I8" s="69">
        <v>147</v>
      </c>
      <c r="J8" s="69">
        <v>142</v>
      </c>
      <c r="K8" s="69">
        <v>134</v>
      </c>
      <c r="L8" s="69">
        <v>129</v>
      </c>
      <c r="M8" s="69">
        <v>124</v>
      </c>
      <c r="N8" s="69">
        <v>133</v>
      </c>
      <c r="O8" s="69">
        <v>165</v>
      </c>
      <c r="P8" s="69">
        <v>193</v>
      </c>
      <c r="Q8" s="69">
        <v>141</v>
      </c>
      <c r="R8" s="69">
        <v>321</v>
      </c>
      <c r="S8" s="69">
        <v>362</v>
      </c>
      <c r="T8" s="69">
        <v>348</v>
      </c>
      <c r="U8" s="69">
        <v>306</v>
      </c>
      <c r="V8" s="69">
        <v>287</v>
      </c>
      <c r="W8" s="69">
        <v>275</v>
      </c>
      <c r="X8" s="69">
        <v>275</v>
      </c>
      <c r="Y8" s="69">
        <v>268</v>
      </c>
      <c r="Z8" s="69">
        <v>269</v>
      </c>
      <c r="AA8" s="69">
        <v>245</v>
      </c>
      <c r="AB8" s="69">
        <v>255</v>
      </c>
      <c r="AC8" s="69">
        <v>243</v>
      </c>
      <c r="AD8" s="69">
        <v>228</v>
      </c>
      <c r="AE8" s="149">
        <v>243</v>
      </c>
    </row>
    <row r="9" spans="1:32" s="11" customFormat="1" ht="15" customHeight="1" thickBot="1" x14ac:dyDescent="0.3">
      <c r="A9" s="144" t="s">
        <v>15</v>
      </c>
      <c r="B9" s="9" t="s">
        <v>16</v>
      </c>
      <c r="C9" s="64" t="s">
        <v>383</v>
      </c>
      <c r="D9" s="64" t="s">
        <v>383</v>
      </c>
      <c r="E9" s="64" t="s">
        <v>383</v>
      </c>
      <c r="F9" s="64" t="s">
        <v>383</v>
      </c>
      <c r="G9" s="64" t="s">
        <v>383</v>
      </c>
      <c r="H9" s="64" t="s">
        <v>383</v>
      </c>
      <c r="I9" s="64" t="s">
        <v>383</v>
      </c>
      <c r="J9" s="64" t="s">
        <v>383</v>
      </c>
      <c r="K9" s="64" t="s">
        <v>383</v>
      </c>
      <c r="L9" s="64" t="s">
        <v>383</v>
      </c>
      <c r="M9" s="64" t="s">
        <v>383</v>
      </c>
      <c r="N9" s="64" t="s">
        <v>383</v>
      </c>
      <c r="O9" s="64" t="s">
        <v>383</v>
      </c>
      <c r="P9" s="64">
        <v>4</v>
      </c>
      <c r="Q9" s="64" t="s">
        <v>383</v>
      </c>
      <c r="R9" s="64" t="s">
        <v>383</v>
      </c>
      <c r="S9" s="64" t="s">
        <v>383</v>
      </c>
      <c r="T9" s="64" t="s">
        <v>383</v>
      </c>
      <c r="U9" s="64" t="s">
        <v>383</v>
      </c>
      <c r="V9" s="64" t="s">
        <v>383</v>
      </c>
      <c r="W9" s="64" t="s">
        <v>383</v>
      </c>
      <c r="X9" s="64" t="s">
        <v>383</v>
      </c>
      <c r="Y9" s="64" t="s">
        <v>383</v>
      </c>
      <c r="Z9" s="64" t="s">
        <v>383</v>
      </c>
      <c r="AA9" s="64" t="s">
        <v>383</v>
      </c>
      <c r="AB9" s="64" t="s">
        <v>383</v>
      </c>
      <c r="AC9" s="64" t="s">
        <v>383</v>
      </c>
      <c r="AD9" s="64" t="s">
        <v>383</v>
      </c>
      <c r="AE9" s="145" t="s">
        <v>383</v>
      </c>
      <c r="AF9" s="10"/>
    </row>
    <row r="10" spans="1:32" ht="15" customHeight="1" thickBot="1" x14ac:dyDescent="0.3">
      <c r="A10" s="150">
        <v>5</v>
      </c>
      <c r="B10" s="14" t="s">
        <v>17</v>
      </c>
      <c r="C10" s="67" t="s">
        <v>383</v>
      </c>
      <c r="D10" s="67" t="s">
        <v>383</v>
      </c>
      <c r="E10" s="67" t="s">
        <v>383</v>
      </c>
      <c r="F10" s="67" t="s">
        <v>383</v>
      </c>
      <c r="G10" s="67" t="s">
        <v>383</v>
      </c>
      <c r="H10" s="67" t="s">
        <v>383</v>
      </c>
      <c r="I10" s="67" t="s">
        <v>383</v>
      </c>
      <c r="J10" s="67" t="s">
        <v>383</v>
      </c>
      <c r="K10" s="67" t="s">
        <v>383</v>
      </c>
      <c r="L10" s="67" t="s">
        <v>383</v>
      </c>
      <c r="M10" s="67" t="s">
        <v>383</v>
      </c>
      <c r="N10" s="67" t="s">
        <v>383</v>
      </c>
      <c r="O10" s="67" t="s">
        <v>383</v>
      </c>
      <c r="P10" s="67">
        <v>4</v>
      </c>
      <c r="Q10" s="67" t="s">
        <v>383</v>
      </c>
      <c r="R10" s="67" t="s">
        <v>383</v>
      </c>
      <c r="S10" s="67" t="s">
        <v>383</v>
      </c>
      <c r="T10" s="67" t="s">
        <v>383</v>
      </c>
      <c r="U10" s="67" t="s">
        <v>383</v>
      </c>
      <c r="V10" s="67" t="s">
        <v>383</v>
      </c>
      <c r="W10" s="67" t="s">
        <v>383</v>
      </c>
      <c r="X10" s="67" t="s">
        <v>383</v>
      </c>
      <c r="Y10" s="67" t="s">
        <v>383</v>
      </c>
      <c r="Z10" s="67" t="s">
        <v>383</v>
      </c>
      <c r="AA10" s="67" t="s">
        <v>383</v>
      </c>
      <c r="AB10" s="67" t="s">
        <v>383</v>
      </c>
      <c r="AC10" s="67" t="s">
        <v>383</v>
      </c>
      <c r="AD10" s="67" t="s">
        <v>383</v>
      </c>
      <c r="AE10" s="151" t="s">
        <v>383</v>
      </c>
    </row>
    <row r="11" spans="1:32" s="11" customFormat="1" ht="15" customHeight="1" thickBot="1" x14ac:dyDescent="0.3">
      <c r="A11" s="144" t="s">
        <v>18</v>
      </c>
      <c r="B11" s="9" t="s">
        <v>19</v>
      </c>
      <c r="C11" s="64">
        <v>5</v>
      </c>
      <c r="D11" s="64">
        <v>5</v>
      </c>
      <c r="E11" s="64">
        <v>7</v>
      </c>
      <c r="F11" s="64">
        <v>7</v>
      </c>
      <c r="G11" s="64">
        <v>7</v>
      </c>
      <c r="H11" s="64">
        <v>8</v>
      </c>
      <c r="I11" s="64">
        <v>7</v>
      </c>
      <c r="J11" s="64">
        <v>8</v>
      </c>
      <c r="K11" s="64">
        <v>6</v>
      </c>
      <c r="L11" s="64">
        <v>6</v>
      </c>
      <c r="M11" s="64">
        <v>6</v>
      </c>
      <c r="N11" s="64">
        <v>6</v>
      </c>
      <c r="O11" s="64">
        <v>8</v>
      </c>
      <c r="P11" s="64">
        <v>25</v>
      </c>
      <c r="Q11" s="64">
        <v>5</v>
      </c>
      <c r="R11" s="64">
        <v>8</v>
      </c>
      <c r="S11" s="64">
        <v>6</v>
      </c>
      <c r="T11" s="64">
        <v>8</v>
      </c>
      <c r="U11" s="64">
        <v>8</v>
      </c>
      <c r="V11" s="64">
        <v>7</v>
      </c>
      <c r="W11" s="64">
        <v>7</v>
      </c>
      <c r="X11" s="64">
        <v>6</v>
      </c>
      <c r="Y11" s="64">
        <v>5</v>
      </c>
      <c r="Z11" s="64">
        <v>6</v>
      </c>
      <c r="AA11" s="64">
        <v>6</v>
      </c>
      <c r="AB11" s="64">
        <v>6</v>
      </c>
      <c r="AC11" s="64">
        <v>7</v>
      </c>
      <c r="AD11" s="64">
        <v>10</v>
      </c>
      <c r="AE11" s="145">
        <v>10</v>
      </c>
      <c r="AF11" s="10"/>
    </row>
    <row r="12" spans="1:32" ht="15" customHeight="1" x14ac:dyDescent="0.25">
      <c r="A12" s="152">
        <v>11</v>
      </c>
      <c r="B12" s="15" t="s">
        <v>20</v>
      </c>
      <c r="C12" s="68" t="s">
        <v>383</v>
      </c>
      <c r="D12" s="68" t="s">
        <v>383</v>
      </c>
      <c r="E12" s="68" t="s">
        <v>383</v>
      </c>
      <c r="F12" s="68" t="s">
        <v>383</v>
      </c>
      <c r="G12" s="68" t="s">
        <v>383</v>
      </c>
      <c r="H12" s="68" t="s">
        <v>383</v>
      </c>
      <c r="I12" s="68" t="s">
        <v>383</v>
      </c>
      <c r="J12" s="68" t="s">
        <v>383</v>
      </c>
      <c r="K12" s="68" t="s">
        <v>383</v>
      </c>
      <c r="L12" s="68" t="s">
        <v>383</v>
      </c>
      <c r="M12" s="68" t="s">
        <v>383</v>
      </c>
      <c r="N12" s="68" t="s">
        <v>383</v>
      </c>
      <c r="O12" s="68" t="s">
        <v>383</v>
      </c>
      <c r="P12" s="68" t="s">
        <v>383</v>
      </c>
      <c r="Q12" s="68" t="s">
        <v>383</v>
      </c>
      <c r="R12" s="68" t="s">
        <v>383</v>
      </c>
      <c r="S12" s="68" t="s">
        <v>383</v>
      </c>
      <c r="T12" s="68" t="s">
        <v>383</v>
      </c>
      <c r="U12" s="68" t="s">
        <v>383</v>
      </c>
      <c r="V12" s="68" t="s">
        <v>383</v>
      </c>
      <c r="W12" s="68" t="s">
        <v>383</v>
      </c>
      <c r="X12" s="68" t="s">
        <v>383</v>
      </c>
      <c r="Y12" s="68" t="s">
        <v>383</v>
      </c>
      <c r="Z12" s="68" t="s">
        <v>383</v>
      </c>
      <c r="AA12" s="68" t="s">
        <v>383</v>
      </c>
      <c r="AB12" s="68" t="s">
        <v>383</v>
      </c>
      <c r="AC12" s="68" t="s">
        <v>383</v>
      </c>
      <c r="AD12" s="68" t="s">
        <v>383</v>
      </c>
      <c r="AE12" s="153" t="s">
        <v>383</v>
      </c>
    </row>
    <row r="13" spans="1:32" ht="15" customHeight="1" x14ac:dyDescent="0.25">
      <c r="A13" s="154">
        <v>13</v>
      </c>
      <c r="B13" s="16" t="s">
        <v>21</v>
      </c>
      <c r="C13" s="69">
        <v>0</v>
      </c>
      <c r="D13" s="69">
        <v>0</v>
      </c>
      <c r="E13" s="69">
        <v>0</v>
      </c>
      <c r="F13" s="69">
        <v>0</v>
      </c>
      <c r="G13" s="69">
        <v>0</v>
      </c>
      <c r="H13" s="69">
        <v>0</v>
      </c>
      <c r="I13" s="69">
        <v>0</v>
      </c>
      <c r="J13" s="69">
        <v>0</v>
      </c>
      <c r="K13" s="69">
        <v>0</v>
      </c>
      <c r="L13" s="69">
        <v>0</v>
      </c>
      <c r="M13" s="69">
        <v>0</v>
      </c>
      <c r="N13" s="69">
        <v>0</v>
      </c>
      <c r="O13" s="69">
        <v>0</v>
      </c>
      <c r="P13" s="69">
        <v>0</v>
      </c>
      <c r="Q13" s="69">
        <v>0</v>
      </c>
      <c r="R13" s="69">
        <v>0</v>
      </c>
      <c r="S13" s="69">
        <v>0</v>
      </c>
      <c r="T13" s="69">
        <v>0</v>
      </c>
      <c r="U13" s="69">
        <v>0</v>
      </c>
      <c r="V13" s="69">
        <v>0</v>
      </c>
      <c r="W13" s="69">
        <v>0</v>
      </c>
      <c r="X13" s="69">
        <v>0</v>
      </c>
      <c r="Y13" s="69">
        <v>0</v>
      </c>
      <c r="Z13" s="69">
        <v>0</v>
      </c>
      <c r="AA13" s="69">
        <v>0</v>
      </c>
      <c r="AB13" s="69">
        <v>0</v>
      </c>
      <c r="AC13" s="69">
        <v>0</v>
      </c>
      <c r="AD13" s="69">
        <v>0</v>
      </c>
      <c r="AE13" s="155">
        <v>0</v>
      </c>
    </row>
    <row r="14" spans="1:32" ht="15" customHeight="1" thickBot="1" x14ac:dyDescent="0.3">
      <c r="A14" s="152">
        <v>14</v>
      </c>
      <c r="B14" s="15" t="s">
        <v>22</v>
      </c>
      <c r="C14" s="68" t="s">
        <v>383</v>
      </c>
      <c r="D14" s="68" t="s">
        <v>383</v>
      </c>
      <c r="E14" s="68" t="s">
        <v>383</v>
      </c>
      <c r="F14" s="68" t="s">
        <v>383</v>
      </c>
      <c r="G14" s="68" t="s">
        <v>383</v>
      </c>
      <c r="H14" s="68" t="s">
        <v>383</v>
      </c>
      <c r="I14" s="68" t="s">
        <v>383</v>
      </c>
      <c r="J14" s="68" t="s">
        <v>383</v>
      </c>
      <c r="K14" s="68" t="s">
        <v>383</v>
      </c>
      <c r="L14" s="68" t="s">
        <v>383</v>
      </c>
      <c r="M14" s="68" t="s">
        <v>383</v>
      </c>
      <c r="N14" s="68" t="s">
        <v>383</v>
      </c>
      <c r="O14" s="68" t="s">
        <v>383</v>
      </c>
      <c r="P14" s="68" t="s">
        <v>383</v>
      </c>
      <c r="Q14" s="68" t="s">
        <v>383</v>
      </c>
      <c r="R14" s="68" t="s">
        <v>383</v>
      </c>
      <c r="S14" s="68" t="s">
        <v>383</v>
      </c>
      <c r="T14" s="68" t="s">
        <v>383</v>
      </c>
      <c r="U14" s="68" t="s">
        <v>383</v>
      </c>
      <c r="V14" s="68" t="s">
        <v>383</v>
      </c>
      <c r="W14" s="68" t="s">
        <v>383</v>
      </c>
      <c r="X14" s="68" t="s">
        <v>383</v>
      </c>
      <c r="Y14" s="68" t="s">
        <v>383</v>
      </c>
      <c r="Z14" s="68" t="s">
        <v>383</v>
      </c>
      <c r="AA14" s="68" t="s">
        <v>383</v>
      </c>
      <c r="AB14" s="68" t="s">
        <v>383</v>
      </c>
      <c r="AC14" s="68" t="s">
        <v>383</v>
      </c>
      <c r="AD14" s="68" t="s">
        <v>383</v>
      </c>
      <c r="AE14" s="153" t="s">
        <v>383</v>
      </c>
    </row>
    <row r="15" spans="1:32" s="11" customFormat="1" ht="15" customHeight="1" thickBot="1" x14ac:dyDescent="0.3">
      <c r="A15" s="144" t="s">
        <v>23</v>
      </c>
      <c r="B15" s="9" t="s">
        <v>24</v>
      </c>
      <c r="C15" s="64">
        <v>588</v>
      </c>
      <c r="D15" s="64">
        <v>579</v>
      </c>
      <c r="E15" s="64">
        <v>564</v>
      </c>
      <c r="F15" s="64">
        <v>574</v>
      </c>
      <c r="G15" s="64">
        <v>610</v>
      </c>
      <c r="H15" s="64">
        <v>519</v>
      </c>
      <c r="I15" s="64">
        <v>440</v>
      </c>
      <c r="J15" s="64">
        <v>492</v>
      </c>
      <c r="K15" s="64">
        <v>540</v>
      </c>
      <c r="L15" s="64">
        <v>556</v>
      </c>
      <c r="M15" s="64">
        <v>579</v>
      </c>
      <c r="N15" s="64">
        <v>613</v>
      </c>
      <c r="O15" s="64">
        <v>674</v>
      </c>
      <c r="P15" s="64">
        <v>754</v>
      </c>
      <c r="Q15" s="64">
        <v>668</v>
      </c>
      <c r="R15" s="64">
        <v>696</v>
      </c>
      <c r="S15" s="64">
        <v>699</v>
      </c>
      <c r="T15" s="64">
        <v>712</v>
      </c>
      <c r="U15" s="64">
        <v>669</v>
      </c>
      <c r="V15" s="64">
        <v>653</v>
      </c>
      <c r="W15" s="64">
        <v>677</v>
      </c>
      <c r="X15" s="64">
        <v>707</v>
      </c>
      <c r="Y15" s="64">
        <v>717</v>
      </c>
      <c r="Z15" s="64">
        <v>667</v>
      </c>
      <c r="AA15" s="64">
        <v>645</v>
      </c>
      <c r="AB15" s="64">
        <v>653</v>
      </c>
      <c r="AC15" s="64">
        <v>691</v>
      </c>
      <c r="AD15" s="64">
        <v>755</v>
      </c>
      <c r="AE15" s="145">
        <v>706</v>
      </c>
      <c r="AF15" s="10"/>
    </row>
    <row r="16" spans="1:32" ht="15" customHeight="1" x14ac:dyDescent="0.25">
      <c r="A16" s="152">
        <v>15</v>
      </c>
      <c r="B16" s="15" t="s">
        <v>25</v>
      </c>
      <c r="C16" s="68">
        <v>182</v>
      </c>
      <c r="D16" s="68">
        <v>174</v>
      </c>
      <c r="E16" s="68">
        <v>171</v>
      </c>
      <c r="F16" s="68">
        <v>165</v>
      </c>
      <c r="G16" s="68">
        <v>173</v>
      </c>
      <c r="H16" s="68">
        <v>135</v>
      </c>
      <c r="I16" s="68">
        <v>119</v>
      </c>
      <c r="J16" s="68">
        <v>129</v>
      </c>
      <c r="K16" s="68">
        <v>142</v>
      </c>
      <c r="L16" s="68">
        <v>146</v>
      </c>
      <c r="M16" s="68">
        <v>147</v>
      </c>
      <c r="N16" s="68">
        <v>157</v>
      </c>
      <c r="O16" s="68">
        <v>170</v>
      </c>
      <c r="P16" s="68">
        <v>166</v>
      </c>
      <c r="Q16" s="68">
        <v>166</v>
      </c>
      <c r="R16" s="68">
        <v>170</v>
      </c>
      <c r="S16" s="68">
        <v>176</v>
      </c>
      <c r="T16" s="68">
        <v>182</v>
      </c>
      <c r="U16" s="68">
        <v>171</v>
      </c>
      <c r="V16" s="68">
        <v>168</v>
      </c>
      <c r="W16" s="68">
        <v>176</v>
      </c>
      <c r="X16" s="68">
        <v>181</v>
      </c>
      <c r="Y16" s="68">
        <v>187</v>
      </c>
      <c r="Z16" s="68">
        <v>168</v>
      </c>
      <c r="AA16" s="68">
        <v>164</v>
      </c>
      <c r="AB16" s="68">
        <v>164</v>
      </c>
      <c r="AC16" s="68">
        <v>189</v>
      </c>
      <c r="AD16" s="68">
        <v>214</v>
      </c>
      <c r="AE16" s="153">
        <v>196</v>
      </c>
    </row>
    <row r="17" spans="1:31" ht="15" customHeight="1" x14ac:dyDescent="0.25">
      <c r="A17" s="156">
        <v>16</v>
      </c>
      <c r="B17" s="17" t="s">
        <v>26</v>
      </c>
      <c r="C17" s="70" t="s">
        <v>383</v>
      </c>
      <c r="D17" s="70" t="s">
        <v>383</v>
      </c>
      <c r="E17" s="70" t="s">
        <v>383</v>
      </c>
      <c r="F17" s="70" t="s">
        <v>383</v>
      </c>
      <c r="G17" s="70" t="s">
        <v>383</v>
      </c>
      <c r="H17" s="70" t="s">
        <v>383</v>
      </c>
      <c r="I17" s="70" t="s">
        <v>383</v>
      </c>
      <c r="J17" s="70" t="s">
        <v>383</v>
      </c>
      <c r="K17" s="70" t="s">
        <v>383</v>
      </c>
      <c r="L17" s="70" t="s">
        <v>383</v>
      </c>
      <c r="M17" s="70" t="s">
        <v>383</v>
      </c>
      <c r="N17" s="70" t="s">
        <v>383</v>
      </c>
      <c r="O17" s="70" t="s">
        <v>383</v>
      </c>
      <c r="P17" s="70" t="s">
        <v>383</v>
      </c>
      <c r="Q17" s="70" t="s">
        <v>383</v>
      </c>
      <c r="R17" s="70" t="s">
        <v>383</v>
      </c>
      <c r="S17" s="70" t="s">
        <v>383</v>
      </c>
      <c r="T17" s="70" t="s">
        <v>383</v>
      </c>
      <c r="U17" s="70" t="s">
        <v>383</v>
      </c>
      <c r="V17" s="70" t="s">
        <v>383</v>
      </c>
      <c r="W17" s="70" t="s">
        <v>383</v>
      </c>
      <c r="X17" s="70" t="s">
        <v>383</v>
      </c>
      <c r="Y17" s="70" t="s">
        <v>383</v>
      </c>
      <c r="Z17" s="70" t="s">
        <v>383</v>
      </c>
      <c r="AA17" s="70" t="s">
        <v>383</v>
      </c>
      <c r="AB17" s="70" t="s">
        <v>383</v>
      </c>
      <c r="AC17" s="70" t="s">
        <v>383</v>
      </c>
      <c r="AD17" s="70" t="s">
        <v>383</v>
      </c>
      <c r="AE17" s="157" t="s">
        <v>383</v>
      </c>
    </row>
    <row r="18" spans="1:31" ht="15" customHeight="1" x14ac:dyDescent="0.25">
      <c r="A18" s="156">
        <v>17</v>
      </c>
      <c r="B18" s="17" t="s">
        <v>27</v>
      </c>
      <c r="C18" s="70">
        <v>60</v>
      </c>
      <c r="D18" s="70">
        <v>61</v>
      </c>
      <c r="E18" s="70">
        <v>64</v>
      </c>
      <c r="F18" s="70">
        <v>56</v>
      </c>
      <c r="G18" s="70">
        <v>50</v>
      </c>
      <c r="H18" s="70">
        <v>43</v>
      </c>
      <c r="I18" s="70">
        <v>37</v>
      </c>
      <c r="J18" s="70">
        <v>42</v>
      </c>
      <c r="K18" s="70">
        <v>40</v>
      </c>
      <c r="L18" s="70">
        <v>44</v>
      </c>
      <c r="M18" s="70">
        <v>42</v>
      </c>
      <c r="N18" s="70">
        <v>43</v>
      </c>
      <c r="O18" s="70">
        <v>48</v>
      </c>
      <c r="P18" s="70">
        <v>48</v>
      </c>
      <c r="Q18" s="70">
        <v>44</v>
      </c>
      <c r="R18" s="70">
        <v>47</v>
      </c>
      <c r="S18" s="70">
        <v>50</v>
      </c>
      <c r="T18" s="70">
        <v>49</v>
      </c>
      <c r="U18" s="70">
        <v>50</v>
      </c>
      <c r="V18" s="70">
        <v>52</v>
      </c>
      <c r="W18" s="70">
        <v>54</v>
      </c>
      <c r="X18" s="70">
        <v>50</v>
      </c>
      <c r="Y18" s="70">
        <v>50</v>
      </c>
      <c r="Z18" s="70">
        <v>49</v>
      </c>
      <c r="AA18" s="70">
        <v>49</v>
      </c>
      <c r="AB18" s="70">
        <v>54</v>
      </c>
      <c r="AC18" s="70">
        <v>50</v>
      </c>
      <c r="AD18" s="70">
        <v>51</v>
      </c>
      <c r="AE18" s="157">
        <v>48</v>
      </c>
    </row>
    <row r="19" spans="1:31" ht="15" customHeight="1" x14ac:dyDescent="0.25">
      <c r="A19" s="156">
        <v>18</v>
      </c>
      <c r="B19" s="17" t="s">
        <v>28</v>
      </c>
      <c r="C19" s="70">
        <v>12</v>
      </c>
      <c r="D19" s="70">
        <v>11</v>
      </c>
      <c r="E19" s="70">
        <v>11</v>
      </c>
      <c r="F19" s="70">
        <v>19</v>
      </c>
      <c r="G19" s="70">
        <v>17</v>
      </c>
      <c r="H19" s="70">
        <v>17</v>
      </c>
      <c r="I19" s="70">
        <v>13</v>
      </c>
      <c r="J19" s="70">
        <v>13</v>
      </c>
      <c r="K19" s="70">
        <v>12</v>
      </c>
      <c r="L19" s="70">
        <v>15</v>
      </c>
      <c r="M19" s="70">
        <v>13</v>
      </c>
      <c r="N19" s="70">
        <v>14</v>
      </c>
      <c r="O19" s="70">
        <v>15</v>
      </c>
      <c r="P19" s="70">
        <v>18</v>
      </c>
      <c r="Q19" s="70">
        <v>16</v>
      </c>
      <c r="R19" s="70">
        <v>18</v>
      </c>
      <c r="S19" s="70">
        <v>18</v>
      </c>
      <c r="T19" s="70">
        <v>21</v>
      </c>
      <c r="U19" s="70">
        <v>19</v>
      </c>
      <c r="V19" s="70">
        <v>18</v>
      </c>
      <c r="W19" s="70">
        <v>19</v>
      </c>
      <c r="X19" s="70">
        <v>17</v>
      </c>
      <c r="Y19" s="70">
        <v>13</v>
      </c>
      <c r="Z19" s="70">
        <v>13</v>
      </c>
      <c r="AA19" s="70">
        <v>12</v>
      </c>
      <c r="AB19" s="70">
        <v>11</v>
      </c>
      <c r="AC19" s="70">
        <v>11</v>
      </c>
      <c r="AD19" s="70">
        <v>16</v>
      </c>
      <c r="AE19" s="157">
        <v>13</v>
      </c>
    </row>
    <row r="20" spans="1:31" ht="15" customHeight="1" x14ac:dyDescent="0.25">
      <c r="A20" s="156">
        <v>19</v>
      </c>
      <c r="B20" s="17" t="s">
        <v>105</v>
      </c>
      <c r="C20" s="70">
        <v>8</v>
      </c>
      <c r="D20" s="70">
        <v>11</v>
      </c>
      <c r="E20" s="70">
        <v>8</v>
      </c>
      <c r="F20" s="70">
        <v>8</v>
      </c>
      <c r="G20" s="70">
        <v>9</v>
      </c>
      <c r="H20" s="70">
        <v>4</v>
      </c>
      <c r="I20" s="70">
        <v>7</v>
      </c>
      <c r="J20" s="70">
        <v>8</v>
      </c>
      <c r="K20" s="70">
        <v>8</v>
      </c>
      <c r="L20" s="70">
        <v>8</v>
      </c>
      <c r="M20" s="70">
        <v>8</v>
      </c>
      <c r="N20" s="70">
        <v>10</v>
      </c>
      <c r="O20" s="70">
        <v>10</v>
      </c>
      <c r="P20" s="70">
        <v>13</v>
      </c>
      <c r="Q20" s="70">
        <v>11</v>
      </c>
      <c r="R20" s="70">
        <v>12</v>
      </c>
      <c r="S20" s="70">
        <v>11</v>
      </c>
      <c r="T20" s="70">
        <v>10</v>
      </c>
      <c r="U20" s="70">
        <v>10</v>
      </c>
      <c r="V20" s="70">
        <v>9</v>
      </c>
      <c r="W20" s="70">
        <v>9</v>
      </c>
      <c r="X20" s="70">
        <v>7</v>
      </c>
      <c r="Y20" s="70">
        <v>7</v>
      </c>
      <c r="Z20" s="70">
        <v>6</v>
      </c>
      <c r="AA20" s="70">
        <v>7</v>
      </c>
      <c r="AB20" s="70">
        <v>7</v>
      </c>
      <c r="AC20" s="70">
        <v>9</v>
      </c>
      <c r="AD20" s="70">
        <v>11</v>
      </c>
      <c r="AE20" s="157">
        <v>11</v>
      </c>
    </row>
    <row r="21" spans="1:31" ht="15" customHeight="1" x14ac:dyDescent="0.25">
      <c r="A21" s="156">
        <v>20</v>
      </c>
      <c r="B21" s="17" t="s">
        <v>30</v>
      </c>
      <c r="C21" s="70">
        <v>77</v>
      </c>
      <c r="D21" s="70">
        <v>79</v>
      </c>
      <c r="E21" s="70">
        <v>79</v>
      </c>
      <c r="F21" s="70">
        <v>81</v>
      </c>
      <c r="G21" s="70">
        <v>97</v>
      </c>
      <c r="H21" s="70">
        <v>79</v>
      </c>
      <c r="I21" s="70">
        <v>64</v>
      </c>
      <c r="J21" s="70">
        <v>82</v>
      </c>
      <c r="K21" s="70">
        <v>91</v>
      </c>
      <c r="L21" s="70">
        <v>91</v>
      </c>
      <c r="M21" s="70">
        <v>105</v>
      </c>
      <c r="N21" s="70">
        <v>116</v>
      </c>
      <c r="O21" s="70">
        <v>122</v>
      </c>
      <c r="P21" s="70">
        <v>136</v>
      </c>
      <c r="Q21" s="70">
        <v>105</v>
      </c>
      <c r="R21" s="70">
        <v>114</v>
      </c>
      <c r="S21" s="70">
        <v>117</v>
      </c>
      <c r="T21" s="70">
        <v>111</v>
      </c>
      <c r="U21" s="70">
        <v>89</v>
      </c>
      <c r="V21" s="70">
        <v>83</v>
      </c>
      <c r="W21" s="70">
        <v>94</v>
      </c>
      <c r="X21" s="70">
        <v>119</v>
      </c>
      <c r="Y21" s="70">
        <v>122</v>
      </c>
      <c r="Z21" s="70">
        <v>110</v>
      </c>
      <c r="AA21" s="70">
        <v>104</v>
      </c>
      <c r="AB21" s="70">
        <v>111</v>
      </c>
      <c r="AC21" s="70">
        <v>106</v>
      </c>
      <c r="AD21" s="70">
        <v>109</v>
      </c>
      <c r="AE21" s="157">
        <v>104</v>
      </c>
    </row>
    <row r="22" spans="1:31" ht="15" customHeight="1" x14ac:dyDescent="0.25">
      <c r="A22" s="156">
        <v>21</v>
      </c>
      <c r="B22" s="17" t="s">
        <v>31</v>
      </c>
      <c r="C22" s="70">
        <v>8</v>
      </c>
      <c r="D22" s="70">
        <v>6</v>
      </c>
      <c r="E22" s="70">
        <v>5</v>
      </c>
      <c r="F22" s="70">
        <v>5</v>
      </c>
      <c r="G22" s="70">
        <v>6</v>
      </c>
      <c r="H22" s="70">
        <v>5</v>
      </c>
      <c r="I22" s="70">
        <v>6</v>
      </c>
      <c r="J22" s="70">
        <v>6</v>
      </c>
      <c r="K22" s="70">
        <v>7</v>
      </c>
      <c r="L22" s="70">
        <v>7</v>
      </c>
      <c r="M22" s="70">
        <v>6</v>
      </c>
      <c r="N22" s="70">
        <v>5</v>
      </c>
      <c r="O22" s="70">
        <v>6</v>
      </c>
      <c r="P22" s="70">
        <v>6</v>
      </c>
      <c r="Q22" s="70">
        <v>5</v>
      </c>
      <c r="R22" s="70">
        <v>5</v>
      </c>
      <c r="S22" s="70">
        <v>6</v>
      </c>
      <c r="T22" s="70">
        <v>4</v>
      </c>
      <c r="U22" s="70">
        <v>6</v>
      </c>
      <c r="V22" s="70">
        <v>6</v>
      </c>
      <c r="W22" s="70">
        <v>6</v>
      </c>
      <c r="X22" s="70">
        <v>6</v>
      </c>
      <c r="Y22" s="70">
        <v>5</v>
      </c>
      <c r="Z22" s="70">
        <v>7</v>
      </c>
      <c r="AA22" s="70">
        <v>4</v>
      </c>
      <c r="AB22" s="70">
        <v>4</v>
      </c>
      <c r="AC22" s="70">
        <v>4</v>
      </c>
      <c r="AD22" s="70">
        <v>5</v>
      </c>
      <c r="AE22" s="157">
        <v>5</v>
      </c>
    </row>
    <row r="23" spans="1:31" ht="15" customHeight="1" x14ac:dyDescent="0.25">
      <c r="A23" s="156">
        <v>22</v>
      </c>
      <c r="B23" s="17" t="s">
        <v>98</v>
      </c>
      <c r="C23" s="70">
        <v>31</v>
      </c>
      <c r="D23" s="70">
        <v>28</v>
      </c>
      <c r="E23" s="70">
        <v>28</v>
      </c>
      <c r="F23" s="70">
        <v>28</v>
      </c>
      <c r="G23" s="70">
        <v>30</v>
      </c>
      <c r="H23" s="70">
        <v>31</v>
      </c>
      <c r="I23" s="70">
        <v>26</v>
      </c>
      <c r="J23" s="70">
        <v>27</v>
      </c>
      <c r="K23" s="70">
        <v>28</v>
      </c>
      <c r="L23" s="70">
        <v>34</v>
      </c>
      <c r="M23" s="70">
        <v>34</v>
      </c>
      <c r="N23" s="70">
        <v>33</v>
      </c>
      <c r="O23" s="70">
        <v>32</v>
      </c>
      <c r="P23" s="70">
        <v>31</v>
      </c>
      <c r="Q23" s="70">
        <v>34</v>
      </c>
      <c r="R23" s="70">
        <v>36</v>
      </c>
      <c r="S23" s="70">
        <v>33</v>
      </c>
      <c r="T23" s="70">
        <v>37</v>
      </c>
      <c r="U23" s="70">
        <v>33</v>
      </c>
      <c r="V23" s="70">
        <v>31</v>
      </c>
      <c r="W23" s="70">
        <v>32</v>
      </c>
      <c r="X23" s="70">
        <v>30</v>
      </c>
      <c r="Y23" s="70">
        <v>27</v>
      </c>
      <c r="Z23" s="70">
        <v>24</v>
      </c>
      <c r="AA23" s="70">
        <v>22</v>
      </c>
      <c r="AB23" s="70">
        <v>23</v>
      </c>
      <c r="AC23" s="70">
        <v>25</v>
      </c>
      <c r="AD23" s="70">
        <v>31</v>
      </c>
      <c r="AE23" s="157">
        <v>21</v>
      </c>
    </row>
    <row r="24" spans="1:31" ht="15" customHeight="1" x14ac:dyDescent="0.25">
      <c r="A24" s="156">
        <v>23</v>
      </c>
      <c r="B24" s="17" t="s">
        <v>33</v>
      </c>
      <c r="C24" s="70">
        <v>5</v>
      </c>
      <c r="D24" s="70">
        <v>4</v>
      </c>
      <c r="E24" s="70">
        <v>4</v>
      </c>
      <c r="F24" s="70">
        <v>5</v>
      </c>
      <c r="G24" s="70">
        <v>5</v>
      </c>
      <c r="H24" s="70">
        <v>4</v>
      </c>
      <c r="I24" s="70">
        <v>4</v>
      </c>
      <c r="J24" s="70">
        <v>4</v>
      </c>
      <c r="K24" s="70">
        <v>4</v>
      </c>
      <c r="L24" s="70" t="s">
        <v>383</v>
      </c>
      <c r="M24" s="70" t="s">
        <v>383</v>
      </c>
      <c r="N24" s="70" t="s">
        <v>383</v>
      </c>
      <c r="O24" s="70" t="s">
        <v>383</v>
      </c>
      <c r="P24" s="70" t="s">
        <v>383</v>
      </c>
      <c r="Q24" s="70" t="s">
        <v>383</v>
      </c>
      <c r="R24" s="70" t="s">
        <v>383</v>
      </c>
      <c r="S24" s="70" t="s">
        <v>383</v>
      </c>
      <c r="T24" s="70" t="s">
        <v>383</v>
      </c>
      <c r="U24" s="70" t="s">
        <v>383</v>
      </c>
      <c r="V24" s="70" t="s">
        <v>383</v>
      </c>
      <c r="W24" s="70" t="s">
        <v>383</v>
      </c>
      <c r="X24" s="70" t="s">
        <v>383</v>
      </c>
      <c r="Y24" s="70" t="s">
        <v>383</v>
      </c>
      <c r="Z24" s="70" t="s">
        <v>383</v>
      </c>
      <c r="AA24" s="70" t="s">
        <v>383</v>
      </c>
      <c r="AB24" s="70" t="s">
        <v>383</v>
      </c>
      <c r="AC24" s="70" t="s">
        <v>383</v>
      </c>
      <c r="AD24" s="70" t="s">
        <v>383</v>
      </c>
      <c r="AE24" s="157" t="s">
        <v>383</v>
      </c>
    </row>
    <row r="25" spans="1:31" ht="15" customHeight="1" x14ac:dyDescent="0.25">
      <c r="A25" s="156">
        <v>24</v>
      </c>
      <c r="B25" s="17" t="s">
        <v>34</v>
      </c>
      <c r="C25" s="70">
        <v>54</v>
      </c>
      <c r="D25" s="70">
        <v>56</v>
      </c>
      <c r="E25" s="70">
        <v>49</v>
      </c>
      <c r="F25" s="70">
        <v>57</v>
      </c>
      <c r="G25" s="70">
        <v>60</v>
      </c>
      <c r="H25" s="70">
        <v>56</v>
      </c>
      <c r="I25" s="70">
        <v>49</v>
      </c>
      <c r="J25" s="70">
        <v>50</v>
      </c>
      <c r="K25" s="70">
        <v>49</v>
      </c>
      <c r="L25" s="70">
        <v>47</v>
      </c>
      <c r="M25" s="70">
        <v>49</v>
      </c>
      <c r="N25" s="70">
        <v>48</v>
      </c>
      <c r="O25" s="70">
        <v>43</v>
      </c>
      <c r="P25" s="70">
        <v>50</v>
      </c>
      <c r="Q25" s="70">
        <v>51</v>
      </c>
      <c r="R25" s="70">
        <v>52</v>
      </c>
      <c r="S25" s="70">
        <v>52</v>
      </c>
      <c r="T25" s="70">
        <v>54</v>
      </c>
      <c r="U25" s="70">
        <v>54</v>
      </c>
      <c r="V25" s="70">
        <v>54</v>
      </c>
      <c r="W25" s="70">
        <v>51</v>
      </c>
      <c r="X25" s="70">
        <v>48</v>
      </c>
      <c r="Y25" s="70">
        <v>47</v>
      </c>
      <c r="Z25" s="70">
        <v>51</v>
      </c>
      <c r="AA25" s="70">
        <v>52</v>
      </c>
      <c r="AB25" s="70">
        <v>50</v>
      </c>
      <c r="AC25" s="70">
        <v>52</v>
      </c>
      <c r="AD25" s="70">
        <v>53</v>
      </c>
      <c r="AE25" s="157">
        <v>54</v>
      </c>
    </row>
    <row r="26" spans="1:31" ht="15" customHeight="1" x14ac:dyDescent="0.25">
      <c r="A26" s="156">
        <v>25</v>
      </c>
      <c r="B26" s="17" t="s">
        <v>35</v>
      </c>
      <c r="C26" s="70">
        <v>12</v>
      </c>
      <c r="D26" s="70">
        <v>12</v>
      </c>
      <c r="E26" s="70">
        <v>11</v>
      </c>
      <c r="F26" s="70">
        <v>14</v>
      </c>
      <c r="G26" s="70">
        <v>14</v>
      </c>
      <c r="H26" s="70">
        <v>15</v>
      </c>
      <c r="I26" s="70">
        <v>14</v>
      </c>
      <c r="J26" s="70">
        <v>14</v>
      </c>
      <c r="K26" s="70">
        <v>15</v>
      </c>
      <c r="L26" s="70">
        <v>12</v>
      </c>
      <c r="M26" s="70">
        <v>12</v>
      </c>
      <c r="N26" s="70">
        <v>13</v>
      </c>
      <c r="O26" s="70">
        <v>14</v>
      </c>
      <c r="P26" s="70">
        <v>13</v>
      </c>
      <c r="Q26" s="70">
        <v>15</v>
      </c>
      <c r="R26" s="70">
        <v>16</v>
      </c>
      <c r="S26" s="70">
        <v>18</v>
      </c>
      <c r="T26" s="70">
        <v>18</v>
      </c>
      <c r="U26" s="70">
        <v>18</v>
      </c>
      <c r="V26" s="70">
        <v>18</v>
      </c>
      <c r="W26" s="70">
        <v>17</v>
      </c>
      <c r="X26" s="70">
        <v>18</v>
      </c>
      <c r="Y26" s="70">
        <v>17</v>
      </c>
      <c r="Z26" s="70">
        <v>18</v>
      </c>
      <c r="AA26" s="70">
        <v>16</v>
      </c>
      <c r="AB26" s="70">
        <v>14</v>
      </c>
      <c r="AC26" s="70">
        <v>17</v>
      </c>
      <c r="AD26" s="70">
        <v>21</v>
      </c>
      <c r="AE26" s="157">
        <v>21</v>
      </c>
    </row>
    <row r="27" spans="1:31" ht="15" customHeight="1" x14ac:dyDescent="0.25">
      <c r="A27" s="156">
        <v>26</v>
      </c>
      <c r="B27" s="17" t="s">
        <v>36</v>
      </c>
      <c r="C27" s="70">
        <v>25</v>
      </c>
      <c r="D27" s="70">
        <v>24</v>
      </c>
      <c r="E27" s="70">
        <v>25</v>
      </c>
      <c r="F27" s="70">
        <v>24</v>
      </c>
      <c r="G27" s="70">
        <v>46</v>
      </c>
      <c r="H27" s="70">
        <v>35</v>
      </c>
      <c r="I27" s="70">
        <v>22</v>
      </c>
      <c r="J27" s="70">
        <v>26</v>
      </c>
      <c r="K27" s="70">
        <v>29</v>
      </c>
      <c r="L27" s="70">
        <v>31</v>
      </c>
      <c r="M27" s="70">
        <v>33</v>
      </c>
      <c r="N27" s="70">
        <v>37</v>
      </c>
      <c r="O27" s="70">
        <v>43</v>
      </c>
      <c r="P27" s="70">
        <v>94</v>
      </c>
      <c r="Q27" s="70">
        <v>45</v>
      </c>
      <c r="R27" s="70">
        <v>39</v>
      </c>
      <c r="S27" s="70">
        <v>37</v>
      </c>
      <c r="T27" s="70">
        <v>38</v>
      </c>
      <c r="U27" s="70">
        <v>40</v>
      </c>
      <c r="V27" s="70">
        <v>40</v>
      </c>
      <c r="W27" s="70">
        <v>35</v>
      </c>
      <c r="X27" s="70">
        <v>36</v>
      </c>
      <c r="Y27" s="70">
        <v>35</v>
      </c>
      <c r="Z27" s="70">
        <v>35</v>
      </c>
      <c r="AA27" s="70">
        <v>34</v>
      </c>
      <c r="AB27" s="70">
        <v>40</v>
      </c>
      <c r="AC27" s="70">
        <v>43</v>
      </c>
      <c r="AD27" s="70">
        <v>46</v>
      </c>
      <c r="AE27" s="157">
        <v>38</v>
      </c>
    </row>
    <row r="28" spans="1:31" ht="15" customHeight="1" x14ac:dyDescent="0.25">
      <c r="A28" s="156">
        <v>27</v>
      </c>
      <c r="B28" s="17" t="s">
        <v>37</v>
      </c>
      <c r="C28" s="70">
        <v>6</v>
      </c>
      <c r="D28" s="70">
        <v>8</v>
      </c>
      <c r="E28" s="70">
        <v>7</v>
      </c>
      <c r="F28" s="70">
        <v>5</v>
      </c>
      <c r="G28" s="70">
        <v>5</v>
      </c>
      <c r="H28" s="70">
        <v>4</v>
      </c>
      <c r="I28" s="70" t="s">
        <v>383</v>
      </c>
      <c r="J28" s="70">
        <v>4</v>
      </c>
      <c r="K28" s="70">
        <v>5</v>
      </c>
      <c r="L28" s="70">
        <v>5</v>
      </c>
      <c r="M28" s="70">
        <v>4</v>
      </c>
      <c r="N28" s="70">
        <v>4</v>
      </c>
      <c r="O28" s="70">
        <v>8</v>
      </c>
      <c r="P28" s="70">
        <v>8</v>
      </c>
      <c r="Q28" s="70">
        <v>7</v>
      </c>
      <c r="R28" s="70">
        <v>7</v>
      </c>
      <c r="S28" s="70">
        <v>7</v>
      </c>
      <c r="T28" s="70">
        <v>7</v>
      </c>
      <c r="U28" s="70">
        <v>7</v>
      </c>
      <c r="V28" s="70">
        <v>6</v>
      </c>
      <c r="W28" s="70">
        <v>6</v>
      </c>
      <c r="X28" s="70">
        <v>5</v>
      </c>
      <c r="Y28" s="70">
        <v>5</v>
      </c>
      <c r="Z28" s="70">
        <v>4</v>
      </c>
      <c r="AA28" s="70" t="s">
        <v>383</v>
      </c>
      <c r="AB28" s="70" t="s">
        <v>383</v>
      </c>
      <c r="AC28" s="70">
        <v>4</v>
      </c>
      <c r="AD28" s="70">
        <v>5</v>
      </c>
      <c r="AE28" s="157">
        <v>4</v>
      </c>
    </row>
    <row r="29" spans="1:31" ht="15" customHeight="1" x14ac:dyDescent="0.25">
      <c r="A29" s="156">
        <v>28</v>
      </c>
      <c r="B29" s="17" t="s">
        <v>38</v>
      </c>
      <c r="C29" s="70">
        <v>23</v>
      </c>
      <c r="D29" s="70">
        <v>24</v>
      </c>
      <c r="E29" s="70">
        <v>24</v>
      </c>
      <c r="F29" s="70">
        <v>22</v>
      </c>
      <c r="G29" s="70">
        <v>19</v>
      </c>
      <c r="H29" s="70">
        <v>21</v>
      </c>
      <c r="I29" s="70">
        <v>22</v>
      </c>
      <c r="J29" s="70">
        <v>22</v>
      </c>
      <c r="K29" s="70">
        <v>26</v>
      </c>
      <c r="L29" s="70">
        <v>27</v>
      </c>
      <c r="M29" s="70">
        <v>27</v>
      </c>
      <c r="N29" s="70">
        <v>28</v>
      </c>
      <c r="O29" s="70">
        <v>34</v>
      </c>
      <c r="P29" s="70">
        <v>38</v>
      </c>
      <c r="Q29" s="70">
        <v>38</v>
      </c>
      <c r="R29" s="70">
        <v>42</v>
      </c>
      <c r="S29" s="70">
        <v>42</v>
      </c>
      <c r="T29" s="70">
        <v>41</v>
      </c>
      <c r="U29" s="70">
        <v>42</v>
      </c>
      <c r="V29" s="70">
        <v>43</v>
      </c>
      <c r="W29" s="70">
        <v>47</v>
      </c>
      <c r="X29" s="70">
        <v>46</v>
      </c>
      <c r="Y29" s="70">
        <v>47</v>
      </c>
      <c r="Z29" s="70">
        <v>42</v>
      </c>
      <c r="AA29" s="70">
        <v>41</v>
      </c>
      <c r="AB29" s="70">
        <v>42</v>
      </c>
      <c r="AC29" s="70">
        <v>48</v>
      </c>
      <c r="AD29" s="70">
        <v>48</v>
      </c>
      <c r="AE29" s="157">
        <v>42</v>
      </c>
    </row>
    <row r="30" spans="1:31" ht="15" customHeight="1" x14ac:dyDescent="0.25">
      <c r="A30" s="156">
        <v>29</v>
      </c>
      <c r="B30" s="17" t="s">
        <v>39</v>
      </c>
      <c r="C30" s="70">
        <v>19</v>
      </c>
      <c r="D30" s="70">
        <v>23</v>
      </c>
      <c r="E30" s="70">
        <v>19</v>
      </c>
      <c r="F30" s="70">
        <v>19</v>
      </c>
      <c r="G30" s="70">
        <v>15</v>
      </c>
      <c r="H30" s="70">
        <v>11</v>
      </c>
      <c r="I30" s="70">
        <v>10</v>
      </c>
      <c r="J30" s="70">
        <v>9</v>
      </c>
      <c r="K30" s="70">
        <v>12</v>
      </c>
      <c r="L30" s="70">
        <v>11</v>
      </c>
      <c r="M30" s="70">
        <v>12</v>
      </c>
      <c r="N30" s="70">
        <v>12</v>
      </c>
      <c r="O30" s="70">
        <v>15</v>
      </c>
      <c r="P30" s="70">
        <v>17</v>
      </c>
      <c r="Q30" s="70">
        <v>19</v>
      </c>
      <c r="R30" s="70">
        <v>18</v>
      </c>
      <c r="S30" s="70">
        <v>17</v>
      </c>
      <c r="T30" s="70">
        <v>23</v>
      </c>
      <c r="U30" s="70">
        <v>18</v>
      </c>
      <c r="V30" s="70">
        <v>16</v>
      </c>
      <c r="W30" s="70">
        <v>17</v>
      </c>
      <c r="X30" s="70">
        <v>18</v>
      </c>
      <c r="Y30" s="70">
        <v>17</v>
      </c>
      <c r="Z30" s="70">
        <v>18</v>
      </c>
      <c r="AA30" s="70">
        <v>18</v>
      </c>
      <c r="AB30" s="70">
        <v>15</v>
      </c>
      <c r="AC30" s="70">
        <v>16</v>
      </c>
      <c r="AD30" s="70">
        <v>17</v>
      </c>
      <c r="AE30" s="157">
        <v>16</v>
      </c>
    </row>
    <row r="31" spans="1:31" ht="15" customHeight="1" x14ac:dyDescent="0.25">
      <c r="A31" s="156">
        <v>30</v>
      </c>
      <c r="B31" s="17" t="s">
        <v>40</v>
      </c>
      <c r="C31" s="70" t="s">
        <v>383</v>
      </c>
      <c r="D31" s="70" t="s">
        <v>383</v>
      </c>
      <c r="E31" s="70" t="s">
        <v>383</v>
      </c>
      <c r="F31" s="70" t="s">
        <v>383</v>
      </c>
      <c r="G31" s="70" t="s">
        <v>383</v>
      </c>
      <c r="H31" s="70" t="s">
        <v>383</v>
      </c>
      <c r="I31" s="70" t="s">
        <v>383</v>
      </c>
      <c r="J31" s="70" t="s">
        <v>383</v>
      </c>
      <c r="K31" s="70" t="s">
        <v>383</v>
      </c>
      <c r="L31" s="70" t="s">
        <v>383</v>
      </c>
      <c r="M31" s="70" t="s">
        <v>383</v>
      </c>
      <c r="N31" s="70" t="s">
        <v>383</v>
      </c>
      <c r="O31" s="70" t="s">
        <v>383</v>
      </c>
      <c r="P31" s="70" t="s">
        <v>383</v>
      </c>
      <c r="Q31" s="70" t="s">
        <v>383</v>
      </c>
      <c r="R31" s="70" t="s">
        <v>383</v>
      </c>
      <c r="S31" s="70" t="s">
        <v>383</v>
      </c>
      <c r="T31" s="70" t="s">
        <v>383</v>
      </c>
      <c r="U31" s="70" t="s">
        <v>383</v>
      </c>
      <c r="V31" s="70" t="s">
        <v>383</v>
      </c>
      <c r="W31" s="70" t="s">
        <v>383</v>
      </c>
      <c r="X31" s="70" t="s">
        <v>383</v>
      </c>
      <c r="Y31" s="70" t="s">
        <v>383</v>
      </c>
      <c r="Z31" s="70" t="s">
        <v>383</v>
      </c>
      <c r="AA31" s="70" t="s">
        <v>383</v>
      </c>
      <c r="AB31" s="70" t="s">
        <v>383</v>
      </c>
      <c r="AC31" s="70" t="s">
        <v>383</v>
      </c>
      <c r="AD31" s="70" t="s">
        <v>383</v>
      </c>
      <c r="AE31" s="157" t="s">
        <v>383</v>
      </c>
    </row>
    <row r="32" spans="1:31" ht="15" customHeight="1" x14ac:dyDescent="0.25">
      <c r="A32" s="156">
        <v>31</v>
      </c>
      <c r="B32" s="17" t="s">
        <v>41</v>
      </c>
      <c r="C32" s="70">
        <v>5</v>
      </c>
      <c r="D32" s="70">
        <v>6</v>
      </c>
      <c r="E32" s="70">
        <v>7</v>
      </c>
      <c r="F32" s="70">
        <v>6</v>
      </c>
      <c r="G32" s="70">
        <v>5</v>
      </c>
      <c r="H32" s="70">
        <v>5</v>
      </c>
      <c r="I32" s="70">
        <v>4</v>
      </c>
      <c r="J32" s="70">
        <v>4</v>
      </c>
      <c r="K32" s="70">
        <v>8</v>
      </c>
      <c r="L32" s="70">
        <v>8</v>
      </c>
      <c r="M32" s="70">
        <v>8</v>
      </c>
      <c r="N32" s="70">
        <v>8</v>
      </c>
      <c r="O32" s="70">
        <v>7</v>
      </c>
      <c r="P32" s="70">
        <v>10</v>
      </c>
      <c r="Q32" s="70">
        <v>10</v>
      </c>
      <c r="R32" s="70">
        <v>9</v>
      </c>
      <c r="S32" s="70">
        <v>10</v>
      </c>
      <c r="T32" s="70">
        <v>10</v>
      </c>
      <c r="U32" s="70">
        <v>8</v>
      </c>
      <c r="V32" s="70">
        <v>10</v>
      </c>
      <c r="W32" s="70">
        <v>8</v>
      </c>
      <c r="X32" s="70">
        <v>8</v>
      </c>
      <c r="Y32" s="70">
        <v>9</v>
      </c>
      <c r="Z32" s="70">
        <v>6</v>
      </c>
      <c r="AA32" s="70">
        <v>5</v>
      </c>
      <c r="AB32" s="70" t="s">
        <v>383</v>
      </c>
      <c r="AC32" s="70">
        <v>4</v>
      </c>
      <c r="AD32" s="70" t="s">
        <v>383</v>
      </c>
      <c r="AE32" s="157" t="s">
        <v>383</v>
      </c>
    </row>
    <row r="33" spans="1:32" ht="15" customHeight="1" x14ac:dyDescent="0.25">
      <c r="A33" s="156">
        <v>32</v>
      </c>
      <c r="B33" s="17" t="s">
        <v>42</v>
      </c>
      <c r="C33" s="70" t="s">
        <v>383</v>
      </c>
      <c r="D33" s="70" t="s">
        <v>383</v>
      </c>
      <c r="E33" s="70" t="s">
        <v>383</v>
      </c>
      <c r="F33" s="70">
        <v>5</v>
      </c>
      <c r="G33" s="70">
        <v>5</v>
      </c>
      <c r="H33" s="70">
        <v>4</v>
      </c>
      <c r="I33" s="70" t="s">
        <v>383</v>
      </c>
      <c r="J33" s="70" t="s">
        <v>383</v>
      </c>
      <c r="K33" s="70" t="s">
        <v>383</v>
      </c>
      <c r="L33" s="70" t="s">
        <v>383</v>
      </c>
      <c r="M33" s="70" t="s">
        <v>383</v>
      </c>
      <c r="N33" s="70" t="s">
        <v>383</v>
      </c>
      <c r="O33" s="70" t="s">
        <v>383</v>
      </c>
      <c r="P33" s="70" t="s">
        <v>383</v>
      </c>
      <c r="Q33" s="70" t="s">
        <v>383</v>
      </c>
      <c r="R33" s="70" t="s">
        <v>383</v>
      </c>
      <c r="S33" s="70" t="s">
        <v>383</v>
      </c>
      <c r="T33" s="70" t="s">
        <v>383</v>
      </c>
      <c r="U33" s="70" t="s">
        <v>383</v>
      </c>
      <c r="V33" s="70" t="s">
        <v>383</v>
      </c>
      <c r="W33" s="70" t="s">
        <v>383</v>
      </c>
      <c r="X33" s="70" t="s">
        <v>383</v>
      </c>
      <c r="Y33" s="70" t="s">
        <v>383</v>
      </c>
      <c r="Z33" s="70" t="s">
        <v>383</v>
      </c>
      <c r="AA33" s="70" t="s">
        <v>383</v>
      </c>
      <c r="AB33" s="70" t="s">
        <v>383</v>
      </c>
      <c r="AC33" s="70" t="s">
        <v>383</v>
      </c>
      <c r="AD33" s="70" t="s">
        <v>383</v>
      </c>
      <c r="AE33" s="157" t="s">
        <v>383</v>
      </c>
    </row>
    <row r="34" spans="1:32" ht="15" customHeight="1" x14ac:dyDescent="0.25">
      <c r="A34" s="156">
        <v>33</v>
      </c>
      <c r="B34" s="17" t="s">
        <v>43</v>
      </c>
      <c r="C34" s="70" t="s">
        <v>383</v>
      </c>
      <c r="D34" s="70" t="s">
        <v>383</v>
      </c>
      <c r="E34" s="70" t="s">
        <v>383</v>
      </c>
      <c r="F34" s="70" t="s">
        <v>383</v>
      </c>
      <c r="G34" s="70" t="s">
        <v>383</v>
      </c>
      <c r="H34" s="70" t="s">
        <v>383</v>
      </c>
      <c r="I34" s="70" t="s">
        <v>383</v>
      </c>
      <c r="J34" s="70" t="s">
        <v>383</v>
      </c>
      <c r="K34" s="70">
        <v>4</v>
      </c>
      <c r="L34" s="70" t="s">
        <v>383</v>
      </c>
      <c r="M34" s="70" t="s">
        <v>383</v>
      </c>
      <c r="N34" s="70" t="s">
        <v>383</v>
      </c>
      <c r="O34" s="70" t="s">
        <v>383</v>
      </c>
      <c r="P34" s="70" t="s">
        <v>383</v>
      </c>
      <c r="Q34" s="70" t="s">
        <v>383</v>
      </c>
      <c r="R34" s="70" t="s">
        <v>383</v>
      </c>
      <c r="S34" s="70" t="s">
        <v>383</v>
      </c>
      <c r="T34" s="70" t="s">
        <v>383</v>
      </c>
      <c r="U34" s="70" t="s">
        <v>383</v>
      </c>
      <c r="V34" s="70" t="s">
        <v>383</v>
      </c>
      <c r="W34" s="70" t="s">
        <v>383</v>
      </c>
      <c r="X34" s="70" t="s">
        <v>383</v>
      </c>
      <c r="Y34" s="70" t="s">
        <v>383</v>
      </c>
      <c r="Z34" s="70" t="s">
        <v>383</v>
      </c>
      <c r="AA34" s="70" t="s">
        <v>383</v>
      </c>
      <c r="AB34" s="70" t="s">
        <v>383</v>
      </c>
      <c r="AC34" s="70" t="s">
        <v>383</v>
      </c>
      <c r="AD34" s="70" t="s">
        <v>383</v>
      </c>
      <c r="AE34" s="157" t="s">
        <v>383</v>
      </c>
    </row>
    <row r="35" spans="1:32" ht="15" customHeight="1" x14ac:dyDescent="0.25">
      <c r="A35" s="156">
        <v>34</v>
      </c>
      <c r="B35" s="17" t="s">
        <v>44</v>
      </c>
      <c r="C35" s="70">
        <v>6</v>
      </c>
      <c r="D35" s="70">
        <v>6</v>
      </c>
      <c r="E35" s="70">
        <v>6</v>
      </c>
      <c r="F35" s="70">
        <v>7</v>
      </c>
      <c r="G35" s="70">
        <v>6</v>
      </c>
      <c r="H35" s="70">
        <v>4</v>
      </c>
      <c r="I35" s="70">
        <v>5</v>
      </c>
      <c r="J35" s="70">
        <v>7</v>
      </c>
      <c r="K35" s="70">
        <v>9</v>
      </c>
      <c r="L35" s="70">
        <v>11</v>
      </c>
      <c r="M35" s="70">
        <v>11</v>
      </c>
      <c r="N35" s="70">
        <v>12</v>
      </c>
      <c r="O35" s="70">
        <v>12</v>
      </c>
      <c r="P35" s="70">
        <v>12</v>
      </c>
      <c r="Q35" s="70">
        <v>11</v>
      </c>
      <c r="R35" s="70">
        <v>12</v>
      </c>
      <c r="S35" s="70">
        <v>11</v>
      </c>
      <c r="T35" s="70">
        <v>11</v>
      </c>
      <c r="U35" s="70">
        <v>12</v>
      </c>
      <c r="V35" s="70">
        <v>13</v>
      </c>
      <c r="W35" s="70">
        <v>14</v>
      </c>
      <c r="X35" s="70">
        <v>14</v>
      </c>
      <c r="Y35" s="70">
        <v>11</v>
      </c>
      <c r="Z35" s="70">
        <v>11</v>
      </c>
      <c r="AA35" s="70">
        <v>10</v>
      </c>
      <c r="AB35" s="70">
        <v>9</v>
      </c>
      <c r="AC35" s="70">
        <v>10</v>
      </c>
      <c r="AD35" s="70">
        <v>11</v>
      </c>
      <c r="AE35" s="157">
        <v>13</v>
      </c>
    </row>
    <row r="36" spans="1:32" ht="15" customHeight="1" x14ac:dyDescent="0.25">
      <c r="A36" s="156">
        <v>35</v>
      </c>
      <c r="B36" s="17" t="s">
        <v>45</v>
      </c>
      <c r="C36" s="70" t="s">
        <v>383</v>
      </c>
      <c r="D36" s="70" t="s">
        <v>383</v>
      </c>
      <c r="E36" s="70" t="s">
        <v>383</v>
      </c>
      <c r="F36" s="70" t="s">
        <v>383</v>
      </c>
      <c r="G36" s="70" t="s">
        <v>383</v>
      </c>
      <c r="H36" s="70" t="s">
        <v>383</v>
      </c>
      <c r="I36" s="70" t="s">
        <v>383</v>
      </c>
      <c r="J36" s="70" t="s">
        <v>383</v>
      </c>
      <c r="K36" s="70" t="s">
        <v>383</v>
      </c>
      <c r="L36" s="70" t="s">
        <v>383</v>
      </c>
      <c r="M36" s="70" t="s">
        <v>383</v>
      </c>
      <c r="N36" s="70" t="s">
        <v>383</v>
      </c>
      <c r="O36" s="70" t="s">
        <v>383</v>
      </c>
      <c r="P36" s="70" t="s">
        <v>383</v>
      </c>
      <c r="Q36" s="70" t="s">
        <v>383</v>
      </c>
      <c r="R36" s="70">
        <v>4</v>
      </c>
      <c r="S36" s="70" t="s">
        <v>383</v>
      </c>
      <c r="T36" s="70" t="s">
        <v>383</v>
      </c>
      <c r="U36" s="70" t="s">
        <v>383</v>
      </c>
      <c r="V36" s="70" t="s">
        <v>383</v>
      </c>
      <c r="W36" s="70" t="s">
        <v>383</v>
      </c>
      <c r="X36" s="70">
        <v>4</v>
      </c>
      <c r="Y36" s="70">
        <v>5</v>
      </c>
      <c r="Z36" s="70">
        <v>4</v>
      </c>
      <c r="AA36" s="70" t="s">
        <v>383</v>
      </c>
      <c r="AB36" s="70" t="s">
        <v>383</v>
      </c>
      <c r="AC36" s="70" t="s">
        <v>383</v>
      </c>
      <c r="AD36" s="70" t="s">
        <v>383</v>
      </c>
      <c r="AE36" s="157" t="s">
        <v>383</v>
      </c>
    </row>
    <row r="37" spans="1:32" ht="15" customHeight="1" x14ac:dyDescent="0.25">
      <c r="A37" s="156">
        <v>36</v>
      </c>
      <c r="B37" s="17" t="s">
        <v>46</v>
      </c>
      <c r="C37" s="70">
        <v>47</v>
      </c>
      <c r="D37" s="70">
        <v>39</v>
      </c>
      <c r="E37" s="70">
        <v>39</v>
      </c>
      <c r="F37" s="70">
        <v>42</v>
      </c>
      <c r="G37" s="70">
        <v>42</v>
      </c>
      <c r="H37" s="70">
        <v>40</v>
      </c>
      <c r="I37" s="70">
        <v>31</v>
      </c>
      <c r="J37" s="70">
        <v>39</v>
      </c>
      <c r="K37" s="70">
        <v>48</v>
      </c>
      <c r="L37" s="70">
        <v>49</v>
      </c>
      <c r="M37" s="70">
        <v>59</v>
      </c>
      <c r="N37" s="70">
        <v>61</v>
      </c>
      <c r="O37" s="70">
        <v>83</v>
      </c>
      <c r="P37" s="70">
        <v>84</v>
      </c>
      <c r="Q37" s="70">
        <v>79</v>
      </c>
      <c r="R37" s="70">
        <v>85</v>
      </c>
      <c r="S37" s="70">
        <v>81</v>
      </c>
      <c r="T37" s="70">
        <v>85</v>
      </c>
      <c r="U37" s="70">
        <v>81</v>
      </c>
      <c r="V37" s="70">
        <v>75</v>
      </c>
      <c r="W37" s="70">
        <v>83</v>
      </c>
      <c r="X37" s="70">
        <v>93</v>
      </c>
      <c r="Y37" s="70">
        <v>107</v>
      </c>
      <c r="Z37" s="70">
        <v>96</v>
      </c>
      <c r="AA37" s="70">
        <v>96</v>
      </c>
      <c r="AB37" s="70">
        <v>94</v>
      </c>
      <c r="AC37" s="70">
        <v>94</v>
      </c>
      <c r="AD37" s="70">
        <v>103</v>
      </c>
      <c r="AE37" s="157">
        <v>106</v>
      </c>
    </row>
    <row r="38" spans="1:32" ht="15" customHeight="1" thickBot="1" x14ac:dyDescent="0.3">
      <c r="A38" s="152">
        <v>37</v>
      </c>
      <c r="B38" s="15" t="s">
        <v>47</v>
      </c>
      <c r="C38" s="68" t="s">
        <v>383</v>
      </c>
      <c r="D38" s="68" t="s">
        <v>383</v>
      </c>
      <c r="E38" s="68" t="s">
        <v>383</v>
      </c>
      <c r="F38" s="68" t="s">
        <v>383</v>
      </c>
      <c r="G38" s="68" t="s">
        <v>383</v>
      </c>
      <c r="H38" s="68" t="s">
        <v>383</v>
      </c>
      <c r="I38" s="68" t="s">
        <v>383</v>
      </c>
      <c r="J38" s="68" t="s">
        <v>383</v>
      </c>
      <c r="K38" s="68" t="s">
        <v>383</v>
      </c>
      <c r="L38" s="68" t="s">
        <v>383</v>
      </c>
      <c r="M38" s="68" t="s">
        <v>383</v>
      </c>
      <c r="N38" s="68" t="s">
        <v>383</v>
      </c>
      <c r="O38" s="68" t="s">
        <v>383</v>
      </c>
      <c r="P38" s="68" t="s">
        <v>383</v>
      </c>
      <c r="Q38" s="68" t="s">
        <v>383</v>
      </c>
      <c r="R38" s="68">
        <v>4</v>
      </c>
      <c r="S38" s="68">
        <v>4</v>
      </c>
      <c r="T38" s="68">
        <v>4</v>
      </c>
      <c r="U38" s="68">
        <v>4</v>
      </c>
      <c r="V38" s="68" t="s">
        <v>383</v>
      </c>
      <c r="W38" s="68" t="s">
        <v>383</v>
      </c>
      <c r="X38" s="68" t="s">
        <v>383</v>
      </c>
      <c r="Y38" s="68" t="s">
        <v>383</v>
      </c>
      <c r="Z38" s="68" t="s">
        <v>383</v>
      </c>
      <c r="AA38" s="68" t="s">
        <v>383</v>
      </c>
      <c r="AB38" s="68" t="s">
        <v>383</v>
      </c>
      <c r="AC38" s="68" t="s">
        <v>383</v>
      </c>
      <c r="AD38" s="68" t="s">
        <v>383</v>
      </c>
      <c r="AE38" s="153" t="s">
        <v>383</v>
      </c>
    </row>
    <row r="39" spans="1:32" s="11" customFormat="1" ht="15" customHeight="1" thickBot="1" x14ac:dyDescent="0.3">
      <c r="A39" s="144" t="s">
        <v>48</v>
      </c>
      <c r="B39" s="9" t="s">
        <v>49</v>
      </c>
      <c r="C39" s="64">
        <v>13</v>
      </c>
      <c r="D39" s="64">
        <v>13</v>
      </c>
      <c r="E39" s="64">
        <v>14</v>
      </c>
      <c r="F39" s="64">
        <v>16</v>
      </c>
      <c r="G39" s="64">
        <v>19</v>
      </c>
      <c r="H39" s="64">
        <v>18</v>
      </c>
      <c r="I39" s="64">
        <v>18</v>
      </c>
      <c r="J39" s="64">
        <v>19</v>
      </c>
      <c r="K39" s="64">
        <v>19</v>
      </c>
      <c r="L39" s="64">
        <v>21</v>
      </c>
      <c r="M39" s="64">
        <v>19</v>
      </c>
      <c r="N39" s="64">
        <v>20</v>
      </c>
      <c r="O39" s="64">
        <v>22</v>
      </c>
      <c r="P39" s="64">
        <v>22</v>
      </c>
      <c r="Q39" s="64">
        <v>22</v>
      </c>
      <c r="R39" s="64">
        <v>19</v>
      </c>
      <c r="S39" s="64">
        <v>19</v>
      </c>
      <c r="T39" s="64">
        <v>19</v>
      </c>
      <c r="U39" s="64">
        <v>21</v>
      </c>
      <c r="V39" s="64">
        <v>22</v>
      </c>
      <c r="W39" s="64">
        <v>22</v>
      </c>
      <c r="X39" s="64">
        <v>21</v>
      </c>
      <c r="Y39" s="64">
        <v>21</v>
      </c>
      <c r="Z39" s="64">
        <v>20</v>
      </c>
      <c r="AA39" s="64">
        <v>22</v>
      </c>
      <c r="AB39" s="64">
        <v>21</v>
      </c>
      <c r="AC39" s="64">
        <v>21</v>
      </c>
      <c r="AD39" s="64">
        <v>22</v>
      </c>
      <c r="AE39" s="145">
        <v>22</v>
      </c>
      <c r="AF39" s="10"/>
    </row>
    <row r="40" spans="1:32" ht="15" customHeight="1" x14ac:dyDescent="0.25">
      <c r="A40" s="146">
        <v>40</v>
      </c>
      <c r="B40" s="12" t="s">
        <v>50</v>
      </c>
      <c r="C40" s="65">
        <v>6</v>
      </c>
      <c r="D40" s="65">
        <v>6</v>
      </c>
      <c r="E40" s="65">
        <v>6</v>
      </c>
      <c r="F40" s="65">
        <v>9</v>
      </c>
      <c r="G40" s="65">
        <v>11</v>
      </c>
      <c r="H40" s="65">
        <v>10</v>
      </c>
      <c r="I40" s="65">
        <v>10</v>
      </c>
      <c r="J40" s="65">
        <v>11</v>
      </c>
      <c r="K40" s="65">
        <v>11</v>
      </c>
      <c r="L40" s="65">
        <v>13</v>
      </c>
      <c r="M40" s="65">
        <v>11</v>
      </c>
      <c r="N40" s="65">
        <v>12</v>
      </c>
      <c r="O40" s="65">
        <v>14</v>
      </c>
      <c r="P40" s="65">
        <v>14</v>
      </c>
      <c r="Q40" s="65">
        <v>15</v>
      </c>
      <c r="R40" s="65">
        <v>12</v>
      </c>
      <c r="S40" s="65">
        <v>12</v>
      </c>
      <c r="T40" s="65">
        <v>13</v>
      </c>
      <c r="U40" s="65">
        <v>15</v>
      </c>
      <c r="V40" s="65">
        <v>16</v>
      </c>
      <c r="W40" s="65">
        <v>16</v>
      </c>
      <c r="X40" s="65">
        <v>16</v>
      </c>
      <c r="Y40" s="65">
        <v>16</v>
      </c>
      <c r="Z40" s="65">
        <v>15</v>
      </c>
      <c r="AA40" s="65">
        <v>15</v>
      </c>
      <c r="AB40" s="65">
        <v>15</v>
      </c>
      <c r="AC40" s="65">
        <v>15</v>
      </c>
      <c r="AD40" s="65">
        <v>16</v>
      </c>
      <c r="AE40" s="147">
        <v>16</v>
      </c>
    </row>
    <row r="41" spans="1:32" ht="15" customHeight="1" thickBot="1" x14ac:dyDescent="0.3">
      <c r="A41" s="158">
        <v>41</v>
      </c>
      <c r="B41" s="18" t="s">
        <v>51</v>
      </c>
      <c r="C41" s="71">
        <v>7</v>
      </c>
      <c r="D41" s="71">
        <v>7</v>
      </c>
      <c r="E41" s="71">
        <v>8</v>
      </c>
      <c r="F41" s="71">
        <v>7</v>
      </c>
      <c r="G41" s="71">
        <v>8</v>
      </c>
      <c r="H41" s="71">
        <v>8</v>
      </c>
      <c r="I41" s="71">
        <v>8</v>
      </c>
      <c r="J41" s="71">
        <v>8</v>
      </c>
      <c r="K41" s="71">
        <v>8</v>
      </c>
      <c r="L41" s="71">
        <v>8</v>
      </c>
      <c r="M41" s="71">
        <v>8</v>
      </c>
      <c r="N41" s="71">
        <v>8</v>
      </c>
      <c r="O41" s="71">
        <v>8</v>
      </c>
      <c r="P41" s="71">
        <v>8</v>
      </c>
      <c r="Q41" s="71">
        <v>7</v>
      </c>
      <c r="R41" s="71">
        <v>7</v>
      </c>
      <c r="S41" s="71">
        <v>7</v>
      </c>
      <c r="T41" s="71">
        <v>6</v>
      </c>
      <c r="U41" s="71">
        <v>6</v>
      </c>
      <c r="V41" s="71">
        <v>6</v>
      </c>
      <c r="W41" s="71">
        <v>6</v>
      </c>
      <c r="X41" s="71">
        <v>5</v>
      </c>
      <c r="Y41" s="71">
        <v>5</v>
      </c>
      <c r="Z41" s="71">
        <v>5</v>
      </c>
      <c r="AA41" s="71">
        <v>7</v>
      </c>
      <c r="AB41" s="71">
        <v>6</v>
      </c>
      <c r="AC41" s="71">
        <v>6</v>
      </c>
      <c r="AD41" s="71">
        <v>6</v>
      </c>
      <c r="AE41" s="159">
        <v>6</v>
      </c>
    </row>
    <row r="42" spans="1:32" s="11" customFormat="1" ht="15" customHeight="1" thickBot="1" x14ac:dyDescent="0.3">
      <c r="A42" s="160" t="s">
        <v>52</v>
      </c>
      <c r="B42" s="19" t="s">
        <v>53</v>
      </c>
      <c r="C42" s="64">
        <v>170</v>
      </c>
      <c r="D42" s="64">
        <v>190</v>
      </c>
      <c r="E42" s="64">
        <v>203</v>
      </c>
      <c r="F42" s="64">
        <v>179</v>
      </c>
      <c r="G42" s="64">
        <v>189</v>
      </c>
      <c r="H42" s="64">
        <v>160</v>
      </c>
      <c r="I42" s="64">
        <v>140</v>
      </c>
      <c r="J42" s="64">
        <v>167</v>
      </c>
      <c r="K42" s="64">
        <v>201</v>
      </c>
      <c r="L42" s="64">
        <v>244</v>
      </c>
      <c r="M42" s="64">
        <v>280</v>
      </c>
      <c r="N42" s="64">
        <v>334</v>
      </c>
      <c r="O42" s="64">
        <v>346</v>
      </c>
      <c r="P42" s="64">
        <v>366</v>
      </c>
      <c r="Q42" s="64">
        <v>391</v>
      </c>
      <c r="R42" s="64">
        <v>419</v>
      </c>
      <c r="S42" s="64">
        <v>394</v>
      </c>
      <c r="T42" s="64">
        <v>408</v>
      </c>
      <c r="U42" s="64">
        <v>422</v>
      </c>
      <c r="V42" s="64">
        <v>430</v>
      </c>
      <c r="W42" s="64">
        <v>427</v>
      </c>
      <c r="X42" s="64">
        <v>413</v>
      </c>
      <c r="Y42" s="64">
        <v>391</v>
      </c>
      <c r="Z42" s="64">
        <v>351</v>
      </c>
      <c r="AA42" s="64">
        <v>338</v>
      </c>
      <c r="AB42" s="64">
        <v>359</v>
      </c>
      <c r="AC42" s="64">
        <v>412</v>
      </c>
      <c r="AD42" s="64">
        <v>406</v>
      </c>
      <c r="AE42" s="145">
        <v>345</v>
      </c>
      <c r="AF42" s="10"/>
    </row>
    <row r="43" spans="1:32" ht="15" customHeight="1" thickBot="1" x14ac:dyDescent="0.3">
      <c r="A43" s="150">
        <v>45</v>
      </c>
      <c r="B43" s="14" t="s">
        <v>54</v>
      </c>
      <c r="C43" s="67">
        <v>170</v>
      </c>
      <c r="D43" s="67">
        <v>190</v>
      </c>
      <c r="E43" s="67">
        <v>203</v>
      </c>
      <c r="F43" s="67">
        <v>179</v>
      </c>
      <c r="G43" s="67">
        <v>189</v>
      </c>
      <c r="H43" s="67">
        <v>160</v>
      </c>
      <c r="I43" s="67">
        <v>140</v>
      </c>
      <c r="J43" s="67">
        <v>167</v>
      </c>
      <c r="K43" s="67">
        <v>201</v>
      </c>
      <c r="L43" s="67">
        <v>244</v>
      </c>
      <c r="M43" s="67">
        <v>280</v>
      </c>
      <c r="N43" s="67">
        <v>334</v>
      </c>
      <c r="O43" s="67">
        <v>346</v>
      </c>
      <c r="P43" s="67">
        <v>366</v>
      </c>
      <c r="Q43" s="67">
        <v>391</v>
      </c>
      <c r="R43" s="67">
        <v>419</v>
      </c>
      <c r="S43" s="67">
        <v>394</v>
      </c>
      <c r="T43" s="67">
        <v>408</v>
      </c>
      <c r="U43" s="67">
        <v>422</v>
      </c>
      <c r="V43" s="67">
        <v>430</v>
      </c>
      <c r="W43" s="67">
        <v>427</v>
      </c>
      <c r="X43" s="67">
        <v>413</v>
      </c>
      <c r="Y43" s="67">
        <v>391</v>
      </c>
      <c r="Z43" s="67">
        <v>351</v>
      </c>
      <c r="AA43" s="67">
        <v>338</v>
      </c>
      <c r="AB43" s="67">
        <v>359</v>
      </c>
      <c r="AC43" s="67">
        <v>412</v>
      </c>
      <c r="AD43" s="67">
        <v>406</v>
      </c>
      <c r="AE43" s="151">
        <v>345</v>
      </c>
    </row>
    <row r="44" spans="1:32" s="11" customFormat="1" ht="15" customHeight="1" thickBot="1" x14ac:dyDescent="0.3">
      <c r="A44" s="144" t="s">
        <v>55</v>
      </c>
      <c r="B44" s="9" t="s">
        <v>56</v>
      </c>
      <c r="C44" s="64">
        <v>1791</v>
      </c>
      <c r="D44" s="64">
        <v>1782</v>
      </c>
      <c r="E44" s="64">
        <v>1783</v>
      </c>
      <c r="F44" s="64">
        <v>1797</v>
      </c>
      <c r="G44" s="64">
        <v>1839</v>
      </c>
      <c r="H44" s="64">
        <v>1691</v>
      </c>
      <c r="I44" s="64">
        <v>1530</v>
      </c>
      <c r="J44" s="64">
        <v>1672</v>
      </c>
      <c r="K44" s="64">
        <v>1840</v>
      </c>
      <c r="L44" s="64">
        <v>1961</v>
      </c>
      <c r="M44" s="64">
        <v>2165</v>
      </c>
      <c r="N44" s="64">
        <v>2282</v>
      </c>
      <c r="O44" s="64">
        <v>2445</v>
      </c>
      <c r="P44" s="64">
        <v>2518</v>
      </c>
      <c r="Q44" s="64">
        <v>2575</v>
      </c>
      <c r="R44" s="64">
        <v>2739</v>
      </c>
      <c r="S44" s="64">
        <v>2850</v>
      </c>
      <c r="T44" s="64">
        <v>2941</v>
      </c>
      <c r="U44" s="64">
        <v>2938</v>
      </c>
      <c r="V44" s="64">
        <v>3048</v>
      </c>
      <c r="W44" s="64">
        <v>3165</v>
      </c>
      <c r="X44" s="64">
        <v>3161</v>
      </c>
      <c r="Y44" s="64">
        <v>3148</v>
      </c>
      <c r="Z44" s="64">
        <v>3028</v>
      </c>
      <c r="AA44" s="64">
        <v>2926</v>
      </c>
      <c r="AB44" s="64">
        <v>2987</v>
      </c>
      <c r="AC44" s="64">
        <v>3336</v>
      </c>
      <c r="AD44" s="64">
        <v>3521</v>
      </c>
      <c r="AE44" s="145">
        <v>3248</v>
      </c>
      <c r="AF44" s="10"/>
    </row>
    <row r="45" spans="1:32" ht="15" customHeight="1" x14ac:dyDescent="0.25">
      <c r="A45" s="146">
        <v>50</v>
      </c>
      <c r="B45" s="12" t="s">
        <v>57</v>
      </c>
      <c r="C45" s="65">
        <v>254</v>
      </c>
      <c r="D45" s="65">
        <v>262</v>
      </c>
      <c r="E45" s="65">
        <v>258</v>
      </c>
      <c r="F45" s="65">
        <v>266</v>
      </c>
      <c r="G45" s="65">
        <v>268</v>
      </c>
      <c r="H45" s="65">
        <v>242</v>
      </c>
      <c r="I45" s="65">
        <v>227</v>
      </c>
      <c r="J45" s="65">
        <v>243</v>
      </c>
      <c r="K45" s="65">
        <v>267</v>
      </c>
      <c r="L45" s="65">
        <v>309</v>
      </c>
      <c r="M45" s="65">
        <v>333</v>
      </c>
      <c r="N45" s="65">
        <v>329</v>
      </c>
      <c r="O45" s="65">
        <v>355</v>
      </c>
      <c r="P45" s="65">
        <v>362</v>
      </c>
      <c r="Q45" s="65">
        <v>354</v>
      </c>
      <c r="R45" s="65">
        <v>393</v>
      </c>
      <c r="S45" s="65">
        <v>414</v>
      </c>
      <c r="T45" s="65">
        <v>410</v>
      </c>
      <c r="U45" s="65">
        <v>399</v>
      </c>
      <c r="V45" s="65">
        <v>418</v>
      </c>
      <c r="W45" s="65">
        <v>421</v>
      </c>
      <c r="X45" s="65">
        <v>416</v>
      </c>
      <c r="Y45" s="65">
        <v>417</v>
      </c>
      <c r="Z45" s="65">
        <v>403</v>
      </c>
      <c r="AA45" s="65">
        <v>404</v>
      </c>
      <c r="AB45" s="65">
        <v>415</v>
      </c>
      <c r="AC45" s="65">
        <v>453</v>
      </c>
      <c r="AD45" s="65">
        <v>470</v>
      </c>
      <c r="AE45" s="147">
        <v>455</v>
      </c>
    </row>
    <row r="46" spans="1:32" ht="15" customHeight="1" x14ac:dyDescent="0.25">
      <c r="A46" s="156">
        <v>51</v>
      </c>
      <c r="B46" s="17" t="s">
        <v>58</v>
      </c>
      <c r="C46" s="70">
        <v>375</v>
      </c>
      <c r="D46" s="70">
        <v>373</v>
      </c>
      <c r="E46" s="70">
        <v>384</v>
      </c>
      <c r="F46" s="70">
        <v>396</v>
      </c>
      <c r="G46" s="70">
        <v>406</v>
      </c>
      <c r="H46" s="70">
        <v>371</v>
      </c>
      <c r="I46" s="70">
        <v>324</v>
      </c>
      <c r="J46" s="70">
        <v>358</v>
      </c>
      <c r="K46" s="70">
        <v>367</v>
      </c>
      <c r="L46" s="70">
        <v>387</v>
      </c>
      <c r="M46" s="70">
        <v>416</v>
      </c>
      <c r="N46" s="70">
        <v>438</v>
      </c>
      <c r="O46" s="70">
        <v>462</v>
      </c>
      <c r="P46" s="70">
        <v>458</v>
      </c>
      <c r="Q46" s="70">
        <v>488</v>
      </c>
      <c r="R46" s="70">
        <v>509</v>
      </c>
      <c r="S46" s="70">
        <v>530</v>
      </c>
      <c r="T46" s="70">
        <v>543</v>
      </c>
      <c r="U46" s="70">
        <v>540</v>
      </c>
      <c r="V46" s="70">
        <v>577</v>
      </c>
      <c r="W46" s="70">
        <v>587</v>
      </c>
      <c r="X46" s="70">
        <v>590</v>
      </c>
      <c r="Y46" s="70">
        <v>586</v>
      </c>
      <c r="Z46" s="70">
        <v>582</v>
      </c>
      <c r="AA46" s="70">
        <v>570</v>
      </c>
      <c r="AB46" s="70">
        <v>601</v>
      </c>
      <c r="AC46" s="70">
        <v>645</v>
      </c>
      <c r="AD46" s="70">
        <v>647</v>
      </c>
      <c r="AE46" s="157">
        <v>631</v>
      </c>
    </row>
    <row r="47" spans="1:32" ht="15" customHeight="1" thickBot="1" x14ac:dyDescent="0.3">
      <c r="A47" s="158">
        <v>52</v>
      </c>
      <c r="B47" s="18" t="s">
        <v>59</v>
      </c>
      <c r="C47" s="71">
        <v>1162</v>
      </c>
      <c r="D47" s="71">
        <v>1147</v>
      </c>
      <c r="E47" s="71">
        <v>1141</v>
      </c>
      <c r="F47" s="71">
        <v>1135</v>
      </c>
      <c r="G47" s="71">
        <v>1165</v>
      </c>
      <c r="H47" s="71">
        <v>1078</v>
      </c>
      <c r="I47" s="71">
        <v>979</v>
      </c>
      <c r="J47" s="71">
        <v>1071</v>
      </c>
      <c r="K47" s="71">
        <v>1206</v>
      </c>
      <c r="L47" s="71">
        <v>1265</v>
      </c>
      <c r="M47" s="71">
        <v>1416</v>
      </c>
      <c r="N47" s="71">
        <v>1515</v>
      </c>
      <c r="O47" s="71">
        <v>1628</v>
      </c>
      <c r="P47" s="71">
        <v>1698</v>
      </c>
      <c r="Q47" s="71">
        <v>1733</v>
      </c>
      <c r="R47" s="71">
        <v>1837</v>
      </c>
      <c r="S47" s="71">
        <v>1906</v>
      </c>
      <c r="T47" s="71">
        <v>1988</v>
      </c>
      <c r="U47" s="71">
        <v>1999</v>
      </c>
      <c r="V47" s="71">
        <v>2053</v>
      </c>
      <c r="W47" s="71">
        <v>2157</v>
      </c>
      <c r="X47" s="71">
        <v>2155</v>
      </c>
      <c r="Y47" s="71">
        <v>2145</v>
      </c>
      <c r="Z47" s="71">
        <v>2043</v>
      </c>
      <c r="AA47" s="71">
        <v>1952</v>
      </c>
      <c r="AB47" s="71">
        <v>1971</v>
      </c>
      <c r="AC47" s="71">
        <v>2238</v>
      </c>
      <c r="AD47" s="71">
        <v>2404</v>
      </c>
      <c r="AE47" s="159">
        <v>2162</v>
      </c>
    </row>
    <row r="48" spans="1:32" s="11" customFormat="1" ht="15" customHeight="1" thickBot="1" x14ac:dyDescent="0.3">
      <c r="A48" s="160" t="s">
        <v>60</v>
      </c>
      <c r="B48" s="19" t="s">
        <v>61</v>
      </c>
      <c r="C48" s="64">
        <v>132</v>
      </c>
      <c r="D48" s="64">
        <v>127</v>
      </c>
      <c r="E48" s="64">
        <v>116</v>
      </c>
      <c r="F48" s="64">
        <v>107</v>
      </c>
      <c r="G48" s="64">
        <v>106</v>
      </c>
      <c r="H48" s="64">
        <v>104</v>
      </c>
      <c r="I48" s="64">
        <v>95</v>
      </c>
      <c r="J48" s="64">
        <v>99</v>
      </c>
      <c r="K48" s="64">
        <v>108</v>
      </c>
      <c r="L48" s="64">
        <v>116</v>
      </c>
      <c r="M48" s="64">
        <v>137</v>
      </c>
      <c r="N48" s="64">
        <v>152</v>
      </c>
      <c r="O48" s="64">
        <v>174</v>
      </c>
      <c r="P48" s="64">
        <v>185</v>
      </c>
      <c r="Q48" s="64">
        <v>190</v>
      </c>
      <c r="R48" s="64">
        <v>201</v>
      </c>
      <c r="S48" s="64">
        <v>216</v>
      </c>
      <c r="T48" s="64">
        <v>229</v>
      </c>
      <c r="U48" s="64">
        <v>249</v>
      </c>
      <c r="V48" s="64">
        <v>241</v>
      </c>
      <c r="W48" s="64">
        <v>251</v>
      </c>
      <c r="X48" s="64">
        <v>253</v>
      </c>
      <c r="Y48" s="64">
        <v>255</v>
      </c>
      <c r="Z48" s="64">
        <v>233</v>
      </c>
      <c r="AA48" s="64">
        <v>189</v>
      </c>
      <c r="AB48" s="64">
        <v>192</v>
      </c>
      <c r="AC48" s="64">
        <v>219</v>
      </c>
      <c r="AD48" s="64">
        <v>245</v>
      </c>
      <c r="AE48" s="145">
        <v>233</v>
      </c>
      <c r="AF48" s="10"/>
    </row>
    <row r="49" spans="1:32" ht="15" customHeight="1" thickBot="1" x14ac:dyDescent="0.3">
      <c r="A49" s="150">
        <v>55</v>
      </c>
      <c r="B49" s="14" t="s">
        <v>62</v>
      </c>
      <c r="C49" s="67">
        <v>132</v>
      </c>
      <c r="D49" s="67">
        <v>127</v>
      </c>
      <c r="E49" s="67">
        <v>116</v>
      </c>
      <c r="F49" s="67">
        <v>107</v>
      </c>
      <c r="G49" s="67">
        <v>106</v>
      </c>
      <c r="H49" s="67">
        <v>104</v>
      </c>
      <c r="I49" s="67">
        <v>95</v>
      </c>
      <c r="J49" s="67">
        <v>99</v>
      </c>
      <c r="K49" s="67">
        <v>108</v>
      </c>
      <c r="L49" s="67">
        <v>116</v>
      </c>
      <c r="M49" s="67">
        <v>137</v>
      </c>
      <c r="N49" s="67">
        <v>152</v>
      </c>
      <c r="O49" s="67">
        <v>174</v>
      </c>
      <c r="P49" s="67">
        <v>185</v>
      </c>
      <c r="Q49" s="67">
        <v>190</v>
      </c>
      <c r="R49" s="67">
        <v>201</v>
      </c>
      <c r="S49" s="67">
        <v>216</v>
      </c>
      <c r="T49" s="67">
        <v>229</v>
      </c>
      <c r="U49" s="67">
        <v>249</v>
      </c>
      <c r="V49" s="67">
        <v>241</v>
      </c>
      <c r="W49" s="67">
        <v>251</v>
      </c>
      <c r="X49" s="67">
        <v>253</v>
      </c>
      <c r="Y49" s="67">
        <v>255</v>
      </c>
      <c r="Z49" s="67">
        <v>233</v>
      </c>
      <c r="AA49" s="67">
        <v>189</v>
      </c>
      <c r="AB49" s="67">
        <v>192</v>
      </c>
      <c r="AC49" s="67">
        <v>219</v>
      </c>
      <c r="AD49" s="67">
        <v>245</v>
      </c>
      <c r="AE49" s="151">
        <v>233</v>
      </c>
    </row>
    <row r="50" spans="1:32" s="11" customFormat="1" ht="15" customHeight="1" thickBot="1" x14ac:dyDescent="0.3">
      <c r="A50" s="144" t="s">
        <v>63</v>
      </c>
      <c r="B50" s="9" t="s">
        <v>64</v>
      </c>
      <c r="C50" s="64">
        <v>261</v>
      </c>
      <c r="D50" s="64">
        <v>280</v>
      </c>
      <c r="E50" s="64">
        <v>276</v>
      </c>
      <c r="F50" s="64">
        <v>286</v>
      </c>
      <c r="G50" s="64">
        <v>293</v>
      </c>
      <c r="H50" s="64">
        <v>264</v>
      </c>
      <c r="I50" s="64">
        <v>238</v>
      </c>
      <c r="J50" s="64">
        <v>255</v>
      </c>
      <c r="K50" s="64">
        <v>270</v>
      </c>
      <c r="L50" s="64">
        <v>304</v>
      </c>
      <c r="M50" s="64">
        <v>348</v>
      </c>
      <c r="N50" s="64">
        <v>390</v>
      </c>
      <c r="O50" s="64">
        <v>419</v>
      </c>
      <c r="P50" s="64">
        <v>419</v>
      </c>
      <c r="Q50" s="64">
        <v>457</v>
      </c>
      <c r="R50" s="64">
        <v>520</v>
      </c>
      <c r="S50" s="64">
        <v>521</v>
      </c>
      <c r="T50" s="64">
        <v>499</v>
      </c>
      <c r="U50" s="64">
        <v>511</v>
      </c>
      <c r="V50" s="64">
        <v>533</v>
      </c>
      <c r="W50" s="64">
        <v>533</v>
      </c>
      <c r="X50" s="64">
        <v>557</v>
      </c>
      <c r="Y50" s="64">
        <v>545</v>
      </c>
      <c r="Z50" s="64">
        <v>526</v>
      </c>
      <c r="AA50" s="64">
        <v>526</v>
      </c>
      <c r="AB50" s="64">
        <v>517</v>
      </c>
      <c r="AC50" s="64">
        <v>567</v>
      </c>
      <c r="AD50" s="64">
        <v>586</v>
      </c>
      <c r="AE50" s="145">
        <v>561</v>
      </c>
      <c r="AF50" s="10"/>
    </row>
    <row r="51" spans="1:32" ht="15" customHeight="1" x14ac:dyDescent="0.25">
      <c r="A51" s="152">
        <v>60</v>
      </c>
      <c r="B51" s="15" t="s">
        <v>65</v>
      </c>
      <c r="C51" s="68">
        <v>199</v>
      </c>
      <c r="D51" s="68">
        <v>199</v>
      </c>
      <c r="E51" s="68">
        <v>184</v>
      </c>
      <c r="F51" s="68">
        <v>188</v>
      </c>
      <c r="G51" s="68">
        <v>188</v>
      </c>
      <c r="H51" s="68">
        <v>161</v>
      </c>
      <c r="I51" s="68">
        <v>140</v>
      </c>
      <c r="J51" s="68">
        <v>156</v>
      </c>
      <c r="K51" s="68">
        <v>169</v>
      </c>
      <c r="L51" s="68">
        <v>208</v>
      </c>
      <c r="M51" s="68">
        <v>241</v>
      </c>
      <c r="N51" s="68">
        <v>272</v>
      </c>
      <c r="O51" s="68">
        <v>300</v>
      </c>
      <c r="P51" s="68">
        <v>290</v>
      </c>
      <c r="Q51" s="68">
        <v>324</v>
      </c>
      <c r="R51" s="68">
        <v>378</v>
      </c>
      <c r="S51" s="68">
        <v>389</v>
      </c>
      <c r="T51" s="68">
        <v>376</v>
      </c>
      <c r="U51" s="68">
        <v>391</v>
      </c>
      <c r="V51" s="68">
        <v>404</v>
      </c>
      <c r="W51" s="68">
        <v>391</v>
      </c>
      <c r="X51" s="68">
        <v>411</v>
      </c>
      <c r="Y51" s="68">
        <v>400</v>
      </c>
      <c r="Z51" s="68">
        <v>382</v>
      </c>
      <c r="AA51" s="68">
        <v>382</v>
      </c>
      <c r="AB51" s="68">
        <v>377</v>
      </c>
      <c r="AC51" s="68">
        <v>414</v>
      </c>
      <c r="AD51" s="68">
        <v>430</v>
      </c>
      <c r="AE51" s="153">
        <v>410</v>
      </c>
    </row>
    <row r="52" spans="1:32" ht="15" customHeight="1" x14ac:dyDescent="0.25">
      <c r="A52" s="161">
        <v>61</v>
      </c>
      <c r="B52" s="20" t="s">
        <v>66</v>
      </c>
      <c r="C52" s="73" t="s">
        <v>383</v>
      </c>
      <c r="D52" s="73" t="s">
        <v>383</v>
      </c>
      <c r="E52" s="73" t="s">
        <v>383</v>
      </c>
      <c r="F52" s="73" t="s">
        <v>383</v>
      </c>
      <c r="G52" s="73" t="s">
        <v>383</v>
      </c>
      <c r="H52" s="73" t="s">
        <v>383</v>
      </c>
      <c r="I52" s="73" t="s">
        <v>383</v>
      </c>
      <c r="J52" s="73" t="s">
        <v>383</v>
      </c>
      <c r="K52" s="73" t="s">
        <v>383</v>
      </c>
      <c r="L52" s="73" t="s">
        <v>383</v>
      </c>
      <c r="M52" s="73" t="s">
        <v>383</v>
      </c>
      <c r="N52" s="73" t="s">
        <v>383</v>
      </c>
      <c r="O52" s="73" t="s">
        <v>383</v>
      </c>
      <c r="P52" s="73" t="s">
        <v>383</v>
      </c>
      <c r="Q52" s="73" t="s">
        <v>383</v>
      </c>
      <c r="R52" s="73" t="s">
        <v>383</v>
      </c>
      <c r="S52" s="73" t="s">
        <v>383</v>
      </c>
      <c r="T52" s="73" t="s">
        <v>383</v>
      </c>
      <c r="U52" s="73" t="s">
        <v>383</v>
      </c>
      <c r="V52" s="73" t="s">
        <v>383</v>
      </c>
      <c r="W52" s="73" t="s">
        <v>383</v>
      </c>
      <c r="X52" s="73" t="s">
        <v>383</v>
      </c>
      <c r="Y52" s="73" t="s">
        <v>383</v>
      </c>
      <c r="Z52" s="73" t="s">
        <v>383</v>
      </c>
      <c r="AA52" s="73" t="s">
        <v>383</v>
      </c>
      <c r="AB52" s="73" t="s">
        <v>383</v>
      </c>
      <c r="AC52" s="73" t="s">
        <v>383</v>
      </c>
      <c r="AD52" s="73" t="s">
        <v>383</v>
      </c>
      <c r="AE52" s="162" t="s">
        <v>383</v>
      </c>
    </row>
    <row r="53" spans="1:32" ht="15" customHeight="1" x14ac:dyDescent="0.25">
      <c r="A53" s="152">
        <v>62</v>
      </c>
      <c r="B53" s="15" t="s">
        <v>67</v>
      </c>
      <c r="C53" s="68" t="s">
        <v>383</v>
      </c>
      <c r="D53" s="68" t="s">
        <v>383</v>
      </c>
      <c r="E53" s="68" t="s">
        <v>383</v>
      </c>
      <c r="F53" s="68" t="s">
        <v>383</v>
      </c>
      <c r="G53" s="68" t="s">
        <v>383</v>
      </c>
      <c r="H53" s="68" t="s">
        <v>383</v>
      </c>
      <c r="I53" s="68" t="s">
        <v>383</v>
      </c>
      <c r="J53" s="68" t="s">
        <v>383</v>
      </c>
      <c r="K53" s="68" t="s">
        <v>383</v>
      </c>
      <c r="L53" s="68" t="s">
        <v>383</v>
      </c>
      <c r="M53" s="68" t="s">
        <v>383</v>
      </c>
      <c r="N53" s="68" t="s">
        <v>383</v>
      </c>
      <c r="O53" s="68" t="s">
        <v>383</v>
      </c>
      <c r="P53" s="68" t="s">
        <v>383</v>
      </c>
      <c r="Q53" s="68" t="s">
        <v>383</v>
      </c>
      <c r="R53" s="68" t="s">
        <v>383</v>
      </c>
      <c r="S53" s="68" t="s">
        <v>383</v>
      </c>
      <c r="T53" s="68" t="s">
        <v>383</v>
      </c>
      <c r="U53" s="68" t="s">
        <v>383</v>
      </c>
      <c r="V53" s="68" t="s">
        <v>383</v>
      </c>
      <c r="W53" s="68" t="s">
        <v>383</v>
      </c>
      <c r="X53" s="68" t="s">
        <v>383</v>
      </c>
      <c r="Y53" s="68" t="s">
        <v>383</v>
      </c>
      <c r="Z53" s="68" t="s">
        <v>383</v>
      </c>
      <c r="AA53" s="68" t="s">
        <v>383</v>
      </c>
      <c r="AB53" s="68" t="s">
        <v>383</v>
      </c>
      <c r="AC53" s="68" t="s">
        <v>383</v>
      </c>
      <c r="AD53" s="68" t="s">
        <v>383</v>
      </c>
      <c r="AE53" s="153" t="s">
        <v>383</v>
      </c>
    </row>
    <row r="54" spans="1:32" ht="15" customHeight="1" x14ac:dyDescent="0.25">
      <c r="A54" s="163">
        <v>63</v>
      </c>
      <c r="B54" s="21" t="s">
        <v>68</v>
      </c>
      <c r="C54" s="74">
        <v>29</v>
      </c>
      <c r="D54" s="74">
        <v>37</v>
      </c>
      <c r="E54" s="74">
        <v>37</v>
      </c>
      <c r="F54" s="74">
        <v>35</v>
      </c>
      <c r="G54" s="74">
        <v>38</v>
      </c>
      <c r="H54" s="74">
        <v>36</v>
      </c>
      <c r="I54" s="74">
        <v>35</v>
      </c>
      <c r="J54" s="74">
        <v>35</v>
      </c>
      <c r="K54" s="74">
        <v>38</v>
      </c>
      <c r="L54" s="74">
        <v>37</v>
      </c>
      <c r="M54" s="74">
        <v>49</v>
      </c>
      <c r="N54" s="74">
        <v>58</v>
      </c>
      <c r="O54" s="74">
        <v>62</v>
      </c>
      <c r="P54" s="74">
        <v>67</v>
      </c>
      <c r="Q54" s="74">
        <v>71</v>
      </c>
      <c r="R54" s="74">
        <v>82</v>
      </c>
      <c r="S54" s="74">
        <v>79</v>
      </c>
      <c r="T54" s="74">
        <v>71</v>
      </c>
      <c r="U54" s="74">
        <v>68</v>
      </c>
      <c r="V54" s="74">
        <v>72</v>
      </c>
      <c r="W54" s="74">
        <v>78</v>
      </c>
      <c r="X54" s="74">
        <v>82</v>
      </c>
      <c r="Y54" s="74">
        <v>79</v>
      </c>
      <c r="Z54" s="74">
        <v>76</v>
      </c>
      <c r="AA54" s="74">
        <v>78</v>
      </c>
      <c r="AB54" s="74">
        <v>74</v>
      </c>
      <c r="AC54" s="74">
        <v>84</v>
      </c>
      <c r="AD54" s="74">
        <v>89</v>
      </c>
      <c r="AE54" s="164">
        <v>88</v>
      </c>
    </row>
    <row r="55" spans="1:32" ht="15" customHeight="1" thickBot="1" x14ac:dyDescent="0.3">
      <c r="A55" s="152">
        <v>64</v>
      </c>
      <c r="B55" s="15" t="s">
        <v>99</v>
      </c>
      <c r="C55" s="68">
        <v>31</v>
      </c>
      <c r="D55" s="68">
        <v>41</v>
      </c>
      <c r="E55" s="68">
        <v>50</v>
      </c>
      <c r="F55" s="68">
        <v>58</v>
      </c>
      <c r="G55" s="68">
        <v>64</v>
      </c>
      <c r="H55" s="68">
        <v>64</v>
      </c>
      <c r="I55" s="68">
        <v>60</v>
      </c>
      <c r="J55" s="68">
        <v>61</v>
      </c>
      <c r="K55" s="68">
        <v>61</v>
      </c>
      <c r="L55" s="68">
        <v>56</v>
      </c>
      <c r="M55" s="68">
        <v>57</v>
      </c>
      <c r="N55" s="68">
        <v>57</v>
      </c>
      <c r="O55" s="68">
        <v>54</v>
      </c>
      <c r="P55" s="68">
        <v>59</v>
      </c>
      <c r="Q55" s="68">
        <v>57</v>
      </c>
      <c r="R55" s="68">
        <v>55</v>
      </c>
      <c r="S55" s="68">
        <v>49</v>
      </c>
      <c r="T55" s="68">
        <v>48</v>
      </c>
      <c r="U55" s="68">
        <v>48</v>
      </c>
      <c r="V55" s="68">
        <v>52</v>
      </c>
      <c r="W55" s="68">
        <v>59</v>
      </c>
      <c r="X55" s="68">
        <v>60</v>
      </c>
      <c r="Y55" s="68">
        <v>60</v>
      </c>
      <c r="Z55" s="68">
        <v>62</v>
      </c>
      <c r="AA55" s="68">
        <v>60</v>
      </c>
      <c r="AB55" s="68">
        <v>61</v>
      </c>
      <c r="AC55" s="68">
        <v>66</v>
      </c>
      <c r="AD55" s="68">
        <v>64</v>
      </c>
      <c r="AE55" s="153">
        <v>60</v>
      </c>
    </row>
    <row r="56" spans="1:32" s="11" customFormat="1" ht="15" customHeight="1" thickBot="1" x14ac:dyDescent="0.3">
      <c r="A56" s="144" t="s">
        <v>70</v>
      </c>
      <c r="B56" s="9" t="s">
        <v>71</v>
      </c>
      <c r="C56" s="64">
        <v>87</v>
      </c>
      <c r="D56" s="64">
        <v>87</v>
      </c>
      <c r="E56" s="64">
        <v>98</v>
      </c>
      <c r="F56" s="64">
        <v>103</v>
      </c>
      <c r="G56" s="64">
        <v>111</v>
      </c>
      <c r="H56" s="64">
        <v>111</v>
      </c>
      <c r="I56" s="64">
        <v>97</v>
      </c>
      <c r="J56" s="64">
        <v>92</v>
      </c>
      <c r="K56" s="64">
        <v>94</v>
      </c>
      <c r="L56" s="64">
        <v>98</v>
      </c>
      <c r="M56" s="64">
        <v>102</v>
      </c>
      <c r="N56" s="64">
        <v>108</v>
      </c>
      <c r="O56" s="64">
        <v>108</v>
      </c>
      <c r="P56" s="64">
        <v>103</v>
      </c>
      <c r="Q56" s="64">
        <v>103</v>
      </c>
      <c r="R56" s="64">
        <v>113</v>
      </c>
      <c r="S56" s="64">
        <v>115</v>
      </c>
      <c r="T56" s="64">
        <v>115</v>
      </c>
      <c r="U56" s="64">
        <v>105</v>
      </c>
      <c r="V56" s="64">
        <v>107</v>
      </c>
      <c r="W56" s="64">
        <v>123</v>
      </c>
      <c r="X56" s="64">
        <v>125</v>
      </c>
      <c r="Y56" s="64">
        <v>118</v>
      </c>
      <c r="Z56" s="64">
        <v>116</v>
      </c>
      <c r="AA56" s="64">
        <v>124</v>
      </c>
      <c r="AB56" s="64">
        <v>122</v>
      </c>
      <c r="AC56" s="64">
        <v>131</v>
      </c>
      <c r="AD56" s="64">
        <v>132</v>
      </c>
      <c r="AE56" s="145">
        <v>127</v>
      </c>
      <c r="AF56" s="10"/>
    </row>
    <row r="57" spans="1:32" ht="15" customHeight="1" x14ac:dyDescent="0.25">
      <c r="A57" s="152">
        <v>65</v>
      </c>
      <c r="B57" s="15" t="s">
        <v>72</v>
      </c>
      <c r="C57" s="68">
        <v>33</v>
      </c>
      <c r="D57" s="68">
        <v>32</v>
      </c>
      <c r="E57" s="68">
        <v>34</v>
      </c>
      <c r="F57" s="68">
        <v>32</v>
      </c>
      <c r="G57" s="68">
        <v>35</v>
      </c>
      <c r="H57" s="68">
        <v>37</v>
      </c>
      <c r="I57" s="68">
        <v>33</v>
      </c>
      <c r="J57" s="68">
        <v>30</v>
      </c>
      <c r="K57" s="68">
        <v>29</v>
      </c>
      <c r="L57" s="68">
        <v>32</v>
      </c>
      <c r="M57" s="68">
        <v>34</v>
      </c>
      <c r="N57" s="68">
        <v>33</v>
      </c>
      <c r="O57" s="68">
        <v>36</v>
      </c>
      <c r="P57" s="68">
        <v>37</v>
      </c>
      <c r="Q57" s="68">
        <v>38</v>
      </c>
      <c r="R57" s="68">
        <v>40</v>
      </c>
      <c r="S57" s="68">
        <v>39</v>
      </c>
      <c r="T57" s="68">
        <v>40</v>
      </c>
      <c r="U57" s="68">
        <v>37</v>
      </c>
      <c r="V57" s="68">
        <v>39</v>
      </c>
      <c r="W57" s="68">
        <v>42</v>
      </c>
      <c r="X57" s="68">
        <v>44</v>
      </c>
      <c r="Y57" s="68">
        <v>43</v>
      </c>
      <c r="Z57" s="68">
        <v>46</v>
      </c>
      <c r="AA57" s="68">
        <v>45</v>
      </c>
      <c r="AB57" s="68">
        <v>42</v>
      </c>
      <c r="AC57" s="68">
        <v>45</v>
      </c>
      <c r="AD57" s="68">
        <v>41</v>
      </c>
      <c r="AE57" s="153">
        <v>45</v>
      </c>
    </row>
    <row r="58" spans="1:32" ht="15" customHeight="1" x14ac:dyDescent="0.25">
      <c r="A58" s="156">
        <v>66</v>
      </c>
      <c r="B58" s="17" t="s">
        <v>100</v>
      </c>
      <c r="C58" s="70">
        <v>38</v>
      </c>
      <c r="D58" s="70">
        <v>36</v>
      </c>
      <c r="E58" s="70">
        <v>43</v>
      </c>
      <c r="F58" s="70">
        <v>50</v>
      </c>
      <c r="G58" s="70">
        <v>54</v>
      </c>
      <c r="H58" s="70">
        <v>49</v>
      </c>
      <c r="I58" s="70">
        <v>42</v>
      </c>
      <c r="J58" s="70">
        <v>40</v>
      </c>
      <c r="K58" s="70">
        <v>41</v>
      </c>
      <c r="L58" s="70">
        <v>43</v>
      </c>
      <c r="M58" s="70">
        <v>44</v>
      </c>
      <c r="N58" s="70">
        <v>48</v>
      </c>
      <c r="O58" s="70">
        <v>45</v>
      </c>
      <c r="P58" s="70">
        <v>34</v>
      </c>
      <c r="Q58" s="70">
        <v>33</v>
      </c>
      <c r="R58" s="70">
        <v>36</v>
      </c>
      <c r="S58" s="70">
        <v>36</v>
      </c>
      <c r="T58" s="70">
        <v>35</v>
      </c>
      <c r="U58" s="70">
        <v>32</v>
      </c>
      <c r="V58" s="70">
        <v>34</v>
      </c>
      <c r="W58" s="70">
        <v>38</v>
      </c>
      <c r="X58" s="70">
        <v>35</v>
      </c>
      <c r="Y58" s="70">
        <v>32</v>
      </c>
      <c r="Z58" s="70">
        <v>31</v>
      </c>
      <c r="AA58" s="70">
        <v>35</v>
      </c>
      <c r="AB58" s="70">
        <v>34</v>
      </c>
      <c r="AC58" s="70">
        <v>34</v>
      </c>
      <c r="AD58" s="70">
        <v>34</v>
      </c>
      <c r="AE58" s="157">
        <v>34</v>
      </c>
    </row>
    <row r="59" spans="1:32" ht="15" customHeight="1" thickBot="1" x14ac:dyDescent="0.3">
      <c r="A59" s="152">
        <v>67</v>
      </c>
      <c r="B59" s="15" t="s">
        <v>74</v>
      </c>
      <c r="C59" s="68">
        <v>16</v>
      </c>
      <c r="D59" s="68">
        <v>19</v>
      </c>
      <c r="E59" s="68">
        <v>21</v>
      </c>
      <c r="F59" s="68">
        <v>21</v>
      </c>
      <c r="G59" s="68">
        <v>22</v>
      </c>
      <c r="H59" s="68">
        <v>25</v>
      </c>
      <c r="I59" s="68">
        <v>22</v>
      </c>
      <c r="J59" s="68">
        <v>22</v>
      </c>
      <c r="K59" s="68">
        <v>24</v>
      </c>
      <c r="L59" s="68">
        <v>23</v>
      </c>
      <c r="M59" s="68">
        <v>24</v>
      </c>
      <c r="N59" s="68">
        <v>27</v>
      </c>
      <c r="O59" s="68">
        <v>27</v>
      </c>
      <c r="P59" s="68">
        <v>32</v>
      </c>
      <c r="Q59" s="68">
        <v>32</v>
      </c>
      <c r="R59" s="68">
        <v>37</v>
      </c>
      <c r="S59" s="68">
        <v>40</v>
      </c>
      <c r="T59" s="68">
        <v>40</v>
      </c>
      <c r="U59" s="68">
        <v>36</v>
      </c>
      <c r="V59" s="68">
        <v>34</v>
      </c>
      <c r="W59" s="68">
        <v>43</v>
      </c>
      <c r="X59" s="68">
        <v>46</v>
      </c>
      <c r="Y59" s="68">
        <v>43</v>
      </c>
      <c r="Z59" s="68">
        <v>39</v>
      </c>
      <c r="AA59" s="68">
        <v>44</v>
      </c>
      <c r="AB59" s="68">
        <v>46</v>
      </c>
      <c r="AC59" s="68">
        <v>52</v>
      </c>
      <c r="AD59" s="68">
        <v>57</v>
      </c>
      <c r="AE59" s="153">
        <v>48</v>
      </c>
    </row>
    <row r="60" spans="1:32" s="11" customFormat="1" ht="15" customHeight="1" thickBot="1" x14ac:dyDescent="0.3">
      <c r="A60" s="144" t="s">
        <v>75</v>
      </c>
      <c r="B60" s="9" t="s">
        <v>76</v>
      </c>
      <c r="C60" s="64">
        <v>901</v>
      </c>
      <c r="D60" s="64">
        <v>904</v>
      </c>
      <c r="E60" s="64">
        <v>931</v>
      </c>
      <c r="F60" s="64">
        <v>932</v>
      </c>
      <c r="G60" s="64">
        <v>993</v>
      </c>
      <c r="H60" s="64">
        <v>926</v>
      </c>
      <c r="I60" s="64">
        <v>830</v>
      </c>
      <c r="J60" s="64">
        <v>836</v>
      </c>
      <c r="K60" s="64">
        <v>898</v>
      </c>
      <c r="L60" s="64">
        <v>915</v>
      </c>
      <c r="M60" s="64">
        <v>976</v>
      </c>
      <c r="N60" s="64">
        <v>1003</v>
      </c>
      <c r="O60" s="64">
        <v>1045</v>
      </c>
      <c r="P60" s="64">
        <v>1022</v>
      </c>
      <c r="Q60" s="64">
        <v>1041</v>
      </c>
      <c r="R60" s="64">
        <v>1084</v>
      </c>
      <c r="S60" s="64">
        <v>1052</v>
      </c>
      <c r="T60" s="64">
        <v>1058</v>
      </c>
      <c r="U60" s="64">
        <v>1057</v>
      </c>
      <c r="V60" s="64">
        <v>1041</v>
      </c>
      <c r="W60" s="64">
        <v>983</v>
      </c>
      <c r="X60" s="64">
        <v>978</v>
      </c>
      <c r="Y60" s="64">
        <v>944</v>
      </c>
      <c r="Z60" s="64">
        <v>873</v>
      </c>
      <c r="AA60" s="64">
        <v>819</v>
      </c>
      <c r="AB60" s="64">
        <v>793</v>
      </c>
      <c r="AC60" s="64">
        <v>846</v>
      </c>
      <c r="AD60" s="64">
        <v>957</v>
      </c>
      <c r="AE60" s="145">
        <v>806</v>
      </c>
      <c r="AF60" s="10"/>
    </row>
    <row r="61" spans="1:32" ht="15" customHeight="1" x14ac:dyDescent="0.25">
      <c r="A61" s="146">
        <v>70</v>
      </c>
      <c r="B61" s="12" t="s">
        <v>77</v>
      </c>
      <c r="C61" s="65">
        <v>428</v>
      </c>
      <c r="D61" s="65">
        <v>420</v>
      </c>
      <c r="E61" s="65">
        <v>414</v>
      </c>
      <c r="F61" s="65">
        <v>400</v>
      </c>
      <c r="G61" s="65">
        <v>401</v>
      </c>
      <c r="H61" s="65">
        <v>375</v>
      </c>
      <c r="I61" s="65">
        <v>330</v>
      </c>
      <c r="J61" s="65">
        <v>332</v>
      </c>
      <c r="K61" s="65">
        <v>339</v>
      </c>
      <c r="L61" s="65">
        <v>335</v>
      </c>
      <c r="M61" s="65">
        <v>341</v>
      </c>
      <c r="N61" s="65">
        <v>349</v>
      </c>
      <c r="O61" s="65">
        <v>353</v>
      </c>
      <c r="P61" s="65">
        <v>342</v>
      </c>
      <c r="Q61" s="65">
        <v>346</v>
      </c>
      <c r="R61" s="65">
        <v>349</v>
      </c>
      <c r="S61" s="65">
        <v>338</v>
      </c>
      <c r="T61" s="65">
        <v>340</v>
      </c>
      <c r="U61" s="65">
        <v>334</v>
      </c>
      <c r="V61" s="65">
        <v>319</v>
      </c>
      <c r="W61" s="65">
        <v>300</v>
      </c>
      <c r="X61" s="65">
        <v>282</v>
      </c>
      <c r="Y61" s="65">
        <v>267</v>
      </c>
      <c r="Z61" s="65">
        <v>245</v>
      </c>
      <c r="AA61" s="65">
        <v>242</v>
      </c>
      <c r="AB61" s="65">
        <v>232</v>
      </c>
      <c r="AC61" s="65">
        <v>233</v>
      </c>
      <c r="AD61" s="65">
        <v>232</v>
      </c>
      <c r="AE61" s="147">
        <v>204</v>
      </c>
    </row>
    <row r="62" spans="1:32" ht="15" customHeight="1" x14ac:dyDescent="0.25">
      <c r="A62" s="156">
        <v>71</v>
      </c>
      <c r="B62" s="17" t="s">
        <v>78</v>
      </c>
      <c r="C62" s="70">
        <v>14</v>
      </c>
      <c r="D62" s="70" t="s">
        <v>383</v>
      </c>
      <c r="E62" s="70" t="s">
        <v>383</v>
      </c>
      <c r="F62" s="70">
        <v>16</v>
      </c>
      <c r="G62" s="70">
        <v>18</v>
      </c>
      <c r="H62" s="70">
        <v>17</v>
      </c>
      <c r="I62" s="70">
        <v>14</v>
      </c>
      <c r="J62" s="70">
        <v>19</v>
      </c>
      <c r="K62" s="70">
        <v>20</v>
      </c>
      <c r="L62" s="70">
        <v>20</v>
      </c>
      <c r="M62" s="70">
        <v>24</v>
      </c>
      <c r="N62" s="70">
        <v>24</v>
      </c>
      <c r="O62" s="70">
        <v>27</v>
      </c>
      <c r="P62" s="70" t="s">
        <v>383</v>
      </c>
      <c r="Q62" s="70" t="s">
        <v>383</v>
      </c>
      <c r="R62" s="70" t="s">
        <v>383</v>
      </c>
      <c r="S62" s="70">
        <v>23</v>
      </c>
      <c r="T62" s="70">
        <v>22</v>
      </c>
      <c r="U62" s="70">
        <v>26</v>
      </c>
      <c r="V62" s="70">
        <v>25</v>
      </c>
      <c r="W62" s="70">
        <v>27</v>
      </c>
      <c r="X62" s="70">
        <v>26</v>
      </c>
      <c r="Y62" s="70">
        <v>27</v>
      </c>
      <c r="Z62" s="70">
        <v>30</v>
      </c>
      <c r="AA62" s="70">
        <v>23</v>
      </c>
      <c r="AB62" s="70">
        <v>20</v>
      </c>
      <c r="AC62" s="70">
        <v>17</v>
      </c>
      <c r="AD62" s="70">
        <v>17</v>
      </c>
      <c r="AE62" s="157">
        <v>16</v>
      </c>
    </row>
    <row r="63" spans="1:32" ht="15" customHeight="1" x14ac:dyDescent="0.25">
      <c r="A63" s="156">
        <v>72</v>
      </c>
      <c r="B63" s="17" t="s">
        <v>79</v>
      </c>
      <c r="C63" s="70">
        <v>17</v>
      </c>
      <c r="D63" s="70">
        <v>21</v>
      </c>
      <c r="E63" s="70">
        <v>19</v>
      </c>
      <c r="F63" s="70" t="s">
        <v>383</v>
      </c>
      <c r="G63" s="70" t="s">
        <v>383</v>
      </c>
      <c r="H63" s="70" t="s">
        <v>383</v>
      </c>
      <c r="I63" s="70" t="s">
        <v>383</v>
      </c>
      <c r="J63" s="70" t="s">
        <v>383</v>
      </c>
      <c r="K63" s="70" t="s">
        <v>383</v>
      </c>
      <c r="L63" s="70" t="s">
        <v>383</v>
      </c>
      <c r="M63" s="70" t="s">
        <v>383</v>
      </c>
      <c r="N63" s="70">
        <v>29</v>
      </c>
      <c r="O63" s="70">
        <v>29</v>
      </c>
      <c r="P63" s="70" t="s">
        <v>383</v>
      </c>
      <c r="Q63" s="70">
        <v>24</v>
      </c>
      <c r="R63" s="70">
        <v>36</v>
      </c>
      <c r="S63" s="70">
        <v>40</v>
      </c>
      <c r="T63" s="70">
        <v>44</v>
      </c>
      <c r="U63" s="70">
        <v>49</v>
      </c>
      <c r="V63" s="70">
        <v>46</v>
      </c>
      <c r="W63" s="70">
        <v>41</v>
      </c>
      <c r="X63" s="70">
        <v>45</v>
      </c>
      <c r="Y63" s="70">
        <v>39</v>
      </c>
      <c r="Z63" s="70">
        <v>40</v>
      </c>
      <c r="AA63" s="70">
        <v>39</v>
      </c>
      <c r="AB63" s="70">
        <v>53</v>
      </c>
      <c r="AC63" s="70">
        <v>68</v>
      </c>
      <c r="AD63" s="70">
        <v>82</v>
      </c>
      <c r="AE63" s="157">
        <v>69</v>
      </c>
    </row>
    <row r="64" spans="1:32" ht="15" customHeight="1" x14ac:dyDescent="0.25">
      <c r="A64" s="156">
        <v>73</v>
      </c>
      <c r="B64" s="17" t="s">
        <v>80</v>
      </c>
      <c r="C64" s="70" t="s">
        <v>383</v>
      </c>
      <c r="D64" s="70" t="s">
        <v>383</v>
      </c>
      <c r="E64" s="70" t="s">
        <v>383</v>
      </c>
      <c r="F64" s="70" t="s">
        <v>383</v>
      </c>
      <c r="G64" s="70" t="s">
        <v>383</v>
      </c>
      <c r="H64" s="70" t="s">
        <v>383</v>
      </c>
      <c r="I64" s="70" t="s">
        <v>383</v>
      </c>
      <c r="J64" s="70" t="s">
        <v>383</v>
      </c>
      <c r="K64" s="70" t="s">
        <v>383</v>
      </c>
      <c r="L64" s="70" t="s">
        <v>383</v>
      </c>
      <c r="M64" s="70" t="s">
        <v>383</v>
      </c>
      <c r="N64" s="70">
        <v>4</v>
      </c>
      <c r="O64" s="70">
        <v>4</v>
      </c>
      <c r="P64" s="70" t="s">
        <v>383</v>
      </c>
      <c r="Q64" s="70" t="s">
        <v>383</v>
      </c>
      <c r="R64" s="70" t="s">
        <v>383</v>
      </c>
      <c r="S64" s="70">
        <v>5</v>
      </c>
      <c r="T64" s="70">
        <v>8</v>
      </c>
      <c r="U64" s="70">
        <v>8</v>
      </c>
      <c r="V64" s="70">
        <v>6</v>
      </c>
      <c r="W64" s="70">
        <v>5</v>
      </c>
      <c r="X64" s="70">
        <v>5</v>
      </c>
      <c r="Y64" s="70">
        <v>6</v>
      </c>
      <c r="Z64" s="70">
        <v>8</v>
      </c>
      <c r="AA64" s="70">
        <v>7</v>
      </c>
      <c r="AB64" s="70">
        <v>8</v>
      </c>
      <c r="AC64" s="70">
        <v>8</v>
      </c>
      <c r="AD64" s="70">
        <v>8</v>
      </c>
      <c r="AE64" s="157">
        <v>8</v>
      </c>
    </row>
    <row r="65" spans="1:32" ht="15" customHeight="1" x14ac:dyDescent="0.25">
      <c r="A65" s="156">
        <v>74</v>
      </c>
      <c r="B65" s="17" t="s">
        <v>81</v>
      </c>
      <c r="C65" s="70">
        <v>438</v>
      </c>
      <c r="D65" s="70">
        <v>446</v>
      </c>
      <c r="E65" s="70">
        <v>476</v>
      </c>
      <c r="F65" s="70">
        <v>492</v>
      </c>
      <c r="G65" s="70">
        <v>542</v>
      </c>
      <c r="H65" s="70">
        <v>508</v>
      </c>
      <c r="I65" s="70">
        <v>465</v>
      </c>
      <c r="J65" s="70">
        <v>463</v>
      </c>
      <c r="K65" s="70">
        <v>507</v>
      </c>
      <c r="L65" s="70">
        <v>528</v>
      </c>
      <c r="M65" s="70">
        <v>573</v>
      </c>
      <c r="N65" s="70">
        <v>586</v>
      </c>
      <c r="O65" s="70">
        <v>619</v>
      </c>
      <c r="P65" s="70">
        <v>612</v>
      </c>
      <c r="Q65" s="70">
        <v>632</v>
      </c>
      <c r="R65" s="70">
        <v>661</v>
      </c>
      <c r="S65" s="70">
        <v>633</v>
      </c>
      <c r="T65" s="70">
        <v>632</v>
      </c>
      <c r="U65" s="70">
        <v>629</v>
      </c>
      <c r="V65" s="70">
        <v>634</v>
      </c>
      <c r="W65" s="70">
        <v>598</v>
      </c>
      <c r="X65" s="70">
        <v>608</v>
      </c>
      <c r="Y65" s="70">
        <v>594</v>
      </c>
      <c r="Z65" s="70">
        <v>542</v>
      </c>
      <c r="AA65" s="70">
        <v>500</v>
      </c>
      <c r="AB65" s="70">
        <v>472</v>
      </c>
      <c r="AC65" s="70">
        <v>512</v>
      </c>
      <c r="AD65" s="70">
        <v>610</v>
      </c>
      <c r="AE65" s="157">
        <v>498</v>
      </c>
    </row>
    <row r="66" spans="1:32" ht="15" customHeight="1" thickBot="1" x14ac:dyDescent="0.3">
      <c r="A66" s="158">
        <v>75</v>
      </c>
      <c r="B66" s="18" t="s">
        <v>185</v>
      </c>
      <c r="C66" s="71" t="s">
        <v>383</v>
      </c>
      <c r="D66" s="71">
        <v>4</v>
      </c>
      <c r="E66" s="71">
        <v>6</v>
      </c>
      <c r="F66" s="71">
        <v>9</v>
      </c>
      <c r="G66" s="71">
        <v>9</v>
      </c>
      <c r="H66" s="71">
        <v>11</v>
      </c>
      <c r="I66" s="71">
        <v>10</v>
      </c>
      <c r="J66" s="71">
        <v>10</v>
      </c>
      <c r="K66" s="71">
        <v>12</v>
      </c>
      <c r="L66" s="71">
        <v>10</v>
      </c>
      <c r="M66" s="71">
        <v>11</v>
      </c>
      <c r="N66" s="71">
        <v>11</v>
      </c>
      <c r="O66" s="71">
        <v>13</v>
      </c>
      <c r="P66" s="71">
        <v>13</v>
      </c>
      <c r="Q66" s="71">
        <v>12</v>
      </c>
      <c r="R66" s="71">
        <v>13</v>
      </c>
      <c r="S66" s="71">
        <v>13</v>
      </c>
      <c r="T66" s="71">
        <v>12</v>
      </c>
      <c r="U66" s="71">
        <v>11</v>
      </c>
      <c r="V66" s="71">
        <v>11</v>
      </c>
      <c r="W66" s="71">
        <v>12</v>
      </c>
      <c r="X66" s="71">
        <v>12</v>
      </c>
      <c r="Y66" s="71">
        <v>11</v>
      </c>
      <c r="Z66" s="71">
        <v>8</v>
      </c>
      <c r="AA66" s="71">
        <v>8</v>
      </c>
      <c r="AB66" s="71">
        <v>8</v>
      </c>
      <c r="AC66" s="71">
        <v>8</v>
      </c>
      <c r="AD66" s="71">
        <v>8</v>
      </c>
      <c r="AE66" s="159">
        <v>11</v>
      </c>
    </row>
    <row r="67" spans="1:32" s="11" customFormat="1" ht="15" customHeight="1" thickBot="1" x14ac:dyDescent="0.3">
      <c r="A67" s="160" t="s">
        <v>83</v>
      </c>
      <c r="B67" s="19" t="s">
        <v>84</v>
      </c>
      <c r="C67" s="64">
        <v>87</v>
      </c>
      <c r="D67" s="64">
        <v>91</v>
      </c>
      <c r="E67" s="64">
        <v>90</v>
      </c>
      <c r="F67" s="64">
        <v>90</v>
      </c>
      <c r="G67" s="64">
        <v>82</v>
      </c>
      <c r="H67" s="64">
        <v>76</v>
      </c>
      <c r="I67" s="64">
        <v>69</v>
      </c>
      <c r="J67" s="64">
        <v>74</v>
      </c>
      <c r="K67" s="64">
        <v>81</v>
      </c>
      <c r="L67" s="64">
        <v>84</v>
      </c>
      <c r="M67" s="64">
        <v>93</v>
      </c>
      <c r="N67" s="64">
        <v>96</v>
      </c>
      <c r="O67" s="64">
        <v>101</v>
      </c>
      <c r="P67" s="64">
        <v>105</v>
      </c>
      <c r="Q67" s="64">
        <v>106</v>
      </c>
      <c r="R67" s="64">
        <v>103</v>
      </c>
      <c r="S67" s="64">
        <v>110</v>
      </c>
      <c r="T67" s="64">
        <v>122</v>
      </c>
      <c r="U67" s="64">
        <v>132</v>
      </c>
      <c r="V67" s="64">
        <v>132</v>
      </c>
      <c r="W67" s="64">
        <v>131</v>
      </c>
      <c r="X67" s="64">
        <v>132</v>
      </c>
      <c r="Y67" s="64">
        <v>137</v>
      </c>
      <c r="Z67" s="64">
        <v>136</v>
      </c>
      <c r="AA67" s="64">
        <v>137</v>
      </c>
      <c r="AB67" s="64">
        <v>134</v>
      </c>
      <c r="AC67" s="64">
        <v>142</v>
      </c>
      <c r="AD67" s="64">
        <v>166</v>
      </c>
      <c r="AE67" s="145">
        <v>153</v>
      </c>
      <c r="AF67" s="10"/>
    </row>
    <row r="68" spans="1:32" ht="15" customHeight="1" thickBot="1" x14ac:dyDescent="0.3">
      <c r="A68" s="150">
        <v>80</v>
      </c>
      <c r="B68" s="14" t="s">
        <v>85</v>
      </c>
      <c r="C68" s="70">
        <v>87</v>
      </c>
      <c r="D68" s="67">
        <v>91</v>
      </c>
      <c r="E68" s="67">
        <v>90</v>
      </c>
      <c r="F68" s="67">
        <v>90</v>
      </c>
      <c r="G68" s="67">
        <v>82</v>
      </c>
      <c r="H68" s="67">
        <v>76</v>
      </c>
      <c r="I68" s="67">
        <v>69</v>
      </c>
      <c r="J68" s="67">
        <v>74</v>
      </c>
      <c r="K68" s="67">
        <v>81</v>
      </c>
      <c r="L68" s="67">
        <v>84</v>
      </c>
      <c r="M68" s="67">
        <v>93</v>
      </c>
      <c r="N68" s="67">
        <v>96</v>
      </c>
      <c r="O68" s="67">
        <v>101</v>
      </c>
      <c r="P68" s="67">
        <v>105</v>
      </c>
      <c r="Q68" s="67">
        <v>106</v>
      </c>
      <c r="R68" s="67">
        <v>103</v>
      </c>
      <c r="S68" s="67">
        <v>110</v>
      </c>
      <c r="T68" s="67">
        <v>122</v>
      </c>
      <c r="U68" s="67">
        <v>132</v>
      </c>
      <c r="V68" s="67">
        <v>132</v>
      </c>
      <c r="W68" s="67">
        <v>131</v>
      </c>
      <c r="X68" s="67">
        <v>132</v>
      </c>
      <c r="Y68" s="67">
        <v>137</v>
      </c>
      <c r="Z68" s="67">
        <v>136</v>
      </c>
      <c r="AA68" s="67">
        <v>137</v>
      </c>
      <c r="AB68" s="67">
        <v>134</v>
      </c>
      <c r="AC68" s="67">
        <v>142</v>
      </c>
      <c r="AD68" s="67">
        <v>166</v>
      </c>
      <c r="AE68" s="151">
        <v>153</v>
      </c>
    </row>
    <row r="69" spans="1:32" s="11" customFormat="1" ht="15" customHeight="1" thickBot="1" x14ac:dyDescent="0.3">
      <c r="A69" s="144" t="s">
        <v>86</v>
      </c>
      <c r="B69" s="9" t="s">
        <v>87</v>
      </c>
      <c r="C69" s="64">
        <v>322</v>
      </c>
      <c r="D69" s="64">
        <v>326</v>
      </c>
      <c r="E69" s="64">
        <v>330</v>
      </c>
      <c r="F69" s="64">
        <v>332</v>
      </c>
      <c r="G69" s="64">
        <v>329</v>
      </c>
      <c r="H69" s="64">
        <v>326</v>
      </c>
      <c r="I69" s="64">
        <v>313</v>
      </c>
      <c r="J69" s="64">
        <v>307</v>
      </c>
      <c r="K69" s="64">
        <v>317</v>
      </c>
      <c r="L69" s="64">
        <v>326</v>
      </c>
      <c r="M69" s="64">
        <v>331</v>
      </c>
      <c r="N69" s="64">
        <v>333</v>
      </c>
      <c r="O69" s="64">
        <v>358</v>
      </c>
      <c r="P69" s="64">
        <v>385</v>
      </c>
      <c r="Q69" s="64">
        <v>373</v>
      </c>
      <c r="R69" s="64">
        <v>385</v>
      </c>
      <c r="S69" s="64">
        <v>396</v>
      </c>
      <c r="T69" s="64">
        <v>416</v>
      </c>
      <c r="U69" s="64">
        <v>410</v>
      </c>
      <c r="V69" s="64">
        <v>431</v>
      </c>
      <c r="W69" s="64">
        <v>452</v>
      </c>
      <c r="X69" s="64">
        <v>452</v>
      </c>
      <c r="Y69" s="64">
        <v>466</v>
      </c>
      <c r="Z69" s="64">
        <v>465</v>
      </c>
      <c r="AA69" s="64">
        <v>466</v>
      </c>
      <c r="AB69" s="64">
        <v>460</v>
      </c>
      <c r="AC69" s="64">
        <v>477</v>
      </c>
      <c r="AD69" s="64">
        <v>492</v>
      </c>
      <c r="AE69" s="145">
        <v>489</v>
      </c>
      <c r="AF69" s="10"/>
    </row>
    <row r="70" spans="1:32" ht="15" customHeight="1" thickBot="1" x14ac:dyDescent="0.3">
      <c r="A70" s="150">
        <v>85</v>
      </c>
      <c r="B70" s="14" t="s">
        <v>88</v>
      </c>
      <c r="C70" s="67">
        <v>322</v>
      </c>
      <c r="D70" s="67">
        <v>326</v>
      </c>
      <c r="E70" s="67">
        <v>330</v>
      </c>
      <c r="F70" s="67">
        <v>332</v>
      </c>
      <c r="G70" s="67">
        <v>329</v>
      </c>
      <c r="H70" s="67">
        <v>326</v>
      </c>
      <c r="I70" s="67">
        <v>313</v>
      </c>
      <c r="J70" s="67">
        <v>307</v>
      </c>
      <c r="K70" s="67">
        <v>317</v>
      </c>
      <c r="L70" s="67">
        <v>326</v>
      </c>
      <c r="M70" s="67">
        <v>331</v>
      </c>
      <c r="N70" s="67">
        <v>333</v>
      </c>
      <c r="O70" s="67">
        <v>358</v>
      </c>
      <c r="P70" s="67">
        <v>385</v>
      </c>
      <c r="Q70" s="67">
        <v>373</v>
      </c>
      <c r="R70" s="67">
        <v>385</v>
      </c>
      <c r="S70" s="67">
        <v>396</v>
      </c>
      <c r="T70" s="67">
        <v>416</v>
      </c>
      <c r="U70" s="67">
        <v>410</v>
      </c>
      <c r="V70" s="67">
        <v>431</v>
      </c>
      <c r="W70" s="67">
        <v>452</v>
      </c>
      <c r="X70" s="67">
        <v>452</v>
      </c>
      <c r="Y70" s="67">
        <v>466</v>
      </c>
      <c r="Z70" s="67">
        <v>465</v>
      </c>
      <c r="AA70" s="67">
        <v>466</v>
      </c>
      <c r="AB70" s="67">
        <v>460</v>
      </c>
      <c r="AC70" s="67">
        <v>477</v>
      </c>
      <c r="AD70" s="67">
        <v>492</v>
      </c>
      <c r="AE70" s="151">
        <v>489</v>
      </c>
    </row>
    <row r="71" spans="1:32" s="11" customFormat="1" ht="15" customHeight="1" thickBot="1" x14ac:dyDescent="0.3">
      <c r="A71" s="144" t="s">
        <v>89</v>
      </c>
      <c r="B71" s="9" t="s">
        <v>90</v>
      </c>
      <c r="C71" s="64">
        <v>660</v>
      </c>
      <c r="D71" s="64">
        <v>676</v>
      </c>
      <c r="E71" s="64">
        <v>672</v>
      </c>
      <c r="F71" s="64">
        <v>665</v>
      </c>
      <c r="G71" s="64">
        <v>699</v>
      </c>
      <c r="H71" s="64">
        <v>646</v>
      </c>
      <c r="I71" s="64">
        <v>620</v>
      </c>
      <c r="J71" s="64">
        <v>650</v>
      </c>
      <c r="K71" s="64">
        <v>705</v>
      </c>
      <c r="L71" s="64">
        <v>722</v>
      </c>
      <c r="M71" s="64">
        <v>728</v>
      </c>
      <c r="N71" s="64">
        <v>736</v>
      </c>
      <c r="O71" s="64">
        <v>754</v>
      </c>
      <c r="P71" s="64">
        <v>805</v>
      </c>
      <c r="Q71" s="64">
        <v>789</v>
      </c>
      <c r="R71" s="64">
        <v>803</v>
      </c>
      <c r="S71" s="64">
        <v>830</v>
      </c>
      <c r="T71" s="64">
        <v>821</v>
      </c>
      <c r="U71" s="64">
        <v>812</v>
      </c>
      <c r="V71" s="64">
        <v>824</v>
      </c>
      <c r="W71" s="64">
        <v>858</v>
      </c>
      <c r="X71" s="64">
        <v>821</v>
      </c>
      <c r="Y71" s="64">
        <v>808</v>
      </c>
      <c r="Z71" s="64">
        <v>771</v>
      </c>
      <c r="AA71" s="64">
        <v>722</v>
      </c>
      <c r="AB71" s="64">
        <v>703</v>
      </c>
      <c r="AC71" s="64">
        <v>746</v>
      </c>
      <c r="AD71" s="64">
        <v>838</v>
      </c>
      <c r="AE71" s="145">
        <v>693</v>
      </c>
      <c r="AF71" s="10"/>
    </row>
    <row r="72" spans="1:32" ht="15" customHeight="1" x14ac:dyDescent="0.25">
      <c r="A72" s="146">
        <v>90</v>
      </c>
      <c r="B72" s="12" t="s">
        <v>91</v>
      </c>
      <c r="C72" s="65" t="s">
        <v>383</v>
      </c>
      <c r="D72" s="65" t="s">
        <v>383</v>
      </c>
      <c r="E72" s="65" t="s">
        <v>383</v>
      </c>
      <c r="F72" s="65" t="s">
        <v>383</v>
      </c>
      <c r="G72" s="65" t="s">
        <v>383</v>
      </c>
      <c r="H72" s="65" t="s">
        <v>383</v>
      </c>
      <c r="I72" s="65" t="s">
        <v>383</v>
      </c>
      <c r="J72" s="65">
        <v>4</v>
      </c>
      <c r="K72" s="65" t="s">
        <v>383</v>
      </c>
      <c r="L72" s="65" t="s">
        <v>383</v>
      </c>
      <c r="M72" s="65" t="s">
        <v>383</v>
      </c>
      <c r="N72" s="65" t="s">
        <v>383</v>
      </c>
      <c r="O72" s="65" t="s">
        <v>383</v>
      </c>
      <c r="P72" s="65" t="s">
        <v>383</v>
      </c>
      <c r="Q72" s="65" t="s">
        <v>383</v>
      </c>
      <c r="R72" s="65" t="s">
        <v>383</v>
      </c>
      <c r="S72" s="65" t="s">
        <v>383</v>
      </c>
      <c r="T72" s="65" t="s">
        <v>383</v>
      </c>
      <c r="U72" s="65">
        <v>4</v>
      </c>
      <c r="V72" s="65">
        <v>4</v>
      </c>
      <c r="W72" s="65">
        <v>4</v>
      </c>
      <c r="X72" s="65" t="s">
        <v>383</v>
      </c>
      <c r="Y72" s="65">
        <v>6</v>
      </c>
      <c r="Z72" s="65">
        <v>7</v>
      </c>
      <c r="AA72" s="65">
        <v>5</v>
      </c>
      <c r="AB72" s="65">
        <v>5</v>
      </c>
      <c r="AC72" s="65">
        <v>5</v>
      </c>
      <c r="AD72" s="65">
        <v>5</v>
      </c>
      <c r="AE72" s="147">
        <v>4</v>
      </c>
    </row>
    <row r="73" spans="1:32" ht="15" customHeight="1" x14ac:dyDescent="0.25">
      <c r="A73" s="156">
        <v>91</v>
      </c>
      <c r="B73" s="17" t="s">
        <v>92</v>
      </c>
      <c r="C73" s="70">
        <v>325</v>
      </c>
      <c r="D73" s="70">
        <v>344</v>
      </c>
      <c r="E73" s="70">
        <v>343</v>
      </c>
      <c r="F73" s="70">
        <v>352</v>
      </c>
      <c r="G73" s="70">
        <v>359</v>
      </c>
      <c r="H73" s="70">
        <v>348</v>
      </c>
      <c r="I73" s="70">
        <v>345</v>
      </c>
      <c r="J73" s="70">
        <v>357</v>
      </c>
      <c r="K73" s="70">
        <v>364</v>
      </c>
      <c r="L73" s="70">
        <v>364</v>
      </c>
      <c r="M73" s="70">
        <v>361</v>
      </c>
      <c r="N73" s="70">
        <v>359</v>
      </c>
      <c r="O73" s="70">
        <v>364</v>
      </c>
      <c r="P73" s="70">
        <v>380</v>
      </c>
      <c r="Q73" s="70">
        <v>383</v>
      </c>
      <c r="R73" s="70">
        <v>383</v>
      </c>
      <c r="S73" s="70">
        <v>400</v>
      </c>
      <c r="T73" s="70">
        <v>415</v>
      </c>
      <c r="U73" s="70">
        <v>416</v>
      </c>
      <c r="V73" s="70">
        <v>429</v>
      </c>
      <c r="W73" s="70">
        <v>445</v>
      </c>
      <c r="X73" s="70">
        <v>444</v>
      </c>
      <c r="Y73" s="70">
        <v>442</v>
      </c>
      <c r="Z73" s="70">
        <v>439</v>
      </c>
      <c r="AA73" s="70">
        <v>439</v>
      </c>
      <c r="AB73" s="70">
        <v>430</v>
      </c>
      <c r="AC73" s="70">
        <v>429</v>
      </c>
      <c r="AD73" s="70">
        <v>421</v>
      </c>
      <c r="AE73" s="157">
        <v>411</v>
      </c>
    </row>
    <row r="74" spans="1:32" ht="15" customHeight="1" x14ac:dyDescent="0.25">
      <c r="A74" s="156">
        <v>92</v>
      </c>
      <c r="B74" s="17" t="s">
        <v>93</v>
      </c>
      <c r="C74" s="70" t="s">
        <v>383</v>
      </c>
      <c r="D74" s="70" t="s">
        <v>383</v>
      </c>
      <c r="E74" s="70" t="s">
        <v>383</v>
      </c>
      <c r="F74" s="70" t="s">
        <v>383</v>
      </c>
      <c r="G74" s="70" t="s">
        <v>383</v>
      </c>
      <c r="H74" s="70" t="s">
        <v>383</v>
      </c>
      <c r="I74" s="70" t="s">
        <v>383</v>
      </c>
      <c r="J74" s="70">
        <v>75</v>
      </c>
      <c r="K74" s="70" t="s">
        <v>383</v>
      </c>
      <c r="L74" s="70" t="s">
        <v>383</v>
      </c>
      <c r="M74" s="70" t="s">
        <v>383</v>
      </c>
      <c r="N74" s="70" t="s">
        <v>383</v>
      </c>
      <c r="O74" s="70" t="s">
        <v>383</v>
      </c>
      <c r="P74" s="70" t="s">
        <v>383</v>
      </c>
      <c r="Q74" s="70" t="s">
        <v>383</v>
      </c>
      <c r="R74" s="70" t="s">
        <v>383</v>
      </c>
      <c r="S74" s="70" t="s">
        <v>383</v>
      </c>
      <c r="T74" s="70" t="s">
        <v>383</v>
      </c>
      <c r="U74" s="70">
        <v>177</v>
      </c>
      <c r="V74" s="70">
        <v>177</v>
      </c>
      <c r="W74" s="70">
        <v>183</v>
      </c>
      <c r="X74" s="70">
        <v>170</v>
      </c>
      <c r="Y74" s="70">
        <v>172</v>
      </c>
      <c r="Z74" s="70">
        <v>166</v>
      </c>
      <c r="AA74" s="70">
        <v>140</v>
      </c>
      <c r="AB74" s="70">
        <v>139</v>
      </c>
      <c r="AC74" s="70">
        <v>157</v>
      </c>
      <c r="AD74" s="70">
        <v>177</v>
      </c>
      <c r="AE74" s="157">
        <v>134</v>
      </c>
    </row>
    <row r="75" spans="1:32" ht="15" customHeight="1" thickBot="1" x14ac:dyDescent="0.3">
      <c r="A75" s="158">
        <v>93</v>
      </c>
      <c r="B75" s="18" t="s">
        <v>94</v>
      </c>
      <c r="C75" s="76">
        <v>237</v>
      </c>
      <c r="D75" s="76">
        <v>228</v>
      </c>
      <c r="E75" s="76">
        <v>227</v>
      </c>
      <c r="F75" s="76">
        <v>213</v>
      </c>
      <c r="G75" s="76">
        <v>247</v>
      </c>
      <c r="H75" s="76">
        <v>217</v>
      </c>
      <c r="I75" s="76">
        <v>201</v>
      </c>
      <c r="J75" s="76">
        <v>214</v>
      </c>
      <c r="K75" s="76">
        <v>246</v>
      </c>
      <c r="L75" s="76">
        <v>261</v>
      </c>
      <c r="M75" s="76">
        <v>265</v>
      </c>
      <c r="N75" s="76">
        <v>269</v>
      </c>
      <c r="O75" s="76">
        <v>280</v>
      </c>
      <c r="P75" s="76">
        <v>301</v>
      </c>
      <c r="Q75" s="76">
        <v>267</v>
      </c>
      <c r="R75" s="76">
        <v>256</v>
      </c>
      <c r="S75" s="76">
        <v>260</v>
      </c>
      <c r="T75" s="76">
        <v>228</v>
      </c>
      <c r="U75" s="76">
        <v>215</v>
      </c>
      <c r="V75" s="76">
        <v>214</v>
      </c>
      <c r="W75" s="76">
        <v>226</v>
      </c>
      <c r="X75" s="76" t="s">
        <v>383</v>
      </c>
      <c r="Y75" s="76">
        <v>188</v>
      </c>
      <c r="Z75" s="76">
        <v>159</v>
      </c>
      <c r="AA75" s="76">
        <v>138</v>
      </c>
      <c r="AB75" s="76">
        <v>129</v>
      </c>
      <c r="AC75" s="76">
        <v>155</v>
      </c>
      <c r="AD75" s="76">
        <v>235</v>
      </c>
      <c r="AE75" s="165">
        <v>144</v>
      </c>
    </row>
    <row r="76" spans="1:32" s="23" customFormat="1" ht="15" customHeight="1" thickBot="1" x14ac:dyDescent="0.3">
      <c r="A76" s="166"/>
      <c r="B76" s="167" t="s">
        <v>95</v>
      </c>
      <c r="C76" s="168">
        <v>8548</v>
      </c>
      <c r="D76" s="168">
        <v>8358</v>
      </c>
      <c r="E76" s="168">
        <v>8194</v>
      </c>
      <c r="F76" s="168">
        <v>8128</v>
      </c>
      <c r="G76" s="168">
        <v>8437</v>
      </c>
      <c r="H76" s="168">
        <v>7592</v>
      </c>
      <c r="I76" s="168">
        <v>6725</v>
      </c>
      <c r="J76" s="168">
        <v>6853</v>
      </c>
      <c r="K76" s="168">
        <v>7211</v>
      </c>
      <c r="L76" s="168">
        <v>7495</v>
      </c>
      <c r="M76" s="168">
        <v>7965</v>
      </c>
      <c r="N76" s="168">
        <v>8303</v>
      </c>
      <c r="O76" s="168">
        <v>8887</v>
      </c>
      <c r="P76" s="168">
        <v>9101</v>
      </c>
      <c r="Q76" s="168">
        <v>8749</v>
      </c>
      <c r="R76" s="168">
        <v>9358</v>
      </c>
      <c r="S76" s="168">
        <v>9534</v>
      </c>
      <c r="T76" s="168">
        <v>9728</v>
      </c>
      <c r="U76" s="168">
        <v>9651</v>
      </c>
      <c r="V76" s="168">
        <v>9701</v>
      </c>
      <c r="W76" s="168">
        <v>9852</v>
      </c>
      <c r="X76" s="168">
        <v>9840</v>
      </c>
      <c r="Y76" s="168">
        <v>9763</v>
      </c>
      <c r="Z76" s="168">
        <v>9365</v>
      </c>
      <c r="AA76" s="168">
        <v>9017</v>
      </c>
      <c r="AB76" s="168">
        <v>9028</v>
      </c>
      <c r="AC76" s="168">
        <v>9717</v>
      </c>
      <c r="AD76" s="168">
        <v>10311</v>
      </c>
      <c r="AE76" s="169">
        <v>9574</v>
      </c>
      <c r="AF76" s="22"/>
    </row>
    <row r="77" spans="1:32" ht="12" customHeight="1" x14ac:dyDescent="0.25">
      <c r="A77" s="7"/>
      <c r="B77" s="7"/>
      <c r="C77" s="7"/>
      <c r="D77" s="7"/>
      <c r="E77" s="24"/>
      <c r="F77" s="7"/>
      <c r="G77" s="25"/>
      <c r="H77" s="7"/>
      <c r="I77" s="7"/>
      <c r="J77" s="7"/>
      <c r="K77" s="7"/>
      <c r="L77" s="7"/>
      <c r="M77" s="7"/>
      <c r="N77" s="7"/>
      <c r="O77" s="7"/>
      <c r="P77" s="7"/>
      <c r="Q77" s="7"/>
      <c r="R77" s="7"/>
      <c r="S77" s="7"/>
      <c r="T77" s="7"/>
      <c r="U77" s="7"/>
      <c r="V77" s="7"/>
      <c r="W77" s="7"/>
      <c r="X77" s="7"/>
      <c r="Y77" s="7"/>
      <c r="Z77" s="7"/>
      <c r="AA77" s="7"/>
      <c r="AB77" s="7"/>
      <c r="AC77" s="7"/>
      <c r="AD77" s="7"/>
      <c r="AE77" s="7"/>
    </row>
    <row r="78" spans="1:32" ht="11.25" x14ac:dyDescent="0.25">
      <c r="A78" s="307" t="s">
        <v>96</v>
      </c>
      <c r="B78" s="307"/>
      <c r="C78" s="277"/>
      <c r="D78" s="277"/>
      <c r="E78" s="277"/>
      <c r="F78" s="26"/>
      <c r="G78" s="26"/>
      <c r="H78" s="7"/>
      <c r="I78" s="7"/>
      <c r="J78" s="7"/>
      <c r="K78" s="7"/>
      <c r="L78" s="7"/>
      <c r="M78" s="7"/>
      <c r="N78" s="7"/>
      <c r="O78" s="7"/>
      <c r="P78" s="7"/>
      <c r="Q78" s="7"/>
      <c r="R78" s="7"/>
      <c r="S78" s="7"/>
      <c r="T78" s="7"/>
      <c r="U78" s="7"/>
      <c r="V78" s="7"/>
      <c r="W78" s="7"/>
      <c r="X78" s="7"/>
      <c r="Y78" s="7"/>
      <c r="Z78" s="7"/>
      <c r="AA78" s="7"/>
      <c r="AB78" s="7"/>
      <c r="AC78" s="7"/>
      <c r="AD78" s="7"/>
      <c r="AE78" s="7"/>
    </row>
    <row r="79" spans="1:32" ht="26.45" customHeight="1" x14ac:dyDescent="0.25">
      <c r="A79" s="307" t="s">
        <v>381</v>
      </c>
      <c r="B79" s="307"/>
      <c r="C79" s="307"/>
      <c r="D79" s="277"/>
      <c r="E79" s="277"/>
      <c r="F79" s="277"/>
      <c r="G79" s="277"/>
      <c r="H79" s="27"/>
      <c r="I79" s="27"/>
      <c r="J79" s="27"/>
      <c r="K79" s="27"/>
      <c r="L79" s="7"/>
      <c r="M79" s="7"/>
      <c r="N79" s="7"/>
      <c r="O79" s="7"/>
      <c r="P79" s="7"/>
      <c r="Q79" s="7"/>
      <c r="R79" s="7"/>
      <c r="S79" s="7"/>
      <c r="T79" s="7"/>
      <c r="U79" s="7"/>
      <c r="V79" s="7"/>
      <c r="W79" s="7"/>
      <c r="X79" s="7"/>
      <c r="Y79" s="7"/>
      <c r="Z79" s="7"/>
      <c r="AA79" s="7"/>
      <c r="AB79" s="7"/>
      <c r="AC79" s="7"/>
      <c r="AD79" s="7"/>
      <c r="AE79" s="7"/>
    </row>
    <row r="80" spans="1:32" ht="26.45" customHeight="1" x14ac:dyDescent="0.25">
      <c r="A80" s="307" t="s">
        <v>382</v>
      </c>
      <c r="B80" s="307"/>
      <c r="C80" s="307"/>
      <c r="D80" s="277"/>
      <c r="E80" s="277"/>
      <c r="F80" s="277"/>
      <c r="G80" s="277"/>
      <c r="H80" s="27"/>
      <c r="I80" s="27"/>
      <c r="J80" s="27"/>
      <c r="K80" s="27"/>
      <c r="L80" s="7"/>
      <c r="M80" s="7"/>
      <c r="N80" s="7"/>
      <c r="O80" s="7"/>
      <c r="P80" s="7"/>
      <c r="Q80" s="7"/>
      <c r="R80" s="7"/>
      <c r="S80" s="7"/>
      <c r="T80" s="7"/>
      <c r="U80" s="7"/>
      <c r="V80" s="7"/>
      <c r="W80" s="7"/>
      <c r="X80" s="7"/>
      <c r="Y80" s="7"/>
      <c r="Z80" s="7"/>
      <c r="AA80" s="7"/>
      <c r="AB80" s="7"/>
      <c r="AC80" s="7"/>
      <c r="AD80" s="7"/>
      <c r="AE80" s="7"/>
    </row>
    <row r="81" spans="1:32" ht="26.45" customHeight="1" x14ac:dyDescent="0.25">
      <c r="A81" s="307" t="s">
        <v>151</v>
      </c>
      <c r="B81" s="307"/>
      <c r="C81" s="307"/>
      <c r="D81" s="277"/>
      <c r="E81" s="277"/>
      <c r="F81" s="277"/>
      <c r="G81" s="277"/>
      <c r="H81" s="27"/>
      <c r="I81" s="27"/>
      <c r="J81" s="27"/>
      <c r="K81" s="27"/>
      <c r="L81" s="7"/>
      <c r="M81" s="7"/>
      <c r="N81" s="7"/>
      <c r="O81" s="7"/>
      <c r="P81" s="7"/>
      <c r="Q81" s="7"/>
      <c r="R81" s="7"/>
      <c r="S81" s="7"/>
      <c r="T81" s="7"/>
      <c r="U81" s="7"/>
      <c r="V81" s="7"/>
      <c r="W81" s="7"/>
      <c r="X81" s="7"/>
      <c r="Y81" s="7"/>
      <c r="Z81" s="7"/>
      <c r="AA81" s="7"/>
      <c r="AB81" s="7"/>
      <c r="AC81" s="7"/>
      <c r="AD81" s="7"/>
      <c r="AE81" s="7"/>
    </row>
    <row r="82" spans="1:32" ht="46.5" customHeight="1" x14ac:dyDescent="0.25">
      <c r="A82" s="307" t="s">
        <v>384</v>
      </c>
      <c r="B82" s="307"/>
      <c r="C82" s="307"/>
      <c r="D82" s="307"/>
      <c r="E82" s="307"/>
      <c r="F82" s="307"/>
      <c r="G82" s="307"/>
      <c r="H82" s="28"/>
      <c r="I82" s="28"/>
      <c r="J82" s="28"/>
      <c r="K82" s="29"/>
      <c r="L82" s="29"/>
      <c r="M82" s="29"/>
      <c r="N82" s="29"/>
      <c r="O82" s="29"/>
      <c r="P82" s="29"/>
      <c r="Q82" s="29"/>
      <c r="R82" s="29"/>
      <c r="S82" s="29"/>
      <c r="T82" s="29"/>
      <c r="U82" s="29"/>
      <c r="V82" s="29"/>
      <c r="W82" s="29"/>
      <c r="X82" s="29"/>
      <c r="Y82" s="29"/>
      <c r="Z82" s="29"/>
      <c r="AA82" s="29"/>
      <c r="AB82" s="29"/>
      <c r="AC82" s="29"/>
      <c r="AD82" s="29"/>
      <c r="AE82" s="29"/>
      <c r="AF82" s="29"/>
    </row>
    <row r="83" spans="1:32" ht="19.899999999999999" customHeight="1" x14ac:dyDescent="0.25">
      <c r="A83" s="276"/>
      <c r="B83" s="276"/>
      <c r="C83" s="276"/>
      <c r="D83" s="276"/>
      <c r="E83" s="276"/>
      <c r="F83" s="276"/>
      <c r="G83" s="276"/>
      <c r="H83" s="28"/>
      <c r="I83" s="28"/>
      <c r="J83" s="28"/>
      <c r="K83" s="7"/>
      <c r="L83" s="7"/>
      <c r="M83" s="7"/>
      <c r="N83" s="7"/>
      <c r="O83" s="7"/>
      <c r="P83" s="7"/>
      <c r="Q83" s="7"/>
      <c r="R83" s="7"/>
      <c r="S83" s="7"/>
      <c r="T83" s="7"/>
      <c r="U83" s="7"/>
      <c r="V83" s="7"/>
      <c r="W83" s="7"/>
      <c r="X83" s="7"/>
      <c r="Y83" s="7"/>
      <c r="Z83" s="7"/>
      <c r="AA83" s="7"/>
      <c r="AB83" s="7"/>
      <c r="AC83" s="7"/>
      <c r="AD83" s="7"/>
      <c r="AE83" s="7"/>
    </row>
    <row r="84" spans="1:32" ht="24" customHeight="1" x14ac:dyDescent="0.25">
      <c r="A84" s="7"/>
      <c r="B84" s="7"/>
      <c r="C84" s="61"/>
      <c r="D84" s="61"/>
      <c r="E84" s="61"/>
      <c r="F84" s="61"/>
      <c r="G84" s="61"/>
      <c r="H84" s="61"/>
      <c r="I84" s="61"/>
      <c r="J84" s="61"/>
      <c r="K84" s="61"/>
      <c r="L84" s="61"/>
      <c r="M84" s="61"/>
      <c r="N84" s="61"/>
      <c r="O84" s="61"/>
      <c r="P84" s="61"/>
      <c r="Q84" s="61"/>
      <c r="R84" s="61"/>
      <c r="S84" s="61"/>
      <c r="T84" s="61"/>
      <c r="U84" s="61"/>
      <c r="V84" s="61"/>
      <c r="W84" s="61"/>
      <c r="X84" s="61"/>
      <c r="Y84" s="61"/>
      <c r="Z84" s="61"/>
      <c r="AA84" s="61"/>
      <c r="AB84" s="61"/>
      <c r="AC84" s="61"/>
      <c r="AD84" s="61"/>
      <c r="AE84" s="61"/>
    </row>
    <row r="85" spans="1:32" ht="0" hidden="1" customHeight="1" x14ac:dyDescent="0.25"/>
    <row r="86" spans="1:32" ht="0" hidden="1" customHeight="1" x14ac:dyDescent="0.25"/>
    <row r="87" spans="1:32" ht="0" hidden="1" customHeight="1" x14ac:dyDescent="0.25"/>
    <row r="88" spans="1:32" ht="0" hidden="1" customHeight="1" x14ac:dyDescent="0.25"/>
    <row r="89" spans="1:32" ht="0" hidden="1" customHeight="1" x14ac:dyDescent="0.25"/>
    <row r="90" spans="1:32" ht="0" hidden="1" customHeight="1" x14ac:dyDescent="0.25"/>
    <row r="91" spans="1:32" ht="0" hidden="1" customHeight="1" x14ac:dyDescent="0.25"/>
    <row r="92" spans="1:32" ht="0" hidden="1" customHeight="1" x14ac:dyDescent="0.25"/>
    <row r="93" spans="1:32" ht="0" hidden="1" customHeight="1" x14ac:dyDescent="0.25"/>
    <row r="94" spans="1:32" ht="0" hidden="1" customHeight="1" x14ac:dyDescent="0.25"/>
  </sheetData>
  <mergeCells count="37">
    <mergeCell ref="AE4:AE5"/>
    <mergeCell ref="H4:H5"/>
    <mergeCell ref="I4:I5"/>
    <mergeCell ref="J4:J5"/>
    <mergeCell ref="K4:K5"/>
    <mergeCell ref="L4:L5"/>
    <mergeCell ref="M4:M5"/>
    <mergeCell ref="W4:W5"/>
    <mergeCell ref="S4:S5"/>
    <mergeCell ref="Q4:Q5"/>
    <mergeCell ref="R4:R5"/>
    <mergeCell ref="X4:X5"/>
    <mergeCell ref="N4:N5"/>
    <mergeCell ref="O4:O5"/>
    <mergeCell ref="AA4:AA5"/>
    <mergeCell ref="Z4:Z5"/>
    <mergeCell ref="A2:C2"/>
    <mergeCell ref="B4:B5"/>
    <mergeCell ref="C4:C5"/>
    <mergeCell ref="D4:D5"/>
    <mergeCell ref="E4:E5"/>
    <mergeCell ref="A82:G82"/>
    <mergeCell ref="V4:V5"/>
    <mergeCell ref="A78:B78"/>
    <mergeCell ref="T4:T5"/>
    <mergeCell ref="U4:U5"/>
    <mergeCell ref="G4:G5"/>
    <mergeCell ref="A4:A5"/>
    <mergeCell ref="F4:F5"/>
    <mergeCell ref="Y4:Y5"/>
    <mergeCell ref="A81:C81"/>
    <mergeCell ref="AD4:AD5"/>
    <mergeCell ref="A79:C79"/>
    <mergeCell ref="A80:C80"/>
    <mergeCell ref="P4:P5"/>
    <mergeCell ref="AC4:AC5"/>
    <mergeCell ref="AB4:AB5"/>
  </mergeCells>
  <pageMargins left="0.74803149606299213" right="0.74803149606299213" top="0.98425196850393704" bottom="0.98425196850393704" header="0" footer="0"/>
  <pageSetup paperSize="9" scale="65" fitToWidth="19" orientation="portrait" r:id="rId1"/>
  <headerFooter alignWithMargins="0"/>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5"/>
  <dimension ref="A1:DW94"/>
  <sheetViews>
    <sheetView zoomScale="115" zoomScaleNormal="115" workbookViewId="0">
      <pane xSplit="2" ySplit="5" topLeftCell="C6" activePane="bottomRight" state="frozen"/>
      <selection activeCell="C6" sqref="C6"/>
      <selection pane="topRight" activeCell="C6" sqref="C6"/>
      <selection pane="bottomLeft" activeCell="C6" sqref="C6"/>
      <selection pane="bottomRight" activeCell="C6" sqref="C6"/>
    </sheetView>
  </sheetViews>
  <sheetFormatPr baseColWidth="10" defaultColWidth="0" defaultRowHeight="0" customHeight="1" zeroHeight="1" x14ac:dyDescent="0.25"/>
  <cols>
    <col min="1" max="1" width="5.7109375" style="8" customWidth="1"/>
    <col min="2" max="2" width="62.7109375" style="8" customWidth="1"/>
    <col min="3" max="4" width="11.140625" style="30" customWidth="1"/>
    <col min="5" max="6" width="11.140625" style="8" customWidth="1"/>
    <col min="7" max="7" width="11.140625" style="31" customWidth="1"/>
    <col min="8" max="31" width="11.140625" style="8" customWidth="1"/>
    <col min="32" max="32" width="4.28515625" style="7" customWidth="1"/>
    <col min="33" max="127" width="0" style="8" hidden="1" customWidth="1"/>
    <col min="128" max="16384" width="11.140625" style="8" hidden="1"/>
  </cols>
  <sheetData>
    <row r="1" spans="1:32" s="5" customFormat="1" ht="25.5" customHeight="1" thickBot="1" x14ac:dyDescent="0.25">
      <c r="A1" s="1"/>
      <c r="B1" s="2"/>
      <c r="C1" s="3"/>
      <c r="D1" s="172" t="s">
        <v>0</v>
      </c>
      <c r="E1" s="171"/>
      <c r="F1" s="171"/>
      <c r="G1" s="173"/>
      <c r="H1" s="171"/>
      <c r="I1" s="171"/>
      <c r="J1" s="171"/>
      <c r="K1" s="171"/>
      <c r="L1" s="171"/>
      <c r="M1" s="171"/>
      <c r="N1" s="171"/>
      <c r="O1" s="171"/>
      <c r="P1" s="171"/>
      <c r="Q1" s="171"/>
      <c r="R1" s="171"/>
      <c r="S1" s="171"/>
      <c r="T1" s="171"/>
      <c r="U1" s="171"/>
      <c r="V1" s="171"/>
      <c r="W1" s="171"/>
      <c r="X1" s="171"/>
      <c r="Y1" s="171"/>
      <c r="Z1" s="171"/>
      <c r="AA1" s="171"/>
      <c r="AB1" s="171"/>
      <c r="AC1" s="171"/>
      <c r="AD1" s="171"/>
      <c r="AE1" s="171"/>
      <c r="AF1" s="2"/>
    </row>
    <row r="2" spans="1:32" s="7" customFormat="1" ht="22.5" customHeight="1" thickBot="1" x14ac:dyDescent="0.3">
      <c r="A2" s="303" t="s">
        <v>102</v>
      </c>
      <c r="B2" s="304"/>
      <c r="C2" s="304"/>
      <c r="D2" s="140"/>
      <c r="E2" s="140"/>
      <c r="F2" s="140"/>
      <c r="G2" s="140"/>
      <c r="H2" s="140"/>
      <c r="I2" s="140"/>
      <c r="J2" s="140"/>
      <c r="K2" s="140"/>
      <c r="L2" s="140"/>
      <c r="M2" s="140"/>
      <c r="N2" s="140"/>
      <c r="O2" s="140"/>
      <c r="P2" s="140"/>
      <c r="Q2" s="140"/>
      <c r="R2" s="140"/>
      <c r="S2" s="140"/>
      <c r="T2" s="140"/>
      <c r="U2" s="140"/>
      <c r="V2" s="140"/>
      <c r="W2" s="140"/>
      <c r="X2" s="140"/>
      <c r="Y2" s="140"/>
      <c r="Z2" s="140"/>
      <c r="AA2" s="140"/>
      <c r="AB2" s="140"/>
      <c r="AC2" s="140"/>
      <c r="AD2" s="140"/>
      <c r="AE2" s="141"/>
    </row>
    <row r="3" spans="1:32" ht="16.5" customHeight="1" thickBot="1" x14ac:dyDescent="0.25">
      <c r="A3" s="142" t="s">
        <v>299</v>
      </c>
      <c r="B3" s="57"/>
      <c r="C3" s="57"/>
      <c r="D3" s="58"/>
      <c r="E3" s="58"/>
      <c r="F3" s="58"/>
      <c r="G3" s="58"/>
      <c r="H3" s="59"/>
      <c r="I3" s="59"/>
      <c r="J3" s="59"/>
      <c r="K3" s="59"/>
      <c r="L3" s="59"/>
      <c r="M3" s="59"/>
      <c r="N3" s="59"/>
      <c r="O3" s="59"/>
      <c r="P3" s="59"/>
      <c r="Q3" s="59"/>
      <c r="R3" s="59"/>
      <c r="S3" s="59"/>
      <c r="T3" s="59"/>
      <c r="U3" s="59"/>
      <c r="V3" s="59"/>
      <c r="W3" s="59"/>
      <c r="X3" s="59"/>
      <c r="Y3" s="59"/>
      <c r="Z3" s="59"/>
      <c r="AA3" s="59"/>
      <c r="AB3" s="59"/>
      <c r="AC3" s="59"/>
      <c r="AD3" s="59"/>
      <c r="AE3" s="143"/>
    </row>
    <row r="4" spans="1:32" ht="15.75" customHeight="1" x14ac:dyDescent="0.25">
      <c r="A4" s="310"/>
      <c r="B4" s="308" t="s">
        <v>2</v>
      </c>
      <c r="C4" s="301">
        <v>1996</v>
      </c>
      <c r="D4" s="301">
        <v>1997</v>
      </c>
      <c r="E4" s="301">
        <v>1998</v>
      </c>
      <c r="F4" s="301">
        <v>1999</v>
      </c>
      <c r="G4" s="301">
        <v>2000</v>
      </c>
      <c r="H4" s="301">
        <v>2001</v>
      </c>
      <c r="I4" s="301">
        <v>2002</v>
      </c>
      <c r="J4" s="301">
        <v>2003</v>
      </c>
      <c r="K4" s="301">
        <v>2004</v>
      </c>
      <c r="L4" s="301">
        <v>2005</v>
      </c>
      <c r="M4" s="301">
        <v>2006</v>
      </c>
      <c r="N4" s="301">
        <v>2007</v>
      </c>
      <c r="O4" s="301">
        <v>2008</v>
      </c>
      <c r="P4" s="301">
        <v>2009</v>
      </c>
      <c r="Q4" s="301">
        <v>2010</v>
      </c>
      <c r="R4" s="301">
        <v>2011</v>
      </c>
      <c r="S4" s="301">
        <v>2012</v>
      </c>
      <c r="T4" s="301">
        <v>2013</v>
      </c>
      <c r="U4" s="301">
        <v>2014</v>
      </c>
      <c r="V4" s="301">
        <v>2015</v>
      </c>
      <c r="W4" s="301">
        <v>2016</v>
      </c>
      <c r="X4" s="301">
        <v>2017</v>
      </c>
      <c r="Y4" s="301">
        <v>2018</v>
      </c>
      <c r="Z4" s="301">
        <v>2019</v>
      </c>
      <c r="AA4" s="301">
        <v>2020</v>
      </c>
      <c r="AB4" s="301">
        <v>2021</v>
      </c>
      <c r="AC4" s="301">
        <v>2022</v>
      </c>
      <c r="AD4" s="301">
        <v>2023</v>
      </c>
      <c r="AE4" s="299">
        <v>2024</v>
      </c>
    </row>
    <row r="5" spans="1:32" ht="15.75" customHeight="1" thickBot="1" x14ac:dyDescent="0.3">
      <c r="A5" s="311"/>
      <c r="B5" s="309"/>
      <c r="C5" s="302"/>
      <c r="D5" s="302" t="s">
        <v>3</v>
      </c>
      <c r="E5" s="302"/>
      <c r="F5" s="302" t="s">
        <v>4</v>
      </c>
      <c r="G5" s="302"/>
      <c r="H5" s="302" t="s">
        <v>5</v>
      </c>
      <c r="I5" s="302"/>
      <c r="J5" s="302" t="s">
        <v>6</v>
      </c>
      <c r="K5" s="302"/>
      <c r="L5" s="302" t="s">
        <v>7</v>
      </c>
      <c r="M5" s="302"/>
      <c r="N5" s="302" t="s">
        <v>8</v>
      </c>
      <c r="O5" s="302"/>
      <c r="P5" s="302" t="s">
        <v>9</v>
      </c>
      <c r="Q5" s="302"/>
      <c r="R5" s="302" t="s">
        <v>10</v>
      </c>
      <c r="S5" s="302"/>
      <c r="T5" s="302"/>
      <c r="U5" s="302"/>
      <c r="V5" s="302"/>
      <c r="W5" s="302"/>
      <c r="X5" s="302"/>
      <c r="Y5" s="302"/>
      <c r="Z5" s="302"/>
      <c r="AA5" s="302"/>
      <c r="AB5" s="302"/>
      <c r="AC5" s="302"/>
      <c r="AD5" s="302"/>
      <c r="AE5" s="300"/>
    </row>
    <row r="6" spans="1:32" s="11" customFormat="1" ht="15" customHeight="1" thickBot="1" x14ac:dyDescent="0.3">
      <c r="A6" s="144" t="s">
        <v>11</v>
      </c>
      <c r="B6" s="9" t="s">
        <v>12</v>
      </c>
      <c r="C6" s="64">
        <v>668</v>
      </c>
      <c r="D6" s="64">
        <v>648</v>
      </c>
      <c r="E6" s="64">
        <v>806</v>
      </c>
      <c r="F6" s="64">
        <v>868</v>
      </c>
      <c r="G6" s="64">
        <v>905</v>
      </c>
      <c r="H6" s="64">
        <v>872</v>
      </c>
      <c r="I6" s="64">
        <v>853</v>
      </c>
      <c r="J6" s="64">
        <v>879</v>
      </c>
      <c r="K6" s="64">
        <v>939</v>
      </c>
      <c r="L6" s="64">
        <v>970</v>
      </c>
      <c r="M6" s="64">
        <v>963</v>
      </c>
      <c r="N6" s="64">
        <v>965</v>
      </c>
      <c r="O6" s="64">
        <v>963</v>
      </c>
      <c r="P6" s="64">
        <v>901</v>
      </c>
      <c r="Q6" s="64">
        <v>928</v>
      </c>
      <c r="R6" s="64">
        <v>884</v>
      </c>
      <c r="S6" s="64">
        <v>833</v>
      </c>
      <c r="T6" s="64">
        <v>783</v>
      </c>
      <c r="U6" s="64">
        <v>774</v>
      </c>
      <c r="V6" s="64">
        <v>731</v>
      </c>
      <c r="W6" s="64">
        <v>733</v>
      </c>
      <c r="X6" s="64">
        <v>690</v>
      </c>
      <c r="Y6" s="64">
        <v>700</v>
      </c>
      <c r="Z6" s="64">
        <v>697</v>
      </c>
      <c r="AA6" s="64">
        <v>679</v>
      </c>
      <c r="AB6" s="64">
        <v>661</v>
      </c>
      <c r="AC6" s="64">
        <v>681</v>
      </c>
      <c r="AD6" s="64">
        <v>625</v>
      </c>
      <c r="AE6" s="145">
        <v>596</v>
      </c>
      <c r="AF6" s="10"/>
    </row>
    <row r="7" spans="1:32" ht="15" customHeight="1" x14ac:dyDescent="0.25">
      <c r="A7" s="146">
        <v>1</v>
      </c>
      <c r="B7" s="12" t="s">
        <v>13</v>
      </c>
      <c r="C7" s="68">
        <v>664</v>
      </c>
      <c r="D7" s="68">
        <v>644</v>
      </c>
      <c r="E7" s="68">
        <v>800</v>
      </c>
      <c r="F7" s="68">
        <v>859</v>
      </c>
      <c r="G7" s="68">
        <v>891</v>
      </c>
      <c r="H7" s="68">
        <v>860</v>
      </c>
      <c r="I7" s="68">
        <v>844</v>
      </c>
      <c r="J7" s="68">
        <v>872</v>
      </c>
      <c r="K7" s="68">
        <v>931</v>
      </c>
      <c r="L7" s="68">
        <v>960</v>
      </c>
      <c r="M7" s="68">
        <v>950</v>
      </c>
      <c r="N7" s="68">
        <v>952</v>
      </c>
      <c r="O7" s="68">
        <v>948</v>
      </c>
      <c r="P7" s="68">
        <v>888</v>
      </c>
      <c r="Q7" s="68">
        <v>900</v>
      </c>
      <c r="R7" s="68">
        <v>871</v>
      </c>
      <c r="S7" s="68">
        <v>822</v>
      </c>
      <c r="T7" s="68">
        <v>773</v>
      </c>
      <c r="U7" s="68">
        <v>762</v>
      </c>
      <c r="V7" s="68">
        <v>721</v>
      </c>
      <c r="W7" s="68">
        <v>722</v>
      </c>
      <c r="X7" s="68">
        <v>680</v>
      </c>
      <c r="Y7" s="68">
        <v>689</v>
      </c>
      <c r="Z7" s="68">
        <v>685</v>
      </c>
      <c r="AA7" s="68">
        <v>668</v>
      </c>
      <c r="AB7" s="68">
        <v>652</v>
      </c>
      <c r="AC7" s="68">
        <v>672</v>
      </c>
      <c r="AD7" s="68">
        <v>617</v>
      </c>
      <c r="AE7" s="147">
        <v>589</v>
      </c>
    </row>
    <row r="8" spans="1:32" ht="15" customHeight="1" thickBot="1" x14ac:dyDescent="0.3">
      <c r="A8" s="148">
        <v>2</v>
      </c>
      <c r="B8" s="13" t="s">
        <v>14</v>
      </c>
      <c r="C8" s="69">
        <v>4</v>
      </c>
      <c r="D8" s="69">
        <v>4</v>
      </c>
      <c r="E8" s="69">
        <v>6</v>
      </c>
      <c r="F8" s="69">
        <v>9</v>
      </c>
      <c r="G8" s="69">
        <v>14</v>
      </c>
      <c r="H8" s="69">
        <v>12</v>
      </c>
      <c r="I8" s="69">
        <v>9</v>
      </c>
      <c r="J8" s="69">
        <v>7</v>
      </c>
      <c r="K8" s="69">
        <v>8</v>
      </c>
      <c r="L8" s="69">
        <v>10</v>
      </c>
      <c r="M8" s="69">
        <v>13</v>
      </c>
      <c r="N8" s="69">
        <v>13</v>
      </c>
      <c r="O8" s="69">
        <v>15</v>
      </c>
      <c r="P8" s="69">
        <v>13</v>
      </c>
      <c r="Q8" s="69">
        <v>28</v>
      </c>
      <c r="R8" s="69">
        <v>13</v>
      </c>
      <c r="S8" s="69">
        <v>11</v>
      </c>
      <c r="T8" s="69">
        <v>10</v>
      </c>
      <c r="U8" s="69">
        <v>12</v>
      </c>
      <c r="V8" s="69">
        <v>10</v>
      </c>
      <c r="W8" s="69">
        <v>11</v>
      </c>
      <c r="X8" s="69">
        <v>10</v>
      </c>
      <c r="Y8" s="69">
        <v>11</v>
      </c>
      <c r="Z8" s="69">
        <v>12</v>
      </c>
      <c r="AA8" s="69">
        <v>11</v>
      </c>
      <c r="AB8" s="69">
        <v>9</v>
      </c>
      <c r="AC8" s="69">
        <v>9</v>
      </c>
      <c r="AD8" s="69">
        <v>8</v>
      </c>
      <c r="AE8" s="149">
        <v>7</v>
      </c>
    </row>
    <row r="9" spans="1:32" s="11" customFormat="1" ht="15" customHeight="1" thickBot="1" x14ac:dyDescent="0.3">
      <c r="A9" s="144" t="s">
        <v>15</v>
      </c>
      <c r="B9" s="9" t="s">
        <v>16</v>
      </c>
      <c r="C9" s="64">
        <v>70</v>
      </c>
      <c r="D9" s="64">
        <v>82</v>
      </c>
      <c r="E9" s="64">
        <v>75</v>
      </c>
      <c r="F9" s="64">
        <v>85</v>
      </c>
      <c r="G9" s="64">
        <v>94</v>
      </c>
      <c r="H9" s="64">
        <v>96</v>
      </c>
      <c r="I9" s="64">
        <v>104</v>
      </c>
      <c r="J9" s="64">
        <v>115</v>
      </c>
      <c r="K9" s="64">
        <v>105</v>
      </c>
      <c r="L9" s="64">
        <v>103</v>
      </c>
      <c r="M9" s="64">
        <v>87</v>
      </c>
      <c r="N9" s="64">
        <v>82</v>
      </c>
      <c r="O9" s="64">
        <v>86</v>
      </c>
      <c r="P9" s="64">
        <v>90</v>
      </c>
      <c r="Q9" s="64">
        <v>93</v>
      </c>
      <c r="R9" s="64">
        <v>90</v>
      </c>
      <c r="S9" s="64">
        <v>87</v>
      </c>
      <c r="T9" s="64">
        <v>92</v>
      </c>
      <c r="U9" s="64">
        <v>94</v>
      </c>
      <c r="V9" s="64">
        <v>89</v>
      </c>
      <c r="W9" s="64">
        <v>90</v>
      </c>
      <c r="X9" s="64">
        <v>98</v>
      </c>
      <c r="Y9" s="64">
        <v>104</v>
      </c>
      <c r="Z9" s="64">
        <v>117</v>
      </c>
      <c r="AA9" s="64">
        <v>126</v>
      </c>
      <c r="AB9" s="64">
        <v>121</v>
      </c>
      <c r="AC9" s="64">
        <v>113</v>
      </c>
      <c r="AD9" s="64">
        <v>106</v>
      </c>
      <c r="AE9" s="145">
        <v>105</v>
      </c>
      <c r="AF9" s="10"/>
    </row>
    <row r="10" spans="1:32" ht="15" customHeight="1" thickBot="1" x14ac:dyDescent="0.3">
      <c r="A10" s="150">
        <v>5</v>
      </c>
      <c r="B10" s="14" t="s">
        <v>17</v>
      </c>
      <c r="C10" s="67">
        <v>70</v>
      </c>
      <c r="D10" s="67">
        <v>82</v>
      </c>
      <c r="E10" s="67">
        <v>75</v>
      </c>
      <c r="F10" s="67">
        <v>85</v>
      </c>
      <c r="G10" s="67">
        <v>94</v>
      </c>
      <c r="H10" s="67">
        <v>96</v>
      </c>
      <c r="I10" s="67">
        <v>104</v>
      </c>
      <c r="J10" s="67">
        <v>115</v>
      </c>
      <c r="K10" s="67">
        <v>105</v>
      </c>
      <c r="L10" s="67">
        <v>103</v>
      </c>
      <c r="M10" s="67">
        <v>87</v>
      </c>
      <c r="N10" s="67">
        <v>82</v>
      </c>
      <c r="O10" s="67">
        <v>86</v>
      </c>
      <c r="P10" s="67">
        <v>90</v>
      </c>
      <c r="Q10" s="67">
        <v>93</v>
      </c>
      <c r="R10" s="67">
        <v>90</v>
      </c>
      <c r="S10" s="67">
        <v>87</v>
      </c>
      <c r="T10" s="67">
        <v>92</v>
      </c>
      <c r="U10" s="67">
        <v>94</v>
      </c>
      <c r="V10" s="67">
        <v>89</v>
      </c>
      <c r="W10" s="67">
        <v>90</v>
      </c>
      <c r="X10" s="67">
        <v>98</v>
      </c>
      <c r="Y10" s="67">
        <v>104</v>
      </c>
      <c r="Z10" s="67">
        <v>117</v>
      </c>
      <c r="AA10" s="67">
        <v>126</v>
      </c>
      <c r="AB10" s="67">
        <v>121</v>
      </c>
      <c r="AC10" s="67">
        <v>113</v>
      </c>
      <c r="AD10" s="67">
        <v>106</v>
      </c>
      <c r="AE10" s="151">
        <v>105</v>
      </c>
    </row>
    <row r="11" spans="1:32" s="11" customFormat="1" ht="15" customHeight="1" thickBot="1" x14ac:dyDescent="0.3">
      <c r="A11" s="144" t="s">
        <v>18</v>
      </c>
      <c r="B11" s="9" t="s">
        <v>19</v>
      </c>
      <c r="C11" s="64">
        <v>94</v>
      </c>
      <c r="D11" s="64">
        <v>101</v>
      </c>
      <c r="E11" s="64">
        <v>93</v>
      </c>
      <c r="F11" s="64">
        <v>95</v>
      </c>
      <c r="G11" s="64">
        <v>107</v>
      </c>
      <c r="H11" s="64">
        <v>105</v>
      </c>
      <c r="I11" s="64">
        <v>112</v>
      </c>
      <c r="J11" s="64">
        <v>116</v>
      </c>
      <c r="K11" s="64">
        <v>129</v>
      </c>
      <c r="L11" s="64">
        <v>133</v>
      </c>
      <c r="M11" s="64">
        <v>140</v>
      </c>
      <c r="N11" s="64">
        <v>165</v>
      </c>
      <c r="O11" s="64">
        <v>174</v>
      </c>
      <c r="P11" s="64">
        <v>165</v>
      </c>
      <c r="Q11" s="64">
        <v>180</v>
      </c>
      <c r="R11" s="64">
        <v>170</v>
      </c>
      <c r="S11" s="64">
        <v>167</v>
      </c>
      <c r="T11" s="64">
        <v>162</v>
      </c>
      <c r="U11" s="64">
        <v>173</v>
      </c>
      <c r="V11" s="64">
        <v>167</v>
      </c>
      <c r="W11" s="64">
        <v>173</v>
      </c>
      <c r="X11" s="64">
        <v>166</v>
      </c>
      <c r="Y11" s="64">
        <v>170</v>
      </c>
      <c r="Z11" s="64">
        <v>167</v>
      </c>
      <c r="AA11" s="64">
        <v>163</v>
      </c>
      <c r="AB11" s="64">
        <v>170</v>
      </c>
      <c r="AC11" s="64">
        <v>167</v>
      </c>
      <c r="AD11" s="64">
        <v>164</v>
      </c>
      <c r="AE11" s="145">
        <v>161</v>
      </c>
      <c r="AF11" s="10"/>
    </row>
    <row r="12" spans="1:32" ht="15" customHeight="1" x14ac:dyDescent="0.25">
      <c r="A12" s="152">
        <v>11</v>
      </c>
      <c r="B12" s="15" t="s">
        <v>20</v>
      </c>
      <c r="C12" s="68">
        <v>76</v>
      </c>
      <c r="D12" s="68">
        <v>84</v>
      </c>
      <c r="E12" s="68">
        <v>76</v>
      </c>
      <c r="F12" s="68">
        <v>76</v>
      </c>
      <c r="G12" s="68">
        <v>89</v>
      </c>
      <c r="H12" s="68">
        <v>85</v>
      </c>
      <c r="I12" s="68">
        <v>87</v>
      </c>
      <c r="J12" s="68">
        <v>91</v>
      </c>
      <c r="K12" s="68">
        <v>99</v>
      </c>
      <c r="L12" s="68">
        <v>101</v>
      </c>
      <c r="M12" s="68">
        <v>108</v>
      </c>
      <c r="N12" s="68">
        <v>132</v>
      </c>
      <c r="O12" s="68">
        <v>140</v>
      </c>
      <c r="P12" s="68">
        <v>136</v>
      </c>
      <c r="Q12" s="68">
        <v>139</v>
      </c>
      <c r="R12" s="68">
        <v>143</v>
      </c>
      <c r="S12" s="68">
        <v>140</v>
      </c>
      <c r="T12" s="68">
        <v>135</v>
      </c>
      <c r="U12" s="68">
        <v>145</v>
      </c>
      <c r="V12" s="68">
        <v>143</v>
      </c>
      <c r="W12" s="68">
        <v>143</v>
      </c>
      <c r="X12" s="68">
        <v>136</v>
      </c>
      <c r="Y12" s="68">
        <v>142</v>
      </c>
      <c r="Z12" s="68">
        <v>142</v>
      </c>
      <c r="AA12" s="68">
        <v>138</v>
      </c>
      <c r="AB12" s="68">
        <v>145</v>
      </c>
      <c r="AC12" s="68">
        <v>140</v>
      </c>
      <c r="AD12" s="68">
        <v>140</v>
      </c>
      <c r="AE12" s="153">
        <v>138</v>
      </c>
    </row>
    <row r="13" spans="1:32" ht="15" customHeight="1" x14ac:dyDescent="0.25">
      <c r="A13" s="154">
        <v>13</v>
      </c>
      <c r="B13" s="16" t="s">
        <v>21</v>
      </c>
      <c r="C13" s="69">
        <v>4</v>
      </c>
      <c r="D13" s="69">
        <v>4</v>
      </c>
      <c r="E13" s="69" t="s">
        <v>383</v>
      </c>
      <c r="F13" s="69" t="s">
        <v>383</v>
      </c>
      <c r="G13" s="69" t="s">
        <v>383</v>
      </c>
      <c r="H13" s="69" t="s">
        <v>383</v>
      </c>
      <c r="I13" s="69">
        <v>5</v>
      </c>
      <c r="J13" s="69">
        <v>4</v>
      </c>
      <c r="K13" s="69">
        <v>5</v>
      </c>
      <c r="L13" s="69">
        <v>5</v>
      </c>
      <c r="M13" s="69">
        <v>5</v>
      </c>
      <c r="N13" s="69">
        <v>5</v>
      </c>
      <c r="O13" s="69">
        <v>4</v>
      </c>
      <c r="P13" s="69" t="s">
        <v>383</v>
      </c>
      <c r="Q13" s="69">
        <v>4</v>
      </c>
      <c r="R13" s="69" t="s">
        <v>383</v>
      </c>
      <c r="S13" s="69">
        <v>4</v>
      </c>
      <c r="T13" s="69">
        <v>4</v>
      </c>
      <c r="U13" s="69">
        <v>4</v>
      </c>
      <c r="V13" s="69" t="s">
        <v>383</v>
      </c>
      <c r="W13" s="69" t="s">
        <v>383</v>
      </c>
      <c r="X13" s="69" t="s">
        <v>383</v>
      </c>
      <c r="Y13" s="69">
        <v>4</v>
      </c>
      <c r="Z13" s="69">
        <v>4</v>
      </c>
      <c r="AA13" s="69">
        <v>4</v>
      </c>
      <c r="AB13" s="69">
        <v>4</v>
      </c>
      <c r="AC13" s="69" t="s">
        <v>383</v>
      </c>
      <c r="AD13" s="69" t="s">
        <v>383</v>
      </c>
      <c r="AE13" s="155" t="s">
        <v>383</v>
      </c>
    </row>
    <row r="14" spans="1:32" ht="15" customHeight="1" thickBot="1" x14ac:dyDescent="0.3">
      <c r="A14" s="152">
        <v>14</v>
      </c>
      <c r="B14" s="15" t="s">
        <v>22</v>
      </c>
      <c r="C14" s="68">
        <v>14</v>
      </c>
      <c r="D14" s="68">
        <v>13</v>
      </c>
      <c r="E14" s="68" t="s">
        <v>383</v>
      </c>
      <c r="F14" s="68" t="s">
        <v>383</v>
      </c>
      <c r="G14" s="68" t="s">
        <v>383</v>
      </c>
      <c r="H14" s="68" t="s">
        <v>383</v>
      </c>
      <c r="I14" s="68">
        <v>20</v>
      </c>
      <c r="J14" s="68">
        <v>21</v>
      </c>
      <c r="K14" s="68">
        <v>25</v>
      </c>
      <c r="L14" s="68">
        <v>27</v>
      </c>
      <c r="M14" s="68">
        <v>27</v>
      </c>
      <c r="N14" s="68">
        <v>28</v>
      </c>
      <c r="O14" s="68">
        <v>30</v>
      </c>
      <c r="P14" s="68" t="s">
        <v>383</v>
      </c>
      <c r="Q14" s="68">
        <v>37</v>
      </c>
      <c r="R14" s="68" t="s">
        <v>383</v>
      </c>
      <c r="S14" s="68">
        <v>23</v>
      </c>
      <c r="T14" s="68">
        <v>23</v>
      </c>
      <c r="U14" s="68">
        <v>24</v>
      </c>
      <c r="V14" s="68" t="s">
        <v>383</v>
      </c>
      <c r="W14" s="68" t="s">
        <v>383</v>
      </c>
      <c r="X14" s="68" t="s">
        <v>383</v>
      </c>
      <c r="Y14" s="68">
        <v>24</v>
      </c>
      <c r="Z14" s="68">
        <v>21</v>
      </c>
      <c r="AA14" s="68">
        <v>21</v>
      </c>
      <c r="AB14" s="68">
        <v>21</v>
      </c>
      <c r="AC14" s="68" t="s">
        <v>383</v>
      </c>
      <c r="AD14" s="68" t="s">
        <v>383</v>
      </c>
      <c r="AE14" s="153" t="s">
        <v>383</v>
      </c>
    </row>
    <row r="15" spans="1:32" s="11" customFormat="1" ht="15" customHeight="1" thickBot="1" x14ac:dyDescent="0.3">
      <c r="A15" s="144" t="s">
        <v>23</v>
      </c>
      <c r="B15" s="9" t="s">
        <v>24</v>
      </c>
      <c r="C15" s="64">
        <v>338</v>
      </c>
      <c r="D15" s="64">
        <v>364</v>
      </c>
      <c r="E15" s="64">
        <v>430</v>
      </c>
      <c r="F15" s="64">
        <v>462</v>
      </c>
      <c r="G15" s="64">
        <v>485</v>
      </c>
      <c r="H15" s="64">
        <v>459</v>
      </c>
      <c r="I15" s="64">
        <v>447</v>
      </c>
      <c r="J15" s="64">
        <v>466</v>
      </c>
      <c r="K15" s="64">
        <v>517</v>
      </c>
      <c r="L15" s="64">
        <v>545</v>
      </c>
      <c r="M15" s="64">
        <v>572</v>
      </c>
      <c r="N15" s="64">
        <v>594</v>
      </c>
      <c r="O15" s="64">
        <v>608</v>
      </c>
      <c r="P15" s="64">
        <v>607</v>
      </c>
      <c r="Q15" s="64">
        <v>624</v>
      </c>
      <c r="R15" s="64">
        <v>616</v>
      </c>
      <c r="S15" s="64">
        <v>617</v>
      </c>
      <c r="T15" s="64">
        <v>632</v>
      </c>
      <c r="U15" s="64">
        <v>630</v>
      </c>
      <c r="V15" s="64">
        <v>622</v>
      </c>
      <c r="W15" s="64">
        <v>616</v>
      </c>
      <c r="X15" s="64">
        <v>612</v>
      </c>
      <c r="Y15" s="64">
        <v>616</v>
      </c>
      <c r="Z15" s="64">
        <v>599</v>
      </c>
      <c r="AA15" s="64">
        <v>593</v>
      </c>
      <c r="AB15" s="64">
        <v>597</v>
      </c>
      <c r="AC15" s="64">
        <v>633</v>
      </c>
      <c r="AD15" s="64">
        <v>649</v>
      </c>
      <c r="AE15" s="145">
        <v>657</v>
      </c>
      <c r="AF15" s="10"/>
    </row>
    <row r="16" spans="1:32" ht="15" customHeight="1" x14ac:dyDescent="0.25">
      <c r="A16" s="152">
        <v>15</v>
      </c>
      <c r="B16" s="15" t="s">
        <v>25</v>
      </c>
      <c r="C16" s="68">
        <v>113</v>
      </c>
      <c r="D16" s="68">
        <v>130</v>
      </c>
      <c r="E16" s="68">
        <v>166</v>
      </c>
      <c r="F16" s="68">
        <v>167</v>
      </c>
      <c r="G16" s="68">
        <v>172</v>
      </c>
      <c r="H16" s="68">
        <v>157</v>
      </c>
      <c r="I16" s="68">
        <v>147</v>
      </c>
      <c r="J16" s="68">
        <v>146</v>
      </c>
      <c r="K16" s="68">
        <v>162</v>
      </c>
      <c r="L16" s="68">
        <v>168</v>
      </c>
      <c r="M16" s="68">
        <v>181</v>
      </c>
      <c r="N16" s="68">
        <v>192</v>
      </c>
      <c r="O16" s="68">
        <v>198</v>
      </c>
      <c r="P16" s="68">
        <v>206</v>
      </c>
      <c r="Q16" s="68">
        <v>204</v>
      </c>
      <c r="R16" s="68">
        <v>205</v>
      </c>
      <c r="S16" s="68">
        <v>212</v>
      </c>
      <c r="T16" s="68">
        <v>221</v>
      </c>
      <c r="U16" s="68">
        <v>225</v>
      </c>
      <c r="V16" s="68">
        <v>227</v>
      </c>
      <c r="W16" s="68">
        <v>224</v>
      </c>
      <c r="X16" s="68">
        <v>233</v>
      </c>
      <c r="Y16" s="68">
        <v>232</v>
      </c>
      <c r="Z16" s="68">
        <v>230</v>
      </c>
      <c r="AA16" s="68">
        <v>223</v>
      </c>
      <c r="AB16" s="68">
        <v>239</v>
      </c>
      <c r="AC16" s="68">
        <v>257</v>
      </c>
      <c r="AD16" s="68">
        <v>270</v>
      </c>
      <c r="AE16" s="153">
        <v>278</v>
      </c>
    </row>
    <row r="17" spans="1:31" ht="15" customHeight="1" x14ac:dyDescent="0.25">
      <c r="A17" s="156">
        <v>16</v>
      </c>
      <c r="B17" s="17" t="s">
        <v>26</v>
      </c>
      <c r="C17" s="70" t="s">
        <v>383</v>
      </c>
      <c r="D17" s="70" t="s">
        <v>383</v>
      </c>
      <c r="E17" s="70" t="s">
        <v>383</v>
      </c>
      <c r="F17" s="70" t="s">
        <v>383</v>
      </c>
      <c r="G17" s="70" t="s">
        <v>383</v>
      </c>
      <c r="H17" s="70" t="s">
        <v>383</v>
      </c>
      <c r="I17" s="70" t="s">
        <v>383</v>
      </c>
      <c r="J17" s="70" t="s">
        <v>383</v>
      </c>
      <c r="K17" s="70" t="s">
        <v>383</v>
      </c>
      <c r="L17" s="70" t="s">
        <v>383</v>
      </c>
      <c r="M17" s="70" t="s">
        <v>383</v>
      </c>
      <c r="N17" s="70" t="s">
        <v>383</v>
      </c>
      <c r="O17" s="70" t="s">
        <v>383</v>
      </c>
      <c r="P17" s="70" t="s">
        <v>383</v>
      </c>
      <c r="Q17" s="70" t="s">
        <v>383</v>
      </c>
      <c r="R17" s="70" t="s">
        <v>383</v>
      </c>
      <c r="S17" s="70" t="s">
        <v>383</v>
      </c>
      <c r="T17" s="70" t="s">
        <v>383</v>
      </c>
      <c r="U17" s="70" t="s">
        <v>383</v>
      </c>
      <c r="V17" s="70" t="s">
        <v>383</v>
      </c>
      <c r="W17" s="70" t="s">
        <v>383</v>
      </c>
      <c r="X17" s="70" t="s">
        <v>383</v>
      </c>
      <c r="Y17" s="70" t="s">
        <v>383</v>
      </c>
      <c r="Z17" s="70" t="s">
        <v>383</v>
      </c>
      <c r="AA17" s="70" t="s">
        <v>383</v>
      </c>
      <c r="AB17" s="70" t="s">
        <v>383</v>
      </c>
      <c r="AC17" s="70" t="s">
        <v>383</v>
      </c>
      <c r="AD17" s="70" t="s">
        <v>383</v>
      </c>
      <c r="AE17" s="157" t="s">
        <v>383</v>
      </c>
    </row>
    <row r="18" spans="1:31" ht="15" customHeight="1" x14ac:dyDescent="0.25">
      <c r="A18" s="156">
        <v>17</v>
      </c>
      <c r="B18" s="17" t="s">
        <v>27</v>
      </c>
      <c r="C18" s="70">
        <v>27</v>
      </c>
      <c r="D18" s="70">
        <v>25</v>
      </c>
      <c r="E18" s="70">
        <v>28</v>
      </c>
      <c r="F18" s="70">
        <v>32</v>
      </c>
      <c r="G18" s="70">
        <v>28</v>
      </c>
      <c r="H18" s="70">
        <v>27</v>
      </c>
      <c r="I18" s="70">
        <v>29</v>
      </c>
      <c r="J18" s="70">
        <v>31</v>
      </c>
      <c r="K18" s="70">
        <v>31</v>
      </c>
      <c r="L18" s="70">
        <v>29</v>
      </c>
      <c r="M18" s="70">
        <v>30</v>
      </c>
      <c r="N18" s="70">
        <v>29</v>
      </c>
      <c r="O18" s="70">
        <v>28</v>
      </c>
      <c r="P18" s="70">
        <v>27</v>
      </c>
      <c r="Q18" s="70">
        <v>26</v>
      </c>
      <c r="R18" s="70">
        <v>28</v>
      </c>
      <c r="S18" s="70">
        <v>25</v>
      </c>
      <c r="T18" s="70">
        <v>22</v>
      </c>
      <c r="U18" s="70">
        <v>21</v>
      </c>
      <c r="V18" s="70">
        <v>20</v>
      </c>
      <c r="W18" s="70">
        <v>20</v>
      </c>
      <c r="X18" s="70">
        <v>18</v>
      </c>
      <c r="Y18" s="70">
        <v>20</v>
      </c>
      <c r="Z18" s="70">
        <v>20</v>
      </c>
      <c r="AA18" s="70">
        <v>20</v>
      </c>
      <c r="AB18" s="70">
        <v>20</v>
      </c>
      <c r="AC18" s="70">
        <v>21</v>
      </c>
      <c r="AD18" s="70">
        <v>18</v>
      </c>
      <c r="AE18" s="157">
        <v>18</v>
      </c>
    </row>
    <row r="19" spans="1:31" ht="15" customHeight="1" x14ac:dyDescent="0.25">
      <c r="A19" s="156">
        <v>18</v>
      </c>
      <c r="B19" s="17" t="s">
        <v>28</v>
      </c>
      <c r="C19" s="70">
        <v>7</v>
      </c>
      <c r="D19" s="70">
        <v>8</v>
      </c>
      <c r="E19" s="70">
        <v>8</v>
      </c>
      <c r="F19" s="70">
        <v>14</v>
      </c>
      <c r="G19" s="70">
        <v>13</v>
      </c>
      <c r="H19" s="70">
        <v>14</v>
      </c>
      <c r="I19" s="70">
        <v>14</v>
      </c>
      <c r="J19" s="70">
        <v>13</v>
      </c>
      <c r="K19" s="70">
        <v>13</v>
      </c>
      <c r="L19" s="70">
        <v>13</v>
      </c>
      <c r="M19" s="70">
        <v>12</v>
      </c>
      <c r="N19" s="70">
        <v>9</v>
      </c>
      <c r="O19" s="70">
        <v>11</v>
      </c>
      <c r="P19" s="70">
        <v>13</v>
      </c>
      <c r="Q19" s="70">
        <v>17</v>
      </c>
      <c r="R19" s="70">
        <v>16</v>
      </c>
      <c r="S19" s="70">
        <v>16</v>
      </c>
      <c r="T19" s="70">
        <v>16</v>
      </c>
      <c r="U19" s="70">
        <v>14</v>
      </c>
      <c r="V19" s="70">
        <v>16</v>
      </c>
      <c r="W19" s="70">
        <v>12</v>
      </c>
      <c r="X19" s="70">
        <v>9</v>
      </c>
      <c r="Y19" s="70">
        <v>9</v>
      </c>
      <c r="Z19" s="70">
        <v>9</v>
      </c>
      <c r="AA19" s="70">
        <v>10</v>
      </c>
      <c r="AB19" s="70">
        <v>7</v>
      </c>
      <c r="AC19" s="70">
        <v>8</v>
      </c>
      <c r="AD19" s="70">
        <v>7</v>
      </c>
      <c r="AE19" s="157">
        <v>7</v>
      </c>
    </row>
    <row r="20" spans="1:31" ht="15" customHeight="1" x14ac:dyDescent="0.25">
      <c r="A20" s="156">
        <v>19</v>
      </c>
      <c r="B20" s="17" t="s">
        <v>103</v>
      </c>
      <c r="C20" s="70" t="s">
        <v>383</v>
      </c>
      <c r="D20" s="70" t="s">
        <v>383</v>
      </c>
      <c r="E20" s="70" t="s">
        <v>383</v>
      </c>
      <c r="F20" s="70" t="s">
        <v>383</v>
      </c>
      <c r="G20" s="70">
        <v>4</v>
      </c>
      <c r="H20" s="70">
        <v>4</v>
      </c>
      <c r="I20" s="70">
        <v>4</v>
      </c>
      <c r="J20" s="70">
        <v>5</v>
      </c>
      <c r="K20" s="70">
        <v>6</v>
      </c>
      <c r="L20" s="70" t="s">
        <v>383</v>
      </c>
      <c r="M20" s="70">
        <v>5</v>
      </c>
      <c r="N20" s="70">
        <v>4</v>
      </c>
      <c r="O20" s="70" t="s">
        <v>383</v>
      </c>
      <c r="P20" s="70">
        <v>4</v>
      </c>
      <c r="Q20" s="70">
        <v>5</v>
      </c>
      <c r="R20" s="70">
        <v>4</v>
      </c>
      <c r="S20" s="70">
        <v>4</v>
      </c>
      <c r="T20" s="70">
        <v>4</v>
      </c>
      <c r="U20" s="70" t="s">
        <v>383</v>
      </c>
      <c r="V20" s="70" t="s">
        <v>383</v>
      </c>
      <c r="W20" s="70" t="s">
        <v>383</v>
      </c>
      <c r="X20" s="70">
        <v>4</v>
      </c>
      <c r="Y20" s="70">
        <v>4</v>
      </c>
      <c r="Z20" s="70">
        <v>4</v>
      </c>
      <c r="AA20" s="70" t="s">
        <v>383</v>
      </c>
      <c r="AB20" s="70" t="s">
        <v>383</v>
      </c>
      <c r="AC20" s="70" t="s">
        <v>383</v>
      </c>
      <c r="AD20" s="70" t="s">
        <v>383</v>
      </c>
      <c r="AE20" s="157" t="s">
        <v>383</v>
      </c>
    </row>
    <row r="21" spans="1:31" ht="15" customHeight="1" x14ac:dyDescent="0.25">
      <c r="A21" s="156">
        <v>20</v>
      </c>
      <c r="B21" s="17" t="s">
        <v>30</v>
      </c>
      <c r="C21" s="70">
        <v>19</v>
      </c>
      <c r="D21" s="70">
        <v>23</v>
      </c>
      <c r="E21" s="70">
        <v>29</v>
      </c>
      <c r="F21" s="70">
        <v>31</v>
      </c>
      <c r="G21" s="70">
        <v>36</v>
      </c>
      <c r="H21" s="70">
        <v>27</v>
      </c>
      <c r="I21" s="70">
        <v>27</v>
      </c>
      <c r="J21" s="70">
        <v>32</v>
      </c>
      <c r="K21" s="70">
        <v>39</v>
      </c>
      <c r="L21" s="70">
        <v>39</v>
      </c>
      <c r="M21" s="70">
        <v>35</v>
      </c>
      <c r="N21" s="70">
        <v>37</v>
      </c>
      <c r="O21" s="70">
        <v>36</v>
      </c>
      <c r="P21" s="70">
        <v>35</v>
      </c>
      <c r="Q21" s="70">
        <v>37</v>
      </c>
      <c r="R21" s="70">
        <v>35</v>
      </c>
      <c r="S21" s="70">
        <v>32</v>
      </c>
      <c r="T21" s="70">
        <v>31</v>
      </c>
      <c r="U21" s="70">
        <v>31</v>
      </c>
      <c r="V21" s="70">
        <v>33</v>
      </c>
      <c r="W21" s="70">
        <v>32</v>
      </c>
      <c r="X21" s="70">
        <v>30</v>
      </c>
      <c r="Y21" s="70">
        <v>30</v>
      </c>
      <c r="Z21" s="70">
        <v>28</v>
      </c>
      <c r="AA21" s="70">
        <v>27</v>
      </c>
      <c r="AB21" s="70">
        <v>28</v>
      </c>
      <c r="AC21" s="70">
        <v>27</v>
      </c>
      <c r="AD21" s="70">
        <v>26</v>
      </c>
      <c r="AE21" s="157">
        <v>26</v>
      </c>
    </row>
    <row r="22" spans="1:31" ht="15" customHeight="1" x14ac:dyDescent="0.25">
      <c r="A22" s="156">
        <v>21</v>
      </c>
      <c r="B22" s="17" t="s">
        <v>31</v>
      </c>
      <c r="C22" s="70" t="s">
        <v>383</v>
      </c>
      <c r="D22" s="70" t="s">
        <v>383</v>
      </c>
      <c r="E22" s="70" t="s">
        <v>383</v>
      </c>
      <c r="F22" s="70" t="s">
        <v>383</v>
      </c>
      <c r="G22" s="70" t="s">
        <v>383</v>
      </c>
      <c r="H22" s="70" t="s">
        <v>383</v>
      </c>
      <c r="I22" s="70" t="s">
        <v>383</v>
      </c>
      <c r="J22" s="70" t="s">
        <v>383</v>
      </c>
      <c r="K22" s="70" t="s">
        <v>383</v>
      </c>
      <c r="L22" s="70" t="s">
        <v>383</v>
      </c>
      <c r="M22" s="70" t="s">
        <v>383</v>
      </c>
      <c r="N22" s="70" t="s">
        <v>383</v>
      </c>
      <c r="O22" s="70" t="s">
        <v>383</v>
      </c>
      <c r="P22" s="70" t="s">
        <v>383</v>
      </c>
      <c r="Q22" s="70" t="s">
        <v>383</v>
      </c>
      <c r="R22" s="70" t="s">
        <v>383</v>
      </c>
      <c r="S22" s="70" t="s">
        <v>383</v>
      </c>
      <c r="T22" s="70" t="s">
        <v>383</v>
      </c>
      <c r="U22" s="70" t="s">
        <v>383</v>
      </c>
      <c r="V22" s="70" t="s">
        <v>383</v>
      </c>
      <c r="W22" s="70" t="s">
        <v>383</v>
      </c>
      <c r="X22" s="70" t="s">
        <v>383</v>
      </c>
      <c r="Y22" s="70" t="s">
        <v>383</v>
      </c>
      <c r="Z22" s="70" t="s">
        <v>383</v>
      </c>
      <c r="AA22" s="70" t="s">
        <v>383</v>
      </c>
      <c r="AB22" s="70" t="s">
        <v>383</v>
      </c>
      <c r="AC22" s="70" t="s">
        <v>383</v>
      </c>
      <c r="AD22" s="70" t="s">
        <v>383</v>
      </c>
      <c r="AE22" s="157" t="s">
        <v>383</v>
      </c>
    </row>
    <row r="23" spans="1:31" ht="15" customHeight="1" x14ac:dyDescent="0.25">
      <c r="A23" s="156">
        <v>22</v>
      </c>
      <c r="B23" s="17" t="s">
        <v>98</v>
      </c>
      <c r="C23" s="70">
        <v>30</v>
      </c>
      <c r="D23" s="70">
        <v>29</v>
      </c>
      <c r="E23" s="70">
        <v>29</v>
      </c>
      <c r="F23" s="70">
        <v>29</v>
      </c>
      <c r="G23" s="70">
        <v>41</v>
      </c>
      <c r="H23" s="70">
        <v>41</v>
      </c>
      <c r="I23" s="70">
        <v>38</v>
      </c>
      <c r="J23" s="70">
        <v>40</v>
      </c>
      <c r="K23" s="70">
        <v>43</v>
      </c>
      <c r="L23" s="70">
        <v>47</v>
      </c>
      <c r="M23" s="70">
        <v>49</v>
      </c>
      <c r="N23" s="70">
        <v>54</v>
      </c>
      <c r="O23" s="70">
        <v>49</v>
      </c>
      <c r="P23" s="70">
        <v>47</v>
      </c>
      <c r="Q23" s="70">
        <v>46</v>
      </c>
      <c r="R23" s="70">
        <v>46</v>
      </c>
      <c r="S23" s="70">
        <v>52</v>
      </c>
      <c r="T23" s="70">
        <v>49</v>
      </c>
      <c r="U23" s="70">
        <v>44</v>
      </c>
      <c r="V23" s="70">
        <v>44</v>
      </c>
      <c r="W23" s="70">
        <v>46</v>
      </c>
      <c r="X23" s="70">
        <v>41</v>
      </c>
      <c r="Y23" s="70">
        <v>40</v>
      </c>
      <c r="Z23" s="70">
        <v>39</v>
      </c>
      <c r="AA23" s="70">
        <v>37</v>
      </c>
      <c r="AB23" s="70">
        <v>34</v>
      </c>
      <c r="AC23" s="70">
        <v>31</v>
      </c>
      <c r="AD23" s="70">
        <v>28</v>
      </c>
      <c r="AE23" s="157">
        <v>28</v>
      </c>
    </row>
    <row r="24" spans="1:31" ht="15" customHeight="1" x14ac:dyDescent="0.25">
      <c r="A24" s="156">
        <v>23</v>
      </c>
      <c r="B24" s="17" t="s">
        <v>33</v>
      </c>
      <c r="C24" s="70" t="s">
        <v>383</v>
      </c>
      <c r="D24" s="70" t="s">
        <v>383</v>
      </c>
      <c r="E24" s="70" t="s">
        <v>383</v>
      </c>
      <c r="F24" s="70" t="s">
        <v>383</v>
      </c>
      <c r="G24" s="70" t="s">
        <v>383</v>
      </c>
      <c r="H24" s="70" t="s">
        <v>383</v>
      </c>
      <c r="I24" s="70" t="s">
        <v>383</v>
      </c>
      <c r="J24" s="70" t="s">
        <v>383</v>
      </c>
      <c r="K24" s="70" t="s">
        <v>383</v>
      </c>
      <c r="L24" s="70" t="s">
        <v>383</v>
      </c>
      <c r="M24" s="70" t="s">
        <v>383</v>
      </c>
      <c r="N24" s="70" t="s">
        <v>383</v>
      </c>
      <c r="O24" s="70" t="s">
        <v>383</v>
      </c>
      <c r="P24" s="70" t="s">
        <v>383</v>
      </c>
      <c r="Q24" s="70" t="s">
        <v>383</v>
      </c>
      <c r="R24" s="70" t="s">
        <v>383</v>
      </c>
      <c r="S24" s="70" t="s">
        <v>383</v>
      </c>
      <c r="T24" s="70" t="s">
        <v>383</v>
      </c>
      <c r="U24" s="70" t="s">
        <v>383</v>
      </c>
      <c r="V24" s="70" t="s">
        <v>383</v>
      </c>
      <c r="W24" s="70" t="s">
        <v>383</v>
      </c>
      <c r="X24" s="70" t="s">
        <v>383</v>
      </c>
      <c r="Y24" s="70" t="s">
        <v>383</v>
      </c>
      <c r="Z24" s="70" t="s">
        <v>383</v>
      </c>
      <c r="AA24" s="70" t="s">
        <v>383</v>
      </c>
      <c r="AB24" s="70" t="s">
        <v>383</v>
      </c>
      <c r="AC24" s="70" t="s">
        <v>383</v>
      </c>
      <c r="AD24" s="70" t="s">
        <v>383</v>
      </c>
      <c r="AE24" s="157" t="s">
        <v>383</v>
      </c>
    </row>
    <row r="25" spans="1:31" ht="15" customHeight="1" x14ac:dyDescent="0.25">
      <c r="A25" s="156">
        <v>24</v>
      </c>
      <c r="B25" s="17" t="s">
        <v>34</v>
      </c>
      <c r="C25" s="70">
        <v>40</v>
      </c>
      <c r="D25" s="70">
        <v>38</v>
      </c>
      <c r="E25" s="70">
        <v>39</v>
      </c>
      <c r="F25" s="70">
        <v>38</v>
      </c>
      <c r="G25" s="70">
        <v>39</v>
      </c>
      <c r="H25" s="70">
        <v>44</v>
      </c>
      <c r="I25" s="70">
        <v>42</v>
      </c>
      <c r="J25" s="70">
        <v>39</v>
      </c>
      <c r="K25" s="70">
        <v>40</v>
      </c>
      <c r="L25" s="70">
        <v>39</v>
      </c>
      <c r="M25" s="70">
        <v>38</v>
      </c>
      <c r="N25" s="70">
        <v>39</v>
      </c>
      <c r="O25" s="70">
        <v>42</v>
      </c>
      <c r="P25" s="70">
        <v>38</v>
      </c>
      <c r="Q25" s="70">
        <v>41</v>
      </c>
      <c r="R25" s="70">
        <v>38</v>
      </c>
      <c r="S25" s="70">
        <v>40</v>
      </c>
      <c r="T25" s="70">
        <v>39</v>
      </c>
      <c r="U25" s="70">
        <v>36</v>
      </c>
      <c r="V25" s="70">
        <v>38</v>
      </c>
      <c r="W25" s="70">
        <v>39</v>
      </c>
      <c r="X25" s="70">
        <v>40</v>
      </c>
      <c r="Y25" s="70">
        <v>39</v>
      </c>
      <c r="Z25" s="70">
        <v>33</v>
      </c>
      <c r="AA25" s="70">
        <v>36</v>
      </c>
      <c r="AB25" s="70">
        <v>33</v>
      </c>
      <c r="AC25" s="70">
        <v>36</v>
      </c>
      <c r="AD25" s="70">
        <v>38</v>
      </c>
      <c r="AE25" s="157">
        <v>38</v>
      </c>
    </row>
    <row r="26" spans="1:31" ht="15" customHeight="1" x14ac:dyDescent="0.25">
      <c r="A26" s="156">
        <v>25</v>
      </c>
      <c r="B26" s="17" t="s">
        <v>35</v>
      </c>
      <c r="C26" s="70" t="s">
        <v>383</v>
      </c>
      <c r="D26" s="70">
        <v>4</v>
      </c>
      <c r="E26" s="70">
        <v>5</v>
      </c>
      <c r="F26" s="70">
        <v>6</v>
      </c>
      <c r="G26" s="70">
        <v>5</v>
      </c>
      <c r="H26" s="70">
        <v>4</v>
      </c>
      <c r="I26" s="70" t="s">
        <v>383</v>
      </c>
      <c r="J26" s="70">
        <v>4</v>
      </c>
      <c r="K26" s="70">
        <v>5</v>
      </c>
      <c r="L26" s="70">
        <v>6</v>
      </c>
      <c r="M26" s="70">
        <v>6</v>
      </c>
      <c r="N26" s="70">
        <v>6</v>
      </c>
      <c r="O26" s="70">
        <v>7</v>
      </c>
      <c r="P26" s="70">
        <v>7</v>
      </c>
      <c r="Q26" s="70">
        <v>8</v>
      </c>
      <c r="R26" s="70">
        <v>9</v>
      </c>
      <c r="S26" s="70">
        <v>9</v>
      </c>
      <c r="T26" s="70">
        <v>10</v>
      </c>
      <c r="U26" s="70">
        <v>9</v>
      </c>
      <c r="V26" s="70">
        <v>9</v>
      </c>
      <c r="W26" s="70">
        <v>10</v>
      </c>
      <c r="X26" s="70">
        <v>11</v>
      </c>
      <c r="Y26" s="70">
        <v>10</v>
      </c>
      <c r="Z26" s="70">
        <v>10</v>
      </c>
      <c r="AA26" s="70">
        <v>11</v>
      </c>
      <c r="AB26" s="70">
        <v>11</v>
      </c>
      <c r="AC26" s="70">
        <v>13</v>
      </c>
      <c r="AD26" s="70">
        <v>15</v>
      </c>
      <c r="AE26" s="157">
        <v>15</v>
      </c>
    </row>
    <row r="27" spans="1:31" ht="15" customHeight="1" x14ac:dyDescent="0.25">
      <c r="A27" s="156">
        <v>26</v>
      </c>
      <c r="B27" s="17" t="s">
        <v>36</v>
      </c>
      <c r="C27" s="70">
        <v>20</v>
      </c>
      <c r="D27" s="70">
        <v>20</v>
      </c>
      <c r="E27" s="70">
        <v>27</v>
      </c>
      <c r="F27" s="70">
        <v>29</v>
      </c>
      <c r="G27" s="70">
        <v>31</v>
      </c>
      <c r="H27" s="70">
        <v>23</v>
      </c>
      <c r="I27" s="70">
        <v>27</v>
      </c>
      <c r="J27" s="70">
        <v>29</v>
      </c>
      <c r="K27" s="70">
        <v>31</v>
      </c>
      <c r="L27" s="70">
        <v>35</v>
      </c>
      <c r="M27" s="70">
        <v>36</v>
      </c>
      <c r="N27" s="70">
        <v>37</v>
      </c>
      <c r="O27" s="70">
        <v>40</v>
      </c>
      <c r="P27" s="70">
        <v>43</v>
      </c>
      <c r="Q27" s="70">
        <v>50</v>
      </c>
      <c r="R27" s="70">
        <v>49</v>
      </c>
      <c r="S27" s="70">
        <v>45</v>
      </c>
      <c r="T27" s="70">
        <v>46</v>
      </c>
      <c r="U27" s="70">
        <v>50</v>
      </c>
      <c r="V27" s="70">
        <v>46</v>
      </c>
      <c r="W27" s="70">
        <v>48</v>
      </c>
      <c r="X27" s="70">
        <v>43</v>
      </c>
      <c r="Y27" s="70">
        <v>40</v>
      </c>
      <c r="Z27" s="70">
        <v>40</v>
      </c>
      <c r="AA27" s="70">
        <v>40</v>
      </c>
      <c r="AB27" s="70">
        <v>37</v>
      </c>
      <c r="AC27" s="70">
        <v>38</v>
      </c>
      <c r="AD27" s="70">
        <v>38</v>
      </c>
      <c r="AE27" s="157">
        <v>38</v>
      </c>
    </row>
    <row r="28" spans="1:31" ht="15" customHeight="1" x14ac:dyDescent="0.25">
      <c r="A28" s="156">
        <v>27</v>
      </c>
      <c r="B28" s="17" t="s">
        <v>37</v>
      </c>
      <c r="C28" s="70">
        <v>7</v>
      </c>
      <c r="D28" s="70">
        <v>10</v>
      </c>
      <c r="E28" s="70">
        <v>9</v>
      </c>
      <c r="F28" s="70">
        <v>9</v>
      </c>
      <c r="G28" s="70">
        <v>8</v>
      </c>
      <c r="H28" s="70">
        <v>10</v>
      </c>
      <c r="I28" s="70">
        <v>12</v>
      </c>
      <c r="J28" s="70">
        <v>14</v>
      </c>
      <c r="K28" s="70">
        <v>15</v>
      </c>
      <c r="L28" s="70">
        <v>17</v>
      </c>
      <c r="M28" s="70">
        <v>17</v>
      </c>
      <c r="N28" s="70">
        <v>16</v>
      </c>
      <c r="O28" s="70">
        <v>17</v>
      </c>
      <c r="P28" s="70">
        <v>16</v>
      </c>
      <c r="Q28" s="70">
        <v>17</v>
      </c>
      <c r="R28" s="70">
        <v>15</v>
      </c>
      <c r="S28" s="70">
        <v>15</v>
      </c>
      <c r="T28" s="70">
        <v>15</v>
      </c>
      <c r="U28" s="70">
        <v>15</v>
      </c>
      <c r="V28" s="70">
        <v>14</v>
      </c>
      <c r="W28" s="70">
        <v>14</v>
      </c>
      <c r="X28" s="70">
        <v>14</v>
      </c>
      <c r="Y28" s="70">
        <v>14</v>
      </c>
      <c r="Z28" s="70">
        <v>15</v>
      </c>
      <c r="AA28" s="70">
        <v>15</v>
      </c>
      <c r="AB28" s="70">
        <v>15</v>
      </c>
      <c r="AC28" s="70">
        <v>14</v>
      </c>
      <c r="AD28" s="70">
        <v>14</v>
      </c>
      <c r="AE28" s="157">
        <v>15</v>
      </c>
    </row>
    <row r="29" spans="1:31" ht="15" customHeight="1" x14ac:dyDescent="0.25">
      <c r="A29" s="156">
        <v>28</v>
      </c>
      <c r="B29" s="17" t="s">
        <v>38</v>
      </c>
      <c r="C29" s="70">
        <v>39</v>
      </c>
      <c r="D29" s="70">
        <v>38</v>
      </c>
      <c r="E29" s="70">
        <v>47</v>
      </c>
      <c r="F29" s="70">
        <v>51</v>
      </c>
      <c r="G29" s="70">
        <v>52</v>
      </c>
      <c r="H29" s="70">
        <v>53</v>
      </c>
      <c r="I29" s="70">
        <v>52</v>
      </c>
      <c r="J29" s="70">
        <v>56</v>
      </c>
      <c r="K29" s="70">
        <v>65</v>
      </c>
      <c r="L29" s="70">
        <v>81</v>
      </c>
      <c r="M29" s="70">
        <v>89</v>
      </c>
      <c r="N29" s="70">
        <v>90</v>
      </c>
      <c r="O29" s="70">
        <v>97</v>
      </c>
      <c r="P29" s="70">
        <v>92</v>
      </c>
      <c r="Q29" s="70">
        <v>86</v>
      </c>
      <c r="R29" s="70">
        <v>86</v>
      </c>
      <c r="S29" s="70">
        <v>86</v>
      </c>
      <c r="T29" s="70">
        <v>90</v>
      </c>
      <c r="U29" s="70">
        <v>94</v>
      </c>
      <c r="V29" s="70">
        <v>87</v>
      </c>
      <c r="W29" s="70">
        <v>91</v>
      </c>
      <c r="X29" s="70">
        <v>89</v>
      </c>
      <c r="Y29" s="70">
        <v>89</v>
      </c>
      <c r="Z29" s="70">
        <v>82</v>
      </c>
      <c r="AA29" s="70">
        <v>89</v>
      </c>
      <c r="AB29" s="70">
        <v>84</v>
      </c>
      <c r="AC29" s="70">
        <v>97</v>
      </c>
      <c r="AD29" s="70">
        <v>98</v>
      </c>
      <c r="AE29" s="157">
        <v>95</v>
      </c>
    </row>
    <row r="30" spans="1:31" ht="15" customHeight="1" x14ac:dyDescent="0.25">
      <c r="A30" s="156">
        <v>29</v>
      </c>
      <c r="B30" s="17" t="s">
        <v>39</v>
      </c>
      <c r="C30" s="70">
        <v>10</v>
      </c>
      <c r="D30" s="70">
        <v>11</v>
      </c>
      <c r="E30" s="70">
        <v>15</v>
      </c>
      <c r="F30" s="70">
        <v>14</v>
      </c>
      <c r="G30" s="70">
        <v>14</v>
      </c>
      <c r="H30" s="70">
        <v>13</v>
      </c>
      <c r="I30" s="70">
        <v>14</v>
      </c>
      <c r="J30" s="70">
        <v>13</v>
      </c>
      <c r="K30" s="70">
        <v>16</v>
      </c>
      <c r="L30" s="70">
        <v>17</v>
      </c>
      <c r="M30" s="70">
        <v>21</v>
      </c>
      <c r="N30" s="70">
        <v>23</v>
      </c>
      <c r="O30" s="70">
        <v>26</v>
      </c>
      <c r="P30" s="70">
        <v>24</v>
      </c>
      <c r="Q30" s="70">
        <v>25</v>
      </c>
      <c r="R30" s="70">
        <v>22</v>
      </c>
      <c r="S30" s="70">
        <v>22</v>
      </c>
      <c r="T30" s="70">
        <v>23</v>
      </c>
      <c r="U30" s="70">
        <v>22</v>
      </c>
      <c r="V30" s="70">
        <v>23</v>
      </c>
      <c r="W30" s="70">
        <v>23</v>
      </c>
      <c r="X30" s="70">
        <v>22</v>
      </c>
      <c r="Y30" s="70">
        <v>22</v>
      </c>
      <c r="Z30" s="70">
        <v>23</v>
      </c>
      <c r="AA30" s="70">
        <v>21</v>
      </c>
      <c r="AB30" s="70">
        <v>18</v>
      </c>
      <c r="AC30" s="70">
        <v>16</v>
      </c>
      <c r="AD30" s="70">
        <v>18</v>
      </c>
      <c r="AE30" s="157">
        <v>20</v>
      </c>
    </row>
    <row r="31" spans="1:31" ht="15" customHeight="1" x14ac:dyDescent="0.25">
      <c r="A31" s="156">
        <v>30</v>
      </c>
      <c r="B31" s="17" t="s">
        <v>40</v>
      </c>
      <c r="C31" s="70" t="s">
        <v>383</v>
      </c>
      <c r="D31" s="70" t="s">
        <v>383</v>
      </c>
      <c r="E31" s="70" t="s">
        <v>383</v>
      </c>
      <c r="F31" s="70" t="s">
        <v>383</v>
      </c>
      <c r="G31" s="70" t="s">
        <v>383</v>
      </c>
      <c r="H31" s="70" t="s">
        <v>383</v>
      </c>
      <c r="I31" s="70" t="s">
        <v>383</v>
      </c>
      <c r="J31" s="70" t="s">
        <v>383</v>
      </c>
      <c r="K31" s="70" t="s">
        <v>383</v>
      </c>
      <c r="L31" s="70" t="s">
        <v>383</v>
      </c>
      <c r="M31" s="70" t="s">
        <v>383</v>
      </c>
      <c r="N31" s="70" t="s">
        <v>383</v>
      </c>
      <c r="O31" s="70" t="s">
        <v>383</v>
      </c>
      <c r="P31" s="70" t="s">
        <v>383</v>
      </c>
      <c r="Q31" s="70" t="s">
        <v>383</v>
      </c>
      <c r="R31" s="70" t="s">
        <v>383</v>
      </c>
      <c r="S31" s="70" t="s">
        <v>383</v>
      </c>
      <c r="T31" s="70" t="s">
        <v>383</v>
      </c>
      <c r="U31" s="70" t="s">
        <v>383</v>
      </c>
      <c r="V31" s="70" t="s">
        <v>383</v>
      </c>
      <c r="W31" s="70" t="s">
        <v>383</v>
      </c>
      <c r="X31" s="70" t="s">
        <v>383</v>
      </c>
      <c r="Y31" s="70" t="s">
        <v>383</v>
      </c>
      <c r="Z31" s="70" t="s">
        <v>383</v>
      </c>
      <c r="AA31" s="70" t="s">
        <v>383</v>
      </c>
      <c r="AB31" s="70" t="s">
        <v>383</v>
      </c>
      <c r="AC31" s="70" t="s">
        <v>383</v>
      </c>
      <c r="AD31" s="70" t="s">
        <v>383</v>
      </c>
      <c r="AE31" s="157" t="s">
        <v>383</v>
      </c>
    </row>
    <row r="32" spans="1:31" ht="15" customHeight="1" x14ac:dyDescent="0.25">
      <c r="A32" s="156">
        <v>31</v>
      </c>
      <c r="B32" s="17" t="s">
        <v>41</v>
      </c>
      <c r="C32" s="70" t="s">
        <v>383</v>
      </c>
      <c r="D32" s="70" t="s">
        <v>383</v>
      </c>
      <c r="E32" s="70" t="s">
        <v>383</v>
      </c>
      <c r="F32" s="70" t="s">
        <v>383</v>
      </c>
      <c r="G32" s="70" t="s">
        <v>383</v>
      </c>
      <c r="H32" s="70" t="s">
        <v>383</v>
      </c>
      <c r="I32" s="70" t="s">
        <v>383</v>
      </c>
      <c r="J32" s="70" t="s">
        <v>383</v>
      </c>
      <c r="K32" s="70">
        <v>4</v>
      </c>
      <c r="L32" s="70">
        <v>4</v>
      </c>
      <c r="M32" s="70">
        <v>5</v>
      </c>
      <c r="N32" s="70" t="s">
        <v>383</v>
      </c>
      <c r="O32" s="70" t="s">
        <v>383</v>
      </c>
      <c r="P32" s="70" t="s">
        <v>383</v>
      </c>
      <c r="Q32" s="70">
        <v>4</v>
      </c>
      <c r="R32" s="70">
        <v>5</v>
      </c>
      <c r="S32" s="70">
        <v>4</v>
      </c>
      <c r="T32" s="70">
        <v>5</v>
      </c>
      <c r="U32" s="70">
        <v>4</v>
      </c>
      <c r="V32" s="70">
        <v>4</v>
      </c>
      <c r="W32" s="70" t="s">
        <v>383</v>
      </c>
      <c r="X32" s="70" t="s">
        <v>383</v>
      </c>
      <c r="Y32" s="70" t="s">
        <v>383</v>
      </c>
      <c r="Z32" s="70" t="s">
        <v>383</v>
      </c>
      <c r="AA32" s="70" t="s">
        <v>383</v>
      </c>
      <c r="AB32" s="70" t="s">
        <v>383</v>
      </c>
      <c r="AC32" s="70" t="s">
        <v>383</v>
      </c>
      <c r="AD32" s="70" t="s">
        <v>383</v>
      </c>
      <c r="AE32" s="157" t="s">
        <v>383</v>
      </c>
    </row>
    <row r="33" spans="1:32" ht="15" customHeight="1" x14ac:dyDescent="0.25">
      <c r="A33" s="156">
        <v>32</v>
      </c>
      <c r="B33" s="17" t="s">
        <v>42</v>
      </c>
      <c r="C33" s="70" t="s">
        <v>383</v>
      </c>
      <c r="D33" s="70" t="s">
        <v>383</v>
      </c>
      <c r="E33" s="70" t="s">
        <v>383</v>
      </c>
      <c r="F33" s="70" t="s">
        <v>383</v>
      </c>
      <c r="G33" s="70" t="s">
        <v>383</v>
      </c>
      <c r="H33" s="70" t="s">
        <v>383</v>
      </c>
      <c r="I33" s="70" t="s">
        <v>383</v>
      </c>
      <c r="J33" s="70" t="s">
        <v>383</v>
      </c>
      <c r="K33" s="70" t="s">
        <v>383</v>
      </c>
      <c r="L33" s="70" t="s">
        <v>383</v>
      </c>
      <c r="M33" s="70" t="s">
        <v>383</v>
      </c>
      <c r="N33" s="70" t="s">
        <v>383</v>
      </c>
      <c r="O33" s="70" t="s">
        <v>383</v>
      </c>
      <c r="P33" s="70" t="s">
        <v>383</v>
      </c>
      <c r="Q33" s="70" t="s">
        <v>383</v>
      </c>
      <c r="R33" s="70" t="s">
        <v>383</v>
      </c>
      <c r="S33" s="70" t="s">
        <v>383</v>
      </c>
      <c r="T33" s="70" t="s">
        <v>383</v>
      </c>
      <c r="U33" s="70" t="s">
        <v>383</v>
      </c>
      <c r="V33" s="70" t="s">
        <v>383</v>
      </c>
      <c r="W33" s="70" t="s">
        <v>383</v>
      </c>
      <c r="X33" s="70" t="s">
        <v>383</v>
      </c>
      <c r="Y33" s="70" t="s">
        <v>383</v>
      </c>
      <c r="Z33" s="70" t="s">
        <v>383</v>
      </c>
      <c r="AA33" s="70" t="s">
        <v>383</v>
      </c>
      <c r="AB33" s="70" t="s">
        <v>383</v>
      </c>
      <c r="AC33" s="70" t="s">
        <v>383</v>
      </c>
      <c r="AD33" s="70" t="s">
        <v>383</v>
      </c>
      <c r="AE33" s="157" t="s">
        <v>383</v>
      </c>
    </row>
    <row r="34" spans="1:32" ht="15" customHeight="1" x14ac:dyDescent="0.25">
      <c r="A34" s="156">
        <v>33</v>
      </c>
      <c r="B34" s="17" t="s">
        <v>43</v>
      </c>
      <c r="C34" s="70" t="s">
        <v>383</v>
      </c>
      <c r="D34" s="70" t="s">
        <v>383</v>
      </c>
      <c r="E34" s="70" t="s">
        <v>383</v>
      </c>
      <c r="F34" s="70" t="s">
        <v>383</v>
      </c>
      <c r="G34" s="70" t="s">
        <v>383</v>
      </c>
      <c r="H34" s="70" t="s">
        <v>383</v>
      </c>
      <c r="I34" s="70" t="s">
        <v>383</v>
      </c>
      <c r="J34" s="70" t="s">
        <v>383</v>
      </c>
      <c r="K34" s="70" t="s">
        <v>383</v>
      </c>
      <c r="L34" s="70" t="s">
        <v>383</v>
      </c>
      <c r="M34" s="70" t="s">
        <v>383</v>
      </c>
      <c r="N34" s="70" t="s">
        <v>383</v>
      </c>
      <c r="O34" s="70" t="s">
        <v>383</v>
      </c>
      <c r="P34" s="70" t="s">
        <v>383</v>
      </c>
      <c r="Q34" s="70" t="s">
        <v>383</v>
      </c>
      <c r="R34" s="70" t="s">
        <v>383</v>
      </c>
      <c r="S34" s="70" t="s">
        <v>383</v>
      </c>
      <c r="T34" s="70" t="s">
        <v>383</v>
      </c>
      <c r="U34" s="70" t="s">
        <v>383</v>
      </c>
      <c r="V34" s="70" t="s">
        <v>383</v>
      </c>
      <c r="W34" s="70" t="s">
        <v>383</v>
      </c>
      <c r="X34" s="70" t="s">
        <v>383</v>
      </c>
      <c r="Y34" s="70" t="s">
        <v>383</v>
      </c>
      <c r="Z34" s="70" t="s">
        <v>383</v>
      </c>
      <c r="AA34" s="70" t="s">
        <v>383</v>
      </c>
      <c r="AB34" s="70" t="s">
        <v>383</v>
      </c>
      <c r="AC34" s="70" t="s">
        <v>383</v>
      </c>
      <c r="AD34" s="70" t="s">
        <v>383</v>
      </c>
      <c r="AE34" s="157" t="s">
        <v>383</v>
      </c>
    </row>
    <row r="35" spans="1:32" ht="15" customHeight="1" x14ac:dyDescent="0.25">
      <c r="A35" s="156">
        <v>34</v>
      </c>
      <c r="B35" s="17" t="s">
        <v>44</v>
      </c>
      <c r="C35" s="70" t="s">
        <v>383</v>
      </c>
      <c r="D35" s="70">
        <v>4</v>
      </c>
      <c r="E35" s="70" t="s">
        <v>383</v>
      </c>
      <c r="F35" s="70">
        <v>4</v>
      </c>
      <c r="G35" s="70">
        <v>5</v>
      </c>
      <c r="H35" s="70" t="s">
        <v>383</v>
      </c>
      <c r="I35" s="70" t="s">
        <v>383</v>
      </c>
      <c r="J35" s="70" t="s">
        <v>383</v>
      </c>
      <c r="K35" s="70">
        <v>4</v>
      </c>
      <c r="L35" s="70">
        <v>4</v>
      </c>
      <c r="M35" s="70">
        <v>4</v>
      </c>
      <c r="N35" s="70">
        <v>6</v>
      </c>
      <c r="O35" s="70">
        <v>6</v>
      </c>
      <c r="P35" s="70">
        <v>4</v>
      </c>
      <c r="Q35" s="70">
        <v>4</v>
      </c>
      <c r="R35" s="70">
        <v>4</v>
      </c>
      <c r="S35" s="70" t="s">
        <v>383</v>
      </c>
      <c r="T35" s="70">
        <v>4</v>
      </c>
      <c r="U35" s="70">
        <v>5</v>
      </c>
      <c r="V35" s="70">
        <v>5</v>
      </c>
      <c r="W35" s="70">
        <v>5</v>
      </c>
      <c r="X35" s="70">
        <v>4</v>
      </c>
      <c r="Y35" s="70">
        <v>4</v>
      </c>
      <c r="Z35" s="70">
        <v>4</v>
      </c>
      <c r="AA35" s="70">
        <v>4</v>
      </c>
      <c r="AB35" s="70">
        <v>5</v>
      </c>
      <c r="AC35" s="70" t="s">
        <v>383</v>
      </c>
      <c r="AD35" s="70">
        <v>5</v>
      </c>
      <c r="AE35" s="157">
        <v>6</v>
      </c>
    </row>
    <row r="36" spans="1:32" ht="15" customHeight="1" x14ac:dyDescent="0.25">
      <c r="A36" s="156">
        <v>35</v>
      </c>
      <c r="B36" s="17" t="s">
        <v>45</v>
      </c>
      <c r="C36" s="70" t="s">
        <v>383</v>
      </c>
      <c r="D36" s="70" t="s">
        <v>383</v>
      </c>
      <c r="E36" s="70" t="s">
        <v>383</v>
      </c>
      <c r="F36" s="70">
        <v>8</v>
      </c>
      <c r="G36" s="70">
        <v>8</v>
      </c>
      <c r="H36" s="70">
        <v>13</v>
      </c>
      <c r="I36" s="70">
        <v>16</v>
      </c>
      <c r="J36" s="70">
        <v>18</v>
      </c>
      <c r="K36" s="70">
        <v>20</v>
      </c>
      <c r="L36" s="70">
        <v>18</v>
      </c>
      <c r="M36" s="70">
        <v>17</v>
      </c>
      <c r="N36" s="70">
        <v>19</v>
      </c>
      <c r="O36" s="70">
        <v>18</v>
      </c>
      <c r="P36" s="70">
        <v>18</v>
      </c>
      <c r="Q36" s="70">
        <v>15</v>
      </c>
      <c r="R36" s="70">
        <v>15</v>
      </c>
      <c r="S36" s="70">
        <v>16</v>
      </c>
      <c r="T36" s="70">
        <v>15</v>
      </c>
      <c r="U36" s="70">
        <v>14</v>
      </c>
      <c r="V36" s="70">
        <v>14</v>
      </c>
      <c r="W36" s="70">
        <v>12</v>
      </c>
      <c r="X36" s="70">
        <v>15</v>
      </c>
      <c r="Y36" s="70">
        <v>23</v>
      </c>
      <c r="Z36" s="70">
        <v>25</v>
      </c>
      <c r="AA36" s="70">
        <v>26</v>
      </c>
      <c r="AB36" s="70">
        <v>31</v>
      </c>
      <c r="AC36" s="70">
        <v>31</v>
      </c>
      <c r="AD36" s="70">
        <v>34</v>
      </c>
      <c r="AE36" s="157">
        <v>33</v>
      </c>
    </row>
    <row r="37" spans="1:32" ht="15" customHeight="1" x14ac:dyDescent="0.25">
      <c r="A37" s="156">
        <v>36</v>
      </c>
      <c r="B37" s="17" t="s">
        <v>46</v>
      </c>
      <c r="C37" s="70">
        <v>7</v>
      </c>
      <c r="D37" s="70">
        <v>10</v>
      </c>
      <c r="E37" s="70">
        <v>11</v>
      </c>
      <c r="F37" s="70">
        <v>13</v>
      </c>
      <c r="G37" s="70">
        <v>16</v>
      </c>
      <c r="H37" s="70">
        <v>14</v>
      </c>
      <c r="I37" s="70">
        <v>11</v>
      </c>
      <c r="J37" s="70">
        <v>12</v>
      </c>
      <c r="K37" s="70">
        <v>14</v>
      </c>
      <c r="L37" s="70">
        <v>16</v>
      </c>
      <c r="M37" s="70">
        <v>17</v>
      </c>
      <c r="N37" s="70">
        <v>18</v>
      </c>
      <c r="O37" s="70">
        <v>17</v>
      </c>
      <c r="P37" s="70">
        <v>20</v>
      </c>
      <c r="Q37" s="70">
        <v>28</v>
      </c>
      <c r="R37" s="70">
        <v>28</v>
      </c>
      <c r="S37" s="70">
        <v>27</v>
      </c>
      <c r="T37" s="70">
        <v>30</v>
      </c>
      <c r="U37" s="70">
        <v>32</v>
      </c>
      <c r="V37" s="70">
        <v>26</v>
      </c>
      <c r="W37" s="70">
        <v>23</v>
      </c>
      <c r="X37" s="70">
        <v>24</v>
      </c>
      <c r="Y37" s="70">
        <v>26</v>
      </c>
      <c r="Z37" s="70">
        <v>23</v>
      </c>
      <c r="AA37" s="70">
        <v>19</v>
      </c>
      <c r="AB37" s="70">
        <v>19</v>
      </c>
      <c r="AC37" s="70">
        <v>26</v>
      </c>
      <c r="AD37" s="70">
        <v>26</v>
      </c>
      <c r="AE37" s="157">
        <v>27</v>
      </c>
    </row>
    <row r="38" spans="1:32" ht="15" customHeight="1" thickBot="1" x14ac:dyDescent="0.3">
      <c r="A38" s="152">
        <v>37</v>
      </c>
      <c r="B38" s="15" t="s">
        <v>47</v>
      </c>
      <c r="C38" s="68" t="s">
        <v>383</v>
      </c>
      <c r="D38" s="68" t="s">
        <v>383</v>
      </c>
      <c r="E38" s="68" t="s">
        <v>383</v>
      </c>
      <c r="F38" s="68" t="s">
        <v>383</v>
      </c>
      <c r="G38" s="68" t="s">
        <v>383</v>
      </c>
      <c r="H38" s="68" t="s">
        <v>383</v>
      </c>
      <c r="I38" s="68">
        <v>4</v>
      </c>
      <c r="J38" s="68">
        <v>4</v>
      </c>
      <c r="K38" s="68">
        <v>4</v>
      </c>
      <c r="L38" s="68">
        <v>5</v>
      </c>
      <c r="M38" s="68">
        <v>6</v>
      </c>
      <c r="N38" s="68">
        <v>7</v>
      </c>
      <c r="O38" s="68">
        <v>6</v>
      </c>
      <c r="P38" s="68">
        <v>6</v>
      </c>
      <c r="Q38" s="68">
        <v>7</v>
      </c>
      <c r="R38" s="68">
        <v>8</v>
      </c>
      <c r="S38" s="68">
        <v>7</v>
      </c>
      <c r="T38" s="68">
        <v>8</v>
      </c>
      <c r="U38" s="68">
        <v>7</v>
      </c>
      <c r="V38" s="68">
        <v>8</v>
      </c>
      <c r="W38" s="68">
        <v>8</v>
      </c>
      <c r="X38" s="68">
        <v>9</v>
      </c>
      <c r="Y38" s="68">
        <v>8</v>
      </c>
      <c r="Z38" s="68">
        <v>8</v>
      </c>
      <c r="AA38" s="68">
        <v>8</v>
      </c>
      <c r="AB38" s="68">
        <v>7</v>
      </c>
      <c r="AC38" s="68">
        <v>8</v>
      </c>
      <c r="AD38" s="68">
        <v>7</v>
      </c>
      <c r="AE38" s="153">
        <v>6</v>
      </c>
    </row>
    <row r="39" spans="1:32" s="11" customFormat="1" ht="15" customHeight="1" thickBot="1" x14ac:dyDescent="0.3">
      <c r="A39" s="144" t="s">
        <v>48</v>
      </c>
      <c r="B39" s="9" t="s">
        <v>49</v>
      </c>
      <c r="C39" s="64">
        <v>39</v>
      </c>
      <c r="D39" s="64">
        <v>36</v>
      </c>
      <c r="E39" s="64">
        <v>38</v>
      </c>
      <c r="F39" s="64">
        <v>41</v>
      </c>
      <c r="G39" s="64">
        <v>40</v>
      </c>
      <c r="H39" s="64">
        <v>38</v>
      </c>
      <c r="I39" s="64">
        <v>39</v>
      </c>
      <c r="J39" s="64">
        <v>40</v>
      </c>
      <c r="K39" s="64">
        <v>40</v>
      </c>
      <c r="L39" s="64">
        <v>42</v>
      </c>
      <c r="M39" s="64">
        <v>44</v>
      </c>
      <c r="N39" s="64">
        <v>46</v>
      </c>
      <c r="O39" s="64">
        <v>47</v>
      </c>
      <c r="P39" s="64">
        <v>48</v>
      </c>
      <c r="Q39" s="64">
        <v>47</v>
      </c>
      <c r="R39" s="64">
        <v>48</v>
      </c>
      <c r="S39" s="64">
        <v>48</v>
      </c>
      <c r="T39" s="64">
        <v>48</v>
      </c>
      <c r="U39" s="64">
        <v>45</v>
      </c>
      <c r="V39" s="64">
        <v>45</v>
      </c>
      <c r="W39" s="64">
        <v>47</v>
      </c>
      <c r="X39" s="64">
        <v>49</v>
      </c>
      <c r="Y39" s="64">
        <v>49</v>
      </c>
      <c r="Z39" s="64">
        <v>49</v>
      </c>
      <c r="AA39" s="64">
        <v>49</v>
      </c>
      <c r="AB39" s="64">
        <v>49</v>
      </c>
      <c r="AC39" s="64">
        <v>50</v>
      </c>
      <c r="AD39" s="64">
        <v>50</v>
      </c>
      <c r="AE39" s="145">
        <v>49</v>
      </c>
      <c r="AF39" s="10"/>
    </row>
    <row r="40" spans="1:32" ht="15" customHeight="1" x14ac:dyDescent="0.25">
      <c r="A40" s="146">
        <v>40</v>
      </c>
      <c r="B40" s="12" t="s">
        <v>50</v>
      </c>
      <c r="C40" s="65" t="s">
        <v>383</v>
      </c>
      <c r="D40" s="65" t="s">
        <v>383</v>
      </c>
      <c r="E40" s="65" t="s">
        <v>383</v>
      </c>
      <c r="F40" s="65" t="s">
        <v>383</v>
      </c>
      <c r="G40" s="65" t="s">
        <v>383</v>
      </c>
      <c r="H40" s="65" t="s">
        <v>383</v>
      </c>
      <c r="I40" s="65" t="s">
        <v>383</v>
      </c>
      <c r="J40" s="65" t="s">
        <v>383</v>
      </c>
      <c r="K40" s="65" t="s">
        <v>383</v>
      </c>
      <c r="L40" s="65" t="s">
        <v>383</v>
      </c>
      <c r="M40" s="65" t="s">
        <v>383</v>
      </c>
      <c r="N40" s="65" t="s">
        <v>383</v>
      </c>
      <c r="O40" s="65" t="s">
        <v>383</v>
      </c>
      <c r="P40" s="65" t="s">
        <v>383</v>
      </c>
      <c r="Q40" s="65" t="s">
        <v>383</v>
      </c>
      <c r="R40" s="65" t="s">
        <v>383</v>
      </c>
      <c r="S40" s="65" t="s">
        <v>383</v>
      </c>
      <c r="T40" s="65" t="s">
        <v>383</v>
      </c>
      <c r="U40" s="65" t="s">
        <v>383</v>
      </c>
      <c r="V40" s="65" t="s">
        <v>383</v>
      </c>
      <c r="W40" s="65" t="s">
        <v>383</v>
      </c>
      <c r="X40" s="65" t="s">
        <v>383</v>
      </c>
      <c r="Y40" s="65" t="s">
        <v>383</v>
      </c>
      <c r="Z40" s="65" t="s">
        <v>383</v>
      </c>
      <c r="AA40" s="65" t="s">
        <v>383</v>
      </c>
      <c r="AB40" s="65" t="s">
        <v>383</v>
      </c>
      <c r="AC40" s="65" t="s">
        <v>383</v>
      </c>
      <c r="AD40" s="65" t="s">
        <v>383</v>
      </c>
      <c r="AE40" s="147" t="s">
        <v>383</v>
      </c>
    </row>
    <row r="41" spans="1:32" ht="15" customHeight="1" thickBot="1" x14ac:dyDescent="0.3">
      <c r="A41" s="158">
        <v>41</v>
      </c>
      <c r="B41" s="18" t="s">
        <v>51</v>
      </c>
      <c r="C41" s="71" t="s">
        <v>383</v>
      </c>
      <c r="D41" s="71" t="s">
        <v>383</v>
      </c>
      <c r="E41" s="71" t="s">
        <v>383</v>
      </c>
      <c r="F41" s="71" t="s">
        <v>383</v>
      </c>
      <c r="G41" s="71" t="s">
        <v>383</v>
      </c>
      <c r="H41" s="71" t="s">
        <v>383</v>
      </c>
      <c r="I41" s="71" t="s">
        <v>383</v>
      </c>
      <c r="J41" s="71" t="s">
        <v>383</v>
      </c>
      <c r="K41" s="71" t="s">
        <v>383</v>
      </c>
      <c r="L41" s="71" t="s">
        <v>383</v>
      </c>
      <c r="M41" s="71" t="s">
        <v>383</v>
      </c>
      <c r="N41" s="71" t="s">
        <v>383</v>
      </c>
      <c r="O41" s="71" t="s">
        <v>383</v>
      </c>
      <c r="P41" s="71" t="s">
        <v>383</v>
      </c>
      <c r="Q41" s="71" t="s">
        <v>383</v>
      </c>
      <c r="R41" s="71" t="s">
        <v>383</v>
      </c>
      <c r="S41" s="71" t="s">
        <v>383</v>
      </c>
      <c r="T41" s="71" t="s">
        <v>383</v>
      </c>
      <c r="U41" s="71" t="s">
        <v>383</v>
      </c>
      <c r="V41" s="71" t="s">
        <v>383</v>
      </c>
      <c r="W41" s="71" t="s">
        <v>383</v>
      </c>
      <c r="X41" s="71" t="s">
        <v>383</v>
      </c>
      <c r="Y41" s="71" t="s">
        <v>383</v>
      </c>
      <c r="Z41" s="71" t="s">
        <v>383</v>
      </c>
      <c r="AA41" s="71" t="s">
        <v>383</v>
      </c>
      <c r="AB41" s="71" t="s">
        <v>383</v>
      </c>
      <c r="AC41" s="71" t="s">
        <v>383</v>
      </c>
      <c r="AD41" s="71" t="s">
        <v>383</v>
      </c>
      <c r="AE41" s="159" t="s">
        <v>383</v>
      </c>
    </row>
    <row r="42" spans="1:32" s="11" customFormat="1" ht="15" customHeight="1" thickBot="1" x14ac:dyDescent="0.3">
      <c r="A42" s="160" t="s">
        <v>52</v>
      </c>
      <c r="B42" s="19" t="s">
        <v>53</v>
      </c>
      <c r="C42" s="64">
        <v>206</v>
      </c>
      <c r="D42" s="64">
        <v>209</v>
      </c>
      <c r="E42" s="64">
        <v>276</v>
      </c>
      <c r="F42" s="64">
        <v>277</v>
      </c>
      <c r="G42" s="64">
        <v>320</v>
      </c>
      <c r="H42" s="64">
        <v>279</v>
      </c>
      <c r="I42" s="64">
        <v>250</v>
      </c>
      <c r="J42" s="64">
        <v>298</v>
      </c>
      <c r="K42" s="64">
        <v>361</v>
      </c>
      <c r="L42" s="64">
        <v>442</v>
      </c>
      <c r="M42" s="64">
        <v>488</v>
      </c>
      <c r="N42" s="64">
        <v>539</v>
      </c>
      <c r="O42" s="64">
        <v>564</v>
      </c>
      <c r="P42" s="64">
        <v>533</v>
      </c>
      <c r="Q42" s="64">
        <v>549</v>
      </c>
      <c r="R42" s="64">
        <v>565</v>
      </c>
      <c r="S42" s="64">
        <v>559</v>
      </c>
      <c r="T42" s="64">
        <v>554</v>
      </c>
      <c r="U42" s="64">
        <v>572</v>
      </c>
      <c r="V42" s="64">
        <v>557</v>
      </c>
      <c r="W42" s="64">
        <v>515</v>
      </c>
      <c r="X42" s="64">
        <v>530</v>
      </c>
      <c r="Y42" s="64">
        <v>490</v>
      </c>
      <c r="Z42" s="64">
        <v>471</v>
      </c>
      <c r="AA42" s="64">
        <v>457</v>
      </c>
      <c r="AB42" s="64">
        <v>443</v>
      </c>
      <c r="AC42" s="64">
        <v>452</v>
      </c>
      <c r="AD42" s="64">
        <v>429</v>
      </c>
      <c r="AE42" s="145">
        <v>401</v>
      </c>
      <c r="AF42" s="10"/>
    </row>
    <row r="43" spans="1:32" ht="15" customHeight="1" thickBot="1" x14ac:dyDescent="0.3">
      <c r="A43" s="150">
        <v>45</v>
      </c>
      <c r="B43" s="14" t="s">
        <v>54</v>
      </c>
      <c r="C43" s="67">
        <v>206</v>
      </c>
      <c r="D43" s="67">
        <v>209</v>
      </c>
      <c r="E43" s="67">
        <v>276</v>
      </c>
      <c r="F43" s="67">
        <v>277</v>
      </c>
      <c r="G43" s="67">
        <v>320</v>
      </c>
      <c r="H43" s="67">
        <v>279</v>
      </c>
      <c r="I43" s="67">
        <v>250</v>
      </c>
      <c r="J43" s="67">
        <v>298</v>
      </c>
      <c r="K43" s="67">
        <v>361</v>
      </c>
      <c r="L43" s="67">
        <v>442</v>
      </c>
      <c r="M43" s="67">
        <v>488</v>
      </c>
      <c r="N43" s="67">
        <v>539</v>
      </c>
      <c r="O43" s="67">
        <v>564</v>
      </c>
      <c r="P43" s="67">
        <v>533</v>
      </c>
      <c r="Q43" s="67">
        <v>549</v>
      </c>
      <c r="R43" s="67">
        <v>565</v>
      </c>
      <c r="S43" s="67">
        <v>559</v>
      </c>
      <c r="T43" s="67">
        <v>554</v>
      </c>
      <c r="U43" s="67">
        <v>572</v>
      </c>
      <c r="V43" s="67">
        <v>557</v>
      </c>
      <c r="W43" s="67">
        <v>515</v>
      </c>
      <c r="X43" s="67">
        <v>530</v>
      </c>
      <c r="Y43" s="67">
        <v>490</v>
      </c>
      <c r="Z43" s="67">
        <v>471</v>
      </c>
      <c r="AA43" s="67">
        <v>457</v>
      </c>
      <c r="AB43" s="67">
        <v>443</v>
      </c>
      <c r="AC43" s="67">
        <v>452</v>
      </c>
      <c r="AD43" s="67">
        <v>429</v>
      </c>
      <c r="AE43" s="151">
        <v>401</v>
      </c>
    </row>
    <row r="44" spans="1:32" s="11" customFormat="1" ht="15" customHeight="1" thickBot="1" x14ac:dyDescent="0.3">
      <c r="A44" s="144" t="s">
        <v>55</v>
      </c>
      <c r="B44" s="9" t="s">
        <v>56</v>
      </c>
      <c r="C44" s="64">
        <v>973</v>
      </c>
      <c r="D44" s="64">
        <v>979</v>
      </c>
      <c r="E44" s="64">
        <v>1196</v>
      </c>
      <c r="F44" s="64">
        <v>1311</v>
      </c>
      <c r="G44" s="64">
        <v>1457</v>
      </c>
      <c r="H44" s="64">
        <v>1375</v>
      </c>
      <c r="I44" s="64">
        <v>1274</v>
      </c>
      <c r="J44" s="64">
        <v>1450</v>
      </c>
      <c r="K44" s="64">
        <v>1695</v>
      </c>
      <c r="L44" s="64">
        <v>1849</v>
      </c>
      <c r="M44" s="64">
        <v>1997</v>
      </c>
      <c r="N44" s="64">
        <v>2103</v>
      </c>
      <c r="O44" s="64">
        <v>2251</v>
      </c>
      <c r="P44" s="64">
        <v>2392</v>
      </c>
      <c r="Q44" s="64">
        <v>2456</v>
      </c>
      <c r="R44" s="64">
        <v>2547</v>
      </c>
      <c r="S44" s="64">
        <v>2623</v>
      </c>
      <c r="T44" s="64">
        <v>2652</v>
      </c>
      <c r="U44" s="64">
        <v>2696</v>
      </c>
      <c r="V44" s="64">
        <v>2824</v>
      </c>
      <c r="W44" s="64">
        <v>2855</v>
      </c>
      <c r="X44" s="64">
        <v>2848</v>
      </c>
      <c r="Y44" s="64">
        <v>2753</v>
      </c>
      <c r="Z44" s="64">
        <v>2690</v>
      </c>
      <c r="AA44" s="64">
        <v>2621</v>
      </c>
      <c r="AB44" s="64">
        <v>2739</v>
      </c>
      <c r="AC44" s="64">
        <v>2983</v>
      </c>
      <c r="AD44" s="64">
        <v>3005</v>
      </c>
      <c r="AE44" s="145">
        <v>2950</v>
      </c>
      <c r="AF44" s="10"/>
    </row>
    <row r="45" spans="1:32" ht="15" customHeight="1" x14ac:dyDescent="0.25">
      <c r="A45" s="146">
        <v>50</v>
      </c>
      <c r="B45" s="12" t="s">
        <v>57</v>
      </c>
      <c r="C45" s="65">
        <v>189</v>
      </c>
      <c r="D45" s="65">
        <v>198</v>
      </c>
      <c r="E45" s="65">
        <v>247</v>
      </c>
      <c r="F45" s="65">
        <v>265</v>
      </c>
      <c r="G45" s="65">
        <v>295</v>
      </c>
      <c r="H45" s="65">
        <v>283</v>
      </c>
      <c r="I45" s="65">
        <v>268</v>
      </c>
      <c r="J45" s="65">
        <v>295</v>
      </c>
      <c r="K45" s="65">
        <v>333</v>
      </c>
      <c r="L45" s="65">
        <v>350</v>
      </c>
      <c r="M45" s="65">
        <v>347</v>
      </c>
      <c r="N45" s="65">
        <v>358</v>
      </c>
      <c r="O45" s="65">
        <v>372</v>
      </c>
      <c r="P45" s="65">
        <v>387</v>
      </c>
      <c r="Q45" s="65">
        <v>391</v>
      </c>
      <c r="R45" s="65">
        <v>400</v>
      </c>
      <c r="S45" s="65">
        <v>400</v>
      </c>
      <c r="T45" s="65">
        <v>400</v>
      </c>
      <c r="U45" s="65">
        <v>416</v>
      </c>
      <c r="V45" s="65">
        <v>430</v>
      </c>
      <c r="W45" s="65">
        <v>425</v>
      </c>
      <c r="X45" s="65">
        <v>418</v>
      </c>
      <c r="Y45" s="65">
        <v>423</v>
      </c>
      <c r="Z45" s="65">
        <v>422</v>
      </c>
      <c r="AA45" s="65">
        <v>414</v>
      </c>
      <c r="AB45" s="65">
        <v>418</v>
      </c>
      <c r="AC45" s="65">
        <v>435</v>
      </c>
      <c r="AD45" s="65">
        <v>436</v>
      </c>
      <c r="AE45" s="147">
        <v>449</v>
      </c>
    </row>
    <row r="46" spans="1:32" ht="15" customHeight="1" x14ac:dyDescent="0.25">
      <c r="A46" s="156">
        <v>51</v>
      </c>
      <c r="B46" s="17" t="s">
        <v>58</v>
      </c>
      <c r="C46" s="70">
        <v>200</v>
      </c>
      <c r="D46" s="70">
        <v>200</v>
      </c>
      <c r="E46" s="70">
        <v>216</v>
      </c>
      <c r="F46" s="70">
        <v>232</v>
      </c>
      <c r="G46" s="70">
        <v>229</v>
      </c>
      <c r="H46" s="70">
        <v>234</v>
      </c>
      <c r="I46" s="70">
        <v>235</v>
      </c>
      <c r="J46" s="70">
        <v>249</v>
      </c>
      <c r="K46" s="70">
        <v>278</v>
      </c>
      <c r="L46" s="70">
        <v>299</v>
      </c>
      <c r="M46" s="70">
        <v>314</v>
      </c>
      <c r="N46" s="70">
        <v>313</v>
      </c>
      <c r="O46" s="70">
        <v>318</v>
      </c>
      <c r="P46" s="70">
        <v>321</v>
      </c>
      <c r="Q46" s="70">
        <v>339</v>
      </c>
      <c r="R46" s="70">
        <v>357</v>
      </c>
      <c r="S46" s="70">
        <v>335</v>
      </c>
      <c r="T46" s="70">
        <v>342</v>
      </c>
      <c r="U46" s="70">
        <v>335</v>
      </c>
      <c r="V46" s="70">
        <v>354</v>
      </c>
      <c r="W46" s="70">
        <v>355</v>
      </c>
      <c r="X46" s="70">
        <v>360</v>
      </c>
      <c r="Y46" s="70">
        <v>341</v>
      </c>
      <c r="Z46" s="70">
        <v>335</v>
      </c>
      <c r="AA46" s="70">
        <v>347</v>
      </c>
      <c r="AB46" s="70">
        <v>351</v>
      </c>
      <c r="AC46" s="70">
        <v>380</v>
      </c>
      <c r="AD46" s="70">
        <v>386</v>
      </c>
      <c r="AE46" s="157">
        <v>392</v>
      </c>
    </row>
    <row r="47" spans="1:32" ht="15" customHeight="1" thickBot="1" x14ac:dyDescent="0.3">
      <c r="A47" s="158">
        <v>52</v>
      </c>
      <c r="B47" s="18" t="s">
        <v>59</v>
      </c>
      <c r="C47" s="71">
        <v>584</v>
      </c>
      <c r="D47" s="71">
        <v>581</v>
      </c>
      <c r="E47" s="71">
        <v>733</v>
      </c>
      <c r="F47" s="71">
        <v>814</v>
      </c>
      <c r="G47" s="71">
        <v>933</v>
      </c>
      <c r="H47" s="71">
        <v>858</v>
      </c>
      <c r="I47" s="71">
        <v>771</v>
      </c>
      <c r="J47" s="71">
        <v>906</v>
      </c>
      <c r="K47" s="71">
        <v>1084</v>
      </c>
      <c r="L47" s="71">
        <v>1200</v>
      </c>
      <c r="M47" s="71">
        <v>1336</v>
      </c>
      <c r="N47" s="71">
        <v>1432</v>
      </c>
      <c r="O47" s="71">
        <v>1561</v>
      </c>
      <c r="P47" s="71">
        <v>1684</v>
      </c>
      <c r="Q47" s="71">
        <v>1726</v>
      </c>
      <c r="R47" s="71">
        <v>1790</v>
      </c>
      <c r="S47" s="71">
        <v>1888</v>
      </c>
      <c r="T47" s="71">
        <v>1910</v>
      </c>
      <c r="U47" s="71">
        <v>1945</v>
      </c>
      <c r="V47" s="71">
        <v>2040</v>
      </c>
      <c r="W47" s="71">
        <v>2075</v>
      </c>
      <c r="X47" s="71">
        <v>2070</v>
      </c>
      <c r="Y47" s="71">
        <v>1989</v>
      </c>
      <c r="Z47" s="71">
        <v>1933</v>
      </c>
      <c r="AA47" s="71">
        <v>1860</v>
      </c>
      <c r="AB47" s="71">
        <v>1970</v>
      </c>
      <c r="AC47" s="71">
        <v>2168</v>
      </c>
      <c r="AD47" s="71">
        <v>2183</v>
      </c>
      <c r="AE47" s="159">
        <v>2109</v>
      </c>
    </row>
    <row r="48" spans="1:32" s="11" customFormat="1" ht="15" customHeight="1" thickBot="1" x14ac:dyDescent="0.3">
      <c r="A48" s="160" t="s">
        <v>60</v>
      </c>
      <c r="B48" s="19" t="s">
        <v>61</v>
      </c>
      <c r="C48" s="64">
        <v>133</v>
      </c>
      <c r="D48" s="64">
        <v>141</v>
      </c>
      <c r="E48" s="64">
        <v>184</v>
      </c>
      <c r="F48" s="64">
        <v>202</v>
      </c>
      <c r="G48" s="64">
        <v>225</v>
      </c>
      <c r="H48" s="64">
        <v>214</v>
      </c>
      <c r="I48" s="64">
        <v>208</v>
      </c>
      <c r="J48" s="64">
        <v>241</v>
      </c>
      <c r="K48" s="64">
        <v>282</v>
      </c>
      <c r="L48" s="64">
        <v>296</v>
      </c>
      <c r="M48" s="64">
        <v>329</v>
      </c>
      <c r="N48" s="64">
        <v>376</v>
      </c>
      <c r="O48" s="64">
        <v>403</v>
      </c>
      <c r="P48" s="64">
        <v>416</v>
      </c>
      <c r="Q48" s="64">
        <v>444</v>
      </c>
      <c r="R48" s="64">
        <v>450</v>
      </c>
      <c r="S48" s="64">
        <v>476</v>
      </c>
      <c r="T48" s="64">
        <v>489</v>
      </c>
      <c r="U48" s="64">
        <v>496</v>
      </c>
      <c r="V48" s="64">
        <v>522</v>
      </c>
      <c r="W48" s="64">
        <v>522</v>
      </c>
      <c r="X48" s="64">
        <v>511</v>
      </c>
      <c r="Y48" s="64">
        <v>488</v>
      </c>
      <c r="Z48" s="64">
        <v>474</v>
      </c>
      <c r="AA48" s="64">
        <v>431</v>
      </c>
      <c r="AB48" s="64">
        <v>442</v>
      </c>
      <c r="AC48" s="64">
        <v>515</v>
      </c>
      <c r="AD48" s="64">
        <v>507</v>
      </c>
      <c r="AE48" s="145">
        <v>493</v>
      </c>
      <c r="AF48" s="10"/>
    </row>
    <row r="49" spans="1:32" ht="15" customHeight="1" thickBot="1" x14ac:dyDescent="0.3">
      <c r="A49" s="150">
        <v>55</v>
      </c>
      <c r="B49" s="14" t="s">
        <v>62</v>
      </c>
      <c r="C49" s="67">
        <v>133</v>
      </c>
      <c r="D49" s="67">
        <v>141</v>
      </c>
      <c r="E49" s="67">
        <v>184</v>
      </c>
      <c r="F49" s="67">
        <v>202</v>
      </c>
      <c r="G49" s="67">
        <v>225</v>
      </c>
      <c r="H49" s="67">
        <v>214</v>
      </c>
      <c r="I49" s="67">
        <v>208</v>
      </c>
      <c r="J49" s="67">
        <v>241</v>
      </c>
      <c r="K49" s="67">
        <v>282</v>
      </c>
      <c r="L49" s="67">
        <v>296</v>
      </c>
      <c r="M49" s="67">
        <v>329</v>
      </c>
      <c r="N49" s="67">
        <v>376</v>
      </c>
      <c r="O49" s="67">
        <v>403</v>
      </c>
      <c r="P49" s="67">
        <v>416</v>
      </c>
      <c r="Q49" s="67">
        <v>444</v>
      </c>
      <c r="R49" s="67">
        <v>450</v>
      </c>
      <c r="S49" s="67">
        <v>476</v>
      </c>
      <c r="T49" s="67">
        <v>489</v>
      </c>
      <c r="U49" s="67">
        <v>496</v>
      </c>
      <c r="V49" s="67">
        <v>522</v>
      </c>
      <c r="W49" s="67">
        <v>522</v>
      </c>
      <c r="X49" s="67">
        <v>511</v>
      </c>
      <c r="Y49" s="67">
        <v>488</v>
      </c>
      <c r="Z49" s="67">
        <v>474</v>
      </c>
      <c r="AA49" s="67">
        <v>431</v>
      </c>
      <c r="AB49" s="67">
        <v>442</v>
      </c>
      <c r="AC49" s="67">
        <v>515</v>
      </c>
      <c r="AD49" s="67">
        <v>507</v>
      </c>
      <c r="AE49" s="151">
        <v>493</v>
      </c>
    </row>
    <row r="50" spans="1:32" s="11" customFormat="1" ht="15" customHeight="1" thickBot="1" x14ac:dyDescent="0.3">
      <c r="A50" s="144" t="s">
        <v>63</v>
      </c>
      <c r="B50" s="9" t="s">
        <v>64</v>
      </c>
      <c r="C50" s="64">
        <v>329</v>
      </c>
      <c r="D50" s="64">
        <v>352</v>
      </c>
      <c r="E50" s="64">
        <v>427</v>
      </c>
      <c r="F50" s="64">
        <v>499</v>
      </c>
      <c r="G50" s="64">
        <v>603</v>
      </c>
      <c r="H50" s="64">
        <v>556</v>
      </c>
      <c r="I50" s="64">
        <v>509</v>
      </c>
      <c r="J50" s="64">
        <v>559</v>
      </c>
      <c r="K50" s="64">
        <v>617</v>
      </c>
      <c r="L50" s="64">
        <v>705</v>
      </c>
      <c r="M50" s="64">
        <v>801</v>
      </c>
      <c r="N50" s="64">
        <v>844</v>
      </c>
      <c r="O50" s="64">
        <v>887</v>
      </c>
      <c r="P50" s="64">
        <v>898</v>
      </c>
      <c r="Q50" s="64">
        <v>907</v>
      </c>
      <c r="R50" s="64">
        <v>933</v>
      </c>
      <c r="S50" s="64">
        <v>969</v>
      </c>
      <c r="T50" s="64">
        <v>987</v>
      </c>
      <c r="U50" s="64">
        <v>1029</v>
      </c>
      <c r="V50" s="64">
        <v>1045</v>
      </c>
      <c r="W50" s="64">
        <v>1067</v>
      </c>
      <c r="X50" s="64">
        <v>1051</v>
      </c>
      <c r="Y50" s="64">
        <v>1011</v>
      </c>
      <c r="Z50" s="64">
        <v>979</v>
      </c>
      <c r="AA50" s="64">
        <v>922</v>
      </c>
      <c r="AB50" s="64">
        <v>902</v>
      </c>
      <c r="AC50" s="64">
        <v>908</v>
      </c>
      <c r="AD50" s="64">
        <v>864</v>
      </c>
      <c r="AE50" s="145">
        <v>827</v>
      </c>
      <c r="AF50" s="10"/>
    </row>
    <row r="51" spans="1:32" ht="15" customHeight="1" x14ac:dyDescent="0.25">
      <c r="A51" s="152">
        <v>60</v>
      </c>
      <c r="B51" s="15" t="s">
        <v>65</v>
      </c>
      <c r="C51" s="68">
        <v>249</v>
      </c>
      <c r="D51" s="68">
        <v>267</v>
      </c>
      <c r="E51" s="68">
        <v>308</v>
      </c>
      <c r="F51" s="68">
        <v>361</v>
      </c>
      <c r="G51" s="68">
        <v>461</v>
      </c>
      <c r="H51" s="68">
        <v>411</v>
      </c>
      <c r="I51" s="68">
        <v>360</v>
      </c>
      <c r="J51" s="68">
        <v>398</v>
      </c>
      <c r="K51" s="68">
        <v>440</v>
      </c>
      <c r="L51" s="68">
        <v>512</v>
      </c>
      <c r="M51" s="68">
        <v>598</v>
      </c>
      <c r="N51" s="68">
        <v>629</v>
      </c>
      <c r="O51" s="68">
        <v>663</v>
      </c>
      <c r="P51" s="68">
        <v>681</v>
      </c>
      <c r="Q51" s="68">
        <v>688</v>
      </c>
      <c r="R51" s="68">
        <v>712</v>
      </c>
      <c r="S51" s="68">
        <v>744</v>
      </c>
      <c r="T51" s="68">
        <v>775</v>
      </c>
      <c r="U51" s="68">
        <v>811</v>
      </c>
      <c r="V51" s="68">
        <v>814</v>
      </c>
      <c r="W51" s="68">
        <v>834</v>
      </c>
      <c r="X51" s="68">
        <v>811</v>
      </c>
      <c r="Y51" s="68">
        <v>788</v>
      </c>
      <c r="Z51" s="68">
        <v>749</v>
      </c>
      <c r="AA51" s="68">
        <v>692</v>
      </c>
      <c r="AB51" s="68">
        <v>673</v>
      </c>
      <c r="AC51" s="68">
        <v>662</v>
      </c>
      <c r="AD51" s="68">
        <v>625</v>
      </c>
      <c r="AE51" s="153">
        <v>576</v>
      </c>
    </row>
    <row r="52" spans="1:32" ht="15" customHeight="1" x14ac:dyDescent="0.25">
      <c r="A52" s="161">
        <v>61</v>
      </c>
      <c r="B52" s="20" t="s">
        <v>66</v>
      </c>
      <c r="C52" s="73" t="s">
        <v>383</v>
      </c>
      <c r="D52" s="73" t="s">
        <v>383</v>
      </c>
      <c r="E52" s="73">
        <v>7</v>
      </c>
      <c r="F52" s="73">
        <v>7</v>
      </c>
      <c r="G52" s="73">
        <v>7</v>
      </c>
      <c r="H52" s="73">
        <v>7</v>
      </c>
      <c r="I52" s="73">
        <v>10</v>
      </c>
      <c r="J52" s="73" t="s">
        <v>383</v>
      </c>
      <c r="K52" s="73" t="s">
        <v>383</v>
      </c>
      <c r="L52" s="73">
        <v>14</v>
      </c>
      <c r="M52" s="73">
        <v>14</v>
      </c>
      <c r="N52" s="73">
        <v>16</v>
      </c>
      <c r="O52" s="73">
        <v>16</v>
      </c>
      <c r="P52" s="73">
        <v>17</v>
      </c>
      <c r="Q52" s="73">
        <v>17</v>
      </c>
      <c r="R52" s="73">
        <v>16</v>
      </c>
      <c r="S52" s="73">
        <v>18</v>
      </c>
      <c r="T52" s="73">
        <v>17</v>
      </c>
      <c r="U52" s="73">
        <v>17</v>
      </c>
      <c r="V52" s="73">
        <v>19</v>
      </c>
      <c r="W52" s="73">
        <v>17</v>
      </c>
      <c r="X52" s="73">
        <v>17</v>
      </c>
      <c r="Y52" s="73">
        <v>17</v>
      </c>
      <c r="Z52" s="73">
        <v>19</v>
      </c>
      <c r="AA52" s="73">
        <v>16</v>
      </c>
      <c r="AB52" s="73" t="s">
        <v>383</v>
      </c>
      <c r="AC52" s="73" t="s">
        <v>383</v>
      </c>
      <c r="AD52" s="73" t="s">
        <v>383</v>
      </c>
      <c r="AE52" s="162" t="s">
        <v>383</v>
      </c>
    </row>
    <row r="53" spans="1:32" ht="15" customHeight="1" x14ac:dyDescent="0.25">
      <c r="A53" s="152">
        <v>62</v>
      </c>
      <c r="B53" s="15" t="s">
        <v>67</v>
      </c>
      <c r="C53" s="68" t="s">
        <v>383</v>
      </c>
      <c r="D53" s="68" t="s">
        <v>383</v>
      </c>
      <c r="E53" s="68">
        <v>5</v>
      </c>
      <c r="F53" s="68">
        <v>5</v>
      </c>
      <c r="G53" s="68">
        <v>5</v>
      </c>
      <c r="H53" s="68">
        <v>5</v>
      </c>
      <c r="I53" s="68">
        <v>4</v>
      </c>
      <c r="J53" s="68" t="s">
        <v>383</v>
      </c>
      <c r="K53" s="68" t="s">
        <v>383</v>
      </c>
      <c r="L53" s="68">
        <v>4</v>
      </c>
      <c r="M53" s="68">
        <v>5</v>
      </c>
      <c r="N53" s="68">
        <v>6</v>
      </c>
      <c r="O53" s="68">
        <v>7</v>
      </c>
      <c r="P53" s="68">
        <v>7</v>
      </c>
      <c r="Q53" s="68">
        <v>6</v>
      </c>
      <c r="R53" s="68">
        <v>5</v>
      </c>
      <c r="S53" s="68">
        <v>4</v>
      </c>
      <c r="T53" s="68">
        <v>4</v>
      </c>
      <c r="U53" s="68">
        <v>5</v>
      </c>
      <c r="V53" s="68">
        <v>5</v>
      </c>
      <c r="W53" s="68">
        <v>5</v>
      </c>
      <c r="X53" s="68">
        <v>5</v>
      </c>
      <c r="Y53" s="68">
        <v>5</v>
      </c>
      <c r="Z53" s="68">
        <v>6</v>
      </c>
      <c r="AA53" s="68">
        <v>6</v>
      </c>
      <c r="AB53" s="68" t="s">
        <v>383</v>
      </c>
      <c r="AC53" s="68" t="s">
        <v>383</v>
      </c>
      <c r="AD53" s="68" t="s">
        <v>383</v>
      </c>
      <c r="AE53" s="153" t="s">
        <v>383</v>
      </c>
    </row>
    <row r="54" spans="1:32" ht="15" customHeight="1" x14ac:dyDescent="0.25">
      <c r="A54" s="163">
        <v>63</v>
      </c>
      <c r="B54" s="21" t="s">
        <v>68</v>
      </c>
      <c r="C54" s="74">
        <v>45</v>
      </c>
      <c r="D54" s="74">
        <v>39</v>
      </c>
      <c r="E54" s="74">
        <v>63</v>
      </c>
      <c r="F54" s="74">
        <v>73</v>
      </c>
      <c r="G54" s="74">
        <v>77</v>
      </c>
      <c r="H54" s="74">
        <v>80</v>
      </c>
      <c r="I54" s="74">
        <v>86</v>
      </c>
      <c r="J54" s="74">
        <v>103</v>
      </c>
      <c r="K54" s="74">
        <v>112</v>
      </c>
      <c r="L54" s="74">
        <v>116</v>
      </c>
      <c r="M54" s="74">
        <v>129</v>
      </c>
      <c r="N54" s="74">
        <v>136</v>
      </c>
      <c r="O54" s="74">
        <v>147</v>
      </c>
      <c r="P54" s="74">
        <v>143</v>
      </c>
      <c r="Q54" s="74">
        <v>150</v>
      </c>
      <c r="R54" s="74">
        <v>153</v>
      </c>
      <c r="S54" s="74">
        <v>159</v>
      </c>
      <c r="T54" s="74">
        <v>152</v>
      </c>
      <c r="U54" s="74">
        <v>157</v>
      </c>
      <c r="V54" s="74">
        <v>163</v>
      </c>
      <c r="W54" s="74">
        <v>164</v>
      </c>
      <c r="X54" s="74">
        <v>172</v>
      </c>
      <c r="Y54" s="74">
        <v>161</v>
      </c>
      <c r="Z54" s="74">
        <v>161</v>
      </c>
      <c r="AA54" s="74">
        <v>160</v>
      </c>
      <c r="AB54" s="74">
        <v>156</v>
      </c>
      <c r="AC54" s="74">
        <v>169</v>
      </c>
      <c r="AD54" s="74">
        <v>166</v>
      </c>
      <c r="AE54" s="164">
        <v>179</v>
      </c>
    </row>
    <row r="55" spans="1:32" ht="15" customHeight="1" thickBot="1" x14ac:dyDescent="0.3">
      <c r="A55" s="152">
        <v>64</v>
      </c>
      <c r="B55" s="15" t="s">
        <v>99</v>
      </c>
      <c r="C55" s="68">
        <v>30</v>
      </c>
      <c r="D55" s="68">
        <v>38</v>
      </c>
      <c r="E55" s="68">
        <v>44</v>
      </c>
      <c r="F55" s="68">
        <v>53</v>
      </c>
      <c r="G55" s="68">
        <v>53</v>
      </c>
      <c r="H55" s="68">
        <v>53</v>
      </c>
      <c r="I55" s="68">
        <v>49</v>
      </c>
      <c r="J55" s="68">
        <v>47</v>
      </c>
      <c r="K55" s="68">
        <v>52</v>
      </c>
      <c r="L55" s="68">
        <v>59</v>
      </c>
      <c r="M55" s="68">
        <v>55</v>
      </c>
      <c r="N55" s="68">
        <v>57</v>
      </c>
      <c r="O55" s="68">
        <v>54</v>
      </c>
      <c r="P55" s="68">
        <v>50</v>
      </c>
      <c r="Q55" s="68">
        <v>46</v>
      </c>
      <c r="R55" s="68">
        <v>47</v>
      </c>
      <c r="S55" s="68">
        <v>44</v>
      </c>
      <c r="T55" s="68">
        <v>39</v>
      </c>
      <c r="U55" s="68">
        <v>39</v>
      </c>
      <c r="V55" s="68">
        <v>44</v>
      </c>
      <c r="W55" s="68">
        <v>47</v>
      </c>
      <c r="X55" s="68">
        <v>46</v>
      </c>
      <c r="Y55" s="68">
        <v>40</v>
      </c>
      <c r="Z55" s="68">
        <v>44</v>
      </c>
      <c r="AA55" s="68">
        <v>48</v>
      </c>
      <c r="AB55" s="68">
        <v>52</v>
      </c>
      <c r="AC55" s="68">
        <v>52</v>
      </c>
      <c r="AD55" s="68">
        <v>51</v>
      </c>
      <c r="AE55" s="153">
        <v>52</v>
      </c>
    </row>
    <row r="56" spans="1:32" s="11" customFormat="1" ht="15" customHeight="1" thickBot="1" x14ac:dyDescent="0.3">
      <c r="A56" s="144" t="s">
        <v>70</v>
      </c>
      <c r="B56" s="9" t="s">
        <v>71</v>
      </c>
      <c r="C56" s="64">
        <v>63</v>
      </c>
      <c r="D56" s="64">
        <v>67</v>
      </c>
      <c r="E56" s="64">
        <v>83</v>
      </c>
      <c r="F56" s="64">
        <v>89</v>
      </c>
      <c r="G56" s="64">
        <v>100</v>
      </c>
      <c r="H56" s="64">
        <v>90</v>
      </c>
      <c r="I56" s="64">
        <v>80</v>
      </c>
      <c r="J56" s="64">
        <v>88</v>
      </c>
      <c r="K56" s="64">
        <v>103</v>
      </c>
      <c r="L56" s="64">
        <v>118</v>
      </c>
      <c r="M56" s="64">
        <v>121</v>
      </c>
      <c r="N56" s="64">
        <v>130</v>
      </c>
      <c r="O56" s="64">
        <v>130</v>
      </c>
      <c r="P56" s="64">
        <v>114</v>
      </c>
      <c r="Q56" s="64">
        <v>123</v>
      </c>
      <c r="R56" s="64">
        <v>131</v>
      </c>
      <c r="S56" s="64">
        <v>135</v>
      </c>
      <c r="T56" s="64">
        <v>129</v>
      </c>
      <c r="U56" s="64">
        <v>126</v>
      </c>
      <c r="V56" s="64">
        <v>132</v>
      </c>
      <c r="W56" s="64">
        <v>136</v>
      </c>
      <c r="X56" s="64">
        <v>133</v>
      </c>
      <c r="Y56" s="64">
        <v>133</v>
      </c>
      <c r="Z56" s="64">
        <v>131</v>
      </c>
      <c r="AA56" s="64">
        <v>129</v>
      </c>
      <c r="AB56" s="64">
        <v>132</v>
      </c>
      <c r="AC56" s="64">
        <v>133</v>
      </c>
      <c r="AD56" s="64">
        <v>128</v>
      </c>
      <c r="AE56" s="145">
        <v>134</v>
      </c>
      <c r="AF56" s="10"/>
    </row>
    <row r="57" spans="1:32" ht="15" customHeight="1" x14ac:dyDescent="0.25">
      <c r="A57" s="152">
        <v>65</v>
      </c>
      <c r="B57" s="15" t="s">
        <v>72</v>
      </c>
      <c r="C57" s="68">
        <v>23</v>
      </c>
      <c r="D57" s="68">
        <v>26</v>
      </c>
      <c r="E57" s="68">
        <v>31</v>
      </c>
      <c r="F57" s="68">
        <v>25</v>
      </c>
      <c r="G57" s="68">
        <v>31</v>
      </c>
      <c r="H57" s="68">
        <v>30</v>
      </c>
      <c r="I57" s="68">
        <v>29</v>
      </c>
      <c r="J57" s="68">
        <v>30</v>
      </c>
      <c r="K57" s="68">
        <v>30</v>
      </c>
      <c r="L57" s="68">
        <v>30</v>
      </c>
      <c r="M57" s="68">
        <v>32</v>
      </c>
      <c r="N57" s="68">
        <v>37</v>
      </c>
      <c r="O57" s="68">
        <v>35</v>
      </c>
      <c r="P57" s="68">
        <v>32</v>
      </c>
      <c r="Q57" s="68">
        <v>36</v>
      </c>
      <c r="R57" s="68">
        <v>37</v>
      </c>
      <c r="S57" s="68">
        <v>39</v>
      </c>
      <c r="T57" s="68">
        <v>34</v>
      </c>
      <c r="U57" s="68">
        <v>34</v>
      </c>
      <c r="V57" s="68">
        <v>36</v>
      </c>
      <c r="W57" s="68">
        <v>37</v>
      </c>
      <c r="X57" s="68">
        <v>36</v>
      </c>
      <c r="Y57" s="68">
        <v>38</v>
      </c>
      <c r="Z57" s="68">
        <v>35</v>
      </c>
      <c r="AA57" s="68">
        <v>33</v>
      </c>
      <c r="AB57" s="68">
        <v>33</v>
      </c>
      <c r="AC57" s="68">
        <v>29</v>
      </c>
      <c r="AD57" s="68">
        <v>28</v>
      </c>
      <c r="AE57" s="153">
        <v>31</v>
      </c>
    </row>
    <row r="58" spans="1:32" ht="15" customHeight="1" x14ac:dyDescent="0.25">
      <c r="A58" s="156">
        <v>66</v>
      </c>
      <c r="B58" s="17" t="s">
        <v>100</v>
      </c>
      <c r="C58" s="70">
        <v>21</v>
      </c>
      <c r="D58" s="70">
        <v>26</v>
      </c>
      <c r="E58" s="70">
        <v>29</v>
      </c>
      <c r="F58" s="70">
        <v>39</v>
      </c>
      <c r="G58" s="70">
        <v>41</v>
      </c>
      <c r="H58" s="70">
        <v>37</v>
      </c>
      <c r="I58" s="70">
        <v>31</v>
      </c>
      <c r="J58" s="70">
        <v>36</v>
      </c>
      <c r="K58" s="70">
        <v>41</v>
      </c>
      <c r="L58" s="70">
        <v>48</v>
      </c>
      <c r="M58" s="70">
        <v>51</v>
      </c>
      <c r="N58" s="70">
        <v>52</v>
      </c>
      <c r="O58" s="70">
        <v>53</v>
      </c>
      <c r="P58" s="70">
        <v>39</v>
      </c>
      <c r="Q58" s="70">
        <v>38</v>
      </c>
      <c r="R58" s="70">
        <v>40</v>
      </c>
      <c r="S58" s="70">
        <v>40</v>
      </c>
      <c r="T58" s="70">
        <v>37</v>
      </c>
      <c r="U58" s="70">
        <v>33</v>
      </c>
      <c r="V58" s="70">
        <v>34</v>
      </c>
      <c r="W58" s="70">
        <v>33</v>
      </c>
      <c r="X58" s="70">
        <v>29</v>
      </c>
      <c r="Y58" s="70">
        <v>29</v>
      </c>
      <c r="Z58" s="70">
        <v>29</v>
      </c>
      <c r="AA58" s="70">
        <v>30</v>
      </c>
      <c r="AB58" s="70">
        <v>33</v>
      </c>
      <c r="AC58" s="70">
        <v>33</v>
      </c>
      <c r="AD58" s="70">
        <v>32</v>
      </c>
      <c r="AE58" s="157">
        <v>34</v>
      </c>
    </row>
    <row r="59" spans="1:32" ht="15" customHeight="1" thickBot="1" x14ac:dyDescent="0.3">
      <c r="A59" s="152">
        <v>67</v>
      </c>
      <c r="B59" s="15" t="s">
        <v>74</v>
      </c>
      <c r="C59" s="68">
        <v>19</v>
      </c>
      <c r="D59" s="68">
        <v>15</v>
      </c>
      <c r="E59" s="68">
        <v>23</v>
      </c>
      <c r="F59" s="68">
        <v>25</v>
      </c>
      <c r="G59" s="68">
        <v>28</v>
      </c>
      <c r="H59" s="68">
        <v>23</v>
      </c>
      <c r="I59" s="68">
        <v>20</v>
      </c>
      <c r="J59" s="68">
        <v>22</v>
      </c>
      <c r="K59" s="68">
        <v>32</v>
      </c>
      <c r="L59" s="68">
        <v>40</v>
      </c>
      <c r="M59" s="68">
        <v>38</v>
      </c>
      <c r="N59" s="68">
        <v>41</v>
      </c>
      <c r="O59" s="68">
        <v>42</v>
      </c>
      <c r="P59" s="68">
        <v>43</v>
      </c>
      <c r="Q59" s="68">
        <v>49</v>
      </c>
      <c r="R59" s="68">
        <v>54</v>
      </c>
      <c r="S59" s="68">
        <v>56</v>
      </c>
      <c r="T59" s="68">
        <v>58</v>
      </c>
      <c r="U59" s="68">
        <v>59</v>
      </c>
      <c r="V59" s="68">
        <v>62</v>
      </c>
      <c r="W59" s="68">
        <v>66</v>
      </c>
      <c r="X59" s="68">
        <v>68</v>
      </c>
      <c r="Y59" s="68">
        <v>66</v>
      </c>
      <c r="Z59" s="68">
        <v>67</v>
      </c>
      <c r="AA59" s="68">
        <v>66</v>
      </c>
      <c r="AB59" s="68">
        <v>66</v>
      </c>
      <c r="AC59" s="68">
        <v>71</v>
      </c>
      <c r="AD59" s="68">
        <v>68</v>
      </c>
      <c r="AE59" s="153">
        <v>69</v>
      </c>
    </row>
    <row r="60" spans="1:32" s="11" customFormat="1" ht="15" customHeight="1" thickBot="1" x14ac:dyDescent="0.3">
      <c r="A60" s="144" t="s">
        <v>75</v>
      </c>
      <c r="B60" s="9" t="s">
        <v>76</v>
      </c>
      <c r="C60" s="64">
        <v>867</v>
      </c>
      <c r="D60" s="64">
        <v>889</v>
      </c>
      <c r="E60" s="64">
        <v>1027</v>
      </c>
      <c r="F60" s="64">
        <v>1146</v>
      </c>
      <c r="G60" s="64">
        <v>1254</v>
      </c>
      <c r="H60" s="64">
        <v>1253</v>
      </c>
      <c r="I60" s="64">
        <v>1211</v>
      </c>
      <c r="J60" s="64">
        <v>1320</v>
      </c>
      <c r="K60" s="64">
        <v>1490</v>
      </c>
      <c r="L60" s="64">
        <v>1570</v>
      </c>
      <c r="M60" s="64">
        <v>1637</v>
      </c>
      <c r="N60" s="64">
        <v>1665</v>
      </c>
      <c r="O60" s="64">
        <v>1680</v>
      </c>
      <c r="P60" s="64">
        <v>1675</v>
      </c>
      <c r="Q60" s="64">
        <v>1680</v>
      </c>
      <c r="R60" s="64">
        <v>1672</v>
      </c>
      <c r="S60" s="64">
        <v>1598</v>
      </c>
      <c r="T60" s="64">
        <v>1586</v>
      </c>
      <c r="U60" s="64">
        <v>1555</v>
      </c>
      <c r="V60" s="64">
        <v>1528</v>
      </c>
      <c r="W60" s="64">
        <v>1468</v>
      </c>
      <c r="X60" s="64">
        <v>1432</v>
      </c>
      <c r="Y60" s="64">
        <v>1400</v>
      </c>
      <c r="Z60" s="64">
        <v>1353</v>
      </c>
      <c r="AA60" s="64">
        <v>1294</v>
      </c>
      <c r="AB60" s="64">
        <v>1283</v>
      </c>
      <c r="AC60" s="64">
        <v>1270</v>
      </c>
      <c r="AD60" s="64">
        <v>1204</v>
      </c>
      <c r="AE60" s="145">
        <v>1141</v>
      </c>
      <c r="AF60" s="10"/>
    </row>
    <row r="61" spans="1:32" ht="15" customHeight="1" x14ac:dyDescent="0.25">
      <c r="A61" s="146">
        <v>70</v>
      </c>
      <c r="B61" s="12" t="s">
        <v>77</v>
      </c>
      <c r="C61" s="65">
        <v>390</v>
      </c>
      <c r="D61" s="65">
        <v>395</v>
      </c>
      <c r="E61" s="65">
        <v>464</v>
      </c>
      <c r="F61" s="65">
        <v>504</v>
      </c>
      <c r="G61" s="65">
        <v>560</v>
      </c>
      <c r="H61" s="65">
        <v>547</v>
      </c>
      <c r="I61" s="65">
        <v>526</v>
      </c>
      <c r="J61" s="65">
        <v>556</v>
      </c>
      <c r="K61" s="65">
        <v>624</v>
      </c>
      <c r="L61" s="65">
        <v>637</v>
      </c>
      <c r="M61" s="65">
        <v>659</v>
      </c>
      <c r="N61" s="65">
        <v>653</v>
      </c>
      <c r="O61" s="65">
        <v>641</v>
      </c>
      <c r="P61" s="65">
        <v>636</v>
      </c>
      <c r="Q61" s="65">
        <v>643</v>
      </c>
      <c r="R61" s="65">
        <v>644</v>
      </c>
      <c r="S61" s="65">
        <v>599</v>
      </c>
      <c r="T61" s="65">
        <v>588</v>
      </c>
      <c r="U61" s="65">
        <v>532</v>
      </c>
      <c r="V61" s="65">
        <v>505</v>
      </c>
      <c r="W61" s="65">
        <v>488</v>
      </c>
      <c r="X61" s="65">
        <v>459</v>
      </c>
      <c r="Y61" s="65">
        <v>444</v>
      </c>
      <c r="Z61" s="65">
        <v>423</v>
      </c>
      <c r="AA61" s="65">
        <v>396</v>
      </c>
      <c r="AB61" s="65">
        <v>375</v>
      </c>
      <c r="AC61" s="65">
        <v>356</v>
      </c>
      <c r="AD61" s="65">
        <v>326</v>
      </c>
      <c r="AE61" s="147">
        <v>291</v>
      </c>
    </row>
    <row r="62" spans="1:32" ht="15" customHeight="1" x14ac:dyDescent="0.25">
      <c r="A62" s="156">
        <v>71</v>
      </c>
      <c r="B62" s="17" t="s">
        <v>78</v>
      </c>
      <c r="C62" s="70">
        <v>28</v>
      </c>
      <c r="D62" s="70">
        <v>30</v>
      </c>
      <c r="E62" s="70">
        <v>22</v>
      </c>
      <c r="F62" s="70">
        <v>28</v>
      </c>
      <c r="G62" s="70">
        <v>28</v>
      </c>
      <c r="H62" s="70">
        <v>35</v>
      </c>
      <c r="I62" s="70">
        <v>34</v>
      </c>
      <c r="J62" s="70">
        <v>39</v>
      </c>
      <c r="K62" s="70">
        <v>51</v>
      </c>
      <c r="L62" s="70">
        <v>57</v>
      </c>
      <c r="M62" s="70">
        <v>67</v>
      </c>
      <c r="N62" s="70">
        <v>66</v>
      </c>
      <c r="O62" s="70">
        <v>67</v>
      </c>
      <c r="P62" s="70">
        <v>64</v>
      </c>
      <c r="Q62" s="70">
        <v>62</v>
      </c>
      <c r="R62" s="70">
        <v>66</v>
      </c>
      <c r="S62" s="70">
        <v>65</v>
      </c>
      <c r="T62" s="70">
        <v>62</v>
      </c>
      <c r="U62" s="70">
        <v>66</v>
      </c>
      <c r="V62" s="70">
        <v>69</v>
      </c>
      <c r="W62" s="70">
        <v>68</v>
      </c>
      <c r="X62" s="70">
        <v>57</v>
      </c>
      <c r="Y62" s="70">
        <v>59</v>
      </c>
      <c r="Z62" s="70">
        <v>60</v>
      </c>
      <c r="AA62" s="70">
        <v>58</v>
      </c>
      <c r="AB62" s="70">
        <v>61</v>
      </c>
      <c r="AC62" s="70">
        <v>64</v>
      </c>
      <c r="AD62" s="70">
        <v>62</v>
      </c>
      <c r="AE62" s="157">
        <v>58</v>
      </c>
    </row>
    <row r="63" spans="1:32" ht="15" customHeight="1" x14ac:dyDescent="0.25">
      <c r="A63" s="156">
        <v>72</v>
      </c>
      <c r="B63" s="17" t="s">
        <v>79</v>
      </c>
      <c r="C63" s="70">
        <v>13</v>
      </c>
      <c r="D63" s="70" t="s">
        <v>383</v>
      </c>
      <c r="E63" s="70" t="s">
        <v>383</v>
      </c>
      <c r="F63" s="70">
        <v>17</v>
      </c>
      <c r="G63" s="70" t="s">
        <v>383</v>
      </c>
      <c r="H63" s="70" t="s">
        <v>383</v>
      </c>
      <c r="I63" s="70" t="s">
        <v>383</v>
      </c>
      <c r="J63" s="70">
        <v>22</v>
      </c>
      <c r="K63" s="70">
        <v>29</v>
      </c>
      <c r="L63" s="70">
        <v>32</v>
      </c>
      <c r="M63" s="70">
        <v>35</v>
      </c>
      <c r="N63" s="70">
        <v>34</v>
      </c>
      <c r="O63" s="70">
        <v>41</v>
      </c>
      <c r="P63" s="70">
        <v>46</v>
      </c>
      <c r="Q63" s="70">
        <v>47</v>
      </c>
      <c r="R63" s="70">
        <v>47</v>
      </c>
      <c r="S63" s="70">
        <v>49</v>
      </c>
      <c r="T63" s="70">
        <v>54</v>
      </c>
      <c r="U63" s="70">
        <v>52</v>
      </c>
      <c r="V63" s="70">
        <v>50</v>
      </c>
      <c r="W63" s="70">
        <v>48</v>
      </c>
      <c r="X63" s="70">
        <v>49</v>
      </c>
      <c r="Y63" s="70">
        <v>49</v>
      </c>
      <c r="Z63" s="70">
        <v>50</v>
      </c>
      <c r="AA63" s="70">
        <v>53</v>
      </c>
      <c r="AB63" s="70">
        <v>71</v>
      </c>
      <c r="AC63" s="70">
        <v>62</v>
      </c>
      <c r="AD63" s="70">
        <v>66</v>
      </c>
      <c r="AE63" s="157">
        <v>64</v>
      </c>
    </row>
    <row r="64" spans="1:32" ht="15" customHeight="1" x14ac:dyDescent="0.25">
      <c r="A64" s="156">
        <v>73</v>
      </c>
      <c r="B64" s="17" t="s">
        <v>80</v>
      </c>
      <c r="C64" s="70" t="s">
        <v>383</v>
      </c>
      <c r="D64" s="70" t="s">
        <v>383</v>
      </c>
      <c r="E64" s="70" t="s">
        <v>383</v>
      </c>
      <c r="F64" s="70">
        <v>4</v>
      </c>
      <c r="G64" s="70" t="s">
        <v>383</v>
      </c>
      <c r="H64" s="70" t="s">
        <v>383</v>
      </c>
      <c r="I64" s="70" t="s">
        <v>383</v>
      </c>
      <c r="J64" s="70">
        <v>4</v>
      </c>
      <c r="K64" s="70">
        <v>5</v>
      </c>
      <c r="L64" s="70">
        <v>5</v>
      </c>
      <c r="M64" s="70">
        <v>5</v>
      </c>
      <c r="N64" s="70">
        <v>5</v>
      </c>
      <c r="O64" s="70">
        <v>5</v>
      </c>
      <c r="P64" s="70">
        <v>5</v>
      </c>
      <c r="Q64" s="70">
        <v>5</v>
      </c>
      <c r="R64" s="70">
        <v>5</v>
      </c>
      <c r="S64" s="70">
        <v>5</v>
      </c>
      <c r="T64" s="70">
        <v>5</v>
      </c>
      <c r="U64" s="70">
        <v>5</v>
      </c>
      <c r="V64" s="70">
        <v>7</v>
      </c>
      <c r="W64" s="70">
        <v>7</v>
      </c>
      <c r="X64" s="70">
        <v>6</v>
      </c>
      <c r="Y64" s="70">
        <v>7</v>
      </c>
      <c r="Z64" s="70">
        <v>7</v>
      </c>
      <c r="AA64" s="70">
        <v>7</v>
      </c>
      <c r="AB64" s="70">
        <v>6</v>
      </c>
      <c r="AC64" s="70">
        <v>8</v>
      </c>
      <c r="AD64" s="70">
        <v>7</v>
      </c>
      <c r="AE64" s="157">
        <v>6</v>
      </c>
    </row>
    <row r="65" spans="1:32" ht="15" customHeight="1" x14ac:dyDescent="0.25">
      <c r="A65" s="156">
        <v>74</v>
      </c>
      <c r="B65" s="17" t="s">
        <v>81</v>
      </c>
      <c r="C65" s="70">
        <v>432</v>
      </c>
      <c r="D65" s="70">
        <v>445</v>
      </c>
      <c r="E65" s="70">
        <v>525</v>
      </c>
      <c r="F65" s="70">
        <v>587</v>
      </c>
      <c r="G65" s="70">
        <v>635</v>
      </c>
      <c r="H65" s="70">
        <v>644</v>
      </c>
      <c r="I65" s="70">
        <v>618</v>
      </c>
      <c r="J65" s="70">
        <v>688</v>
      </c>
      <c r="K65" s="70">
        <v>772</v>
      </c>
      <c r="L65" s="70">
        <v>829</v>
      </c>
      <c r="M65" s="70">
        <v>859</v>
      </c>
      <c r="N65" s="70">
        <v>894</v>
      </c>
      <c r="O65" s="70">
        <v>913</v>
      </c>
      <c r="P65" s="70">
        <v>909</v>
      </c>
      <c r="Q65" s="70">
        <v>908</v>
      </c>
      <c r="R65" s="70">
        <v>894</v>
      </c>
      <c r="S65" s="70">
        <v>863</v>
      </c>
      <c r="T65" s="70">
        <v>861</v>
      </c>
      <c r="U65" s="70">
        <v>886</v>
      </c>
      <c r="V65" s="70">
        <v>884</v>
      </c>
      <c r="W65" s="70">
        <v>848</v>
      </c>
      <c r="X65" s="70">
        <v>849</v>
      </c>
      <c r="Y65" s="70">
        <v>832</v>
      </c>
      <c r="Z65" s="70">
        <v>804</v>
      </c>
      <c r="AA65" s="70">
        <v>772</v>
      </c>
      <c r="AB65" s="70">
        <v>762</v>
      </c>
      <c r="AC65" s="70">
        <v>772</v>
      </c>
      <c r="AD65" s="70">
        <v>736</v>
      </c>
      <c r="AE65" s="157">
        <v>714</v>
      </c>
    </row>
    <row r="66" spans="1:32" ht="15" customHeight="1" thickBot="1" x14ac:dyDescent="0.3">
      <c r="A66" s="158">
        <v>75</v>
      </c>
      <c r="B66" s="18" t="s">
        <v>185</v>
      </c>
      <c r="C66" s="71" t="s">
        <v>383</v>
      </c>
      <c r="D66" s="71">
        <v>5</v>
      </c>
      <c r="E66" s="71">
        <v>5</v>
      </c>
      <c r="F66" s="71">
        <v>6</v>
      </c>
      <c r="G66" s="71">
        <v>8</v>
      </c>
      <c r="H66" s="71">
        <v>8</v>
      </c>
      <c r="I66" s="71">
        <v>11</v>
      </c>
      <c r="J66" s="71">
        <v>11</v>
      </c>
      <c r="K66" s="71">
        <v>9</v>
      </c>
      <c r="L66" s="71">
        <v>10</v>
      </c>
      <c r="M66" s="71">
        <v>12</v>
      </c>
      <c r="N66" s="71">
        <v>13</v>
      </c>
      <c r="O66" s="71">
        <v>13</v>
      </c>
      <c r="P66" s="71">
        <v>15</v>
      </c>
      <c r="Q66" s="71">
        <v>15</v>
      </c>
      <c r="R66" s="71">
        <v>16</v>
      </c>
      <c r="S66" s="71">
        <v>17</v>
      </c>
      <c r="T66" s="71">
        <v>16</v>
      </c>
      <c r="U66" s="71">
        <v>14</v>
      </c>
      <c r="V66" s="71">
        <v>13</v>
      </c>
      <c r="W66" s="71">
        <v>9</v>
      </c>
      <c r="X66" s="71">
        <v>12</v>
      </c>
      <c r="Y66" s="71">
        <v>9</v>
      </c>
      <c r="Z66" s="71">
        <v>9</v>
      </c>
      <c r="AA66" s="71">
        <v>8</v>
      </c>
      <c r="AB66" s="71">
        <v>8</v>
      </c>
      <c r="AC66" s="71">
        <v>8</v>
      </c>
      <c r="AD66" s="71">
        <v>7</v>
      </c>
      <c r="AE66" s="159">
        <v>8</v>
      </c>
    </row>
    <row r="67" spans="1:32" s="11" customFormat="1" ht="15" customHeight="1" thickBot="1" x14ac:dyDescent="0.3">
      <c r="A67" s="160" t="s">
        <v>83</v>
      </c>
      <c r="B67" s="19" t="s">
        <v>84</v>
      </c>
      <c r="C67" s="64">
        <v>60</v>
      </c>
      <c r="D67" s="64">
        <v>57</v>
      </c>
      <c r="E67" s="64">
        <v>74</v>
      </c>
      <c r="F67" s="64">
        <v>81</v>
      </c>
      <c r="G67" s="64">
        <v>90</v>
      </c>
      <c r="H67" s="64">
        <v>83</v>
      </c>
      <c r="I67" s="64">
        <v>77</v>
      </c>
      <c r="J67" s="64">
        <v>76</v>
      </c>
      <c r="K67" s="64">
        <v>96</v>
      </c>
      <c r="L67" s="64">
        <v>107</v>
      </c>
      <c r="M67" s="64">
        <v>110</v>
      </c>
      <c r="N67" s="64">
        <v>112</v>
      </c>
      <c r="O67" s="64">
        <v>123</v>
      </c>
      <c r="P67" s="64">
        <v>126</v>
      </c>
      <c r="Q67" s="64">
        <v>122</v>
      </c>
      <c r="R67" s="64">
        <v>123</v>
      </c>
      <c r="S67" s="64">
        <v>128</v>
      </c>
      <c r="T67" s="64">
        <v>120</v>
      </c>
      <c r="U67" s="64">
        <v>128</v>
      </c>
      <c r="V67" s="64">
        <v>135</v>
      </c>
      <c r="W67" s="64">
        <v>126</v>
      </c>
      <c r="X67" s="64">
        <v>126</v>
      </c>
      <c r="Y67" s="64">
        <v>120</v>
      </c>
      <c r="Z67" s="64">
        <v>124</v>
      </c>
      <c r="AA67" s="64">
        <v>119</v>
      </c>
      <c r="AB67" s="64">
        <v>123</v>
      </c>
      <c r="AC67" s="64">
        <v>121</v>
      </c>
      <c r="AD67" s="64">
        <v>125</v>
      </c>
      <c r="AE67" s="145">
        <v>124</v>
      </c>
      <c r="AF67" s="10"/>
    </row>
    <row r="68" spans="1:32" ht="15" customHeight="1" thickBot="1" x14ac:dyDescent="0.3">
      <c r="A68" s="150">
        <v>80</v>
      </c>
      <c r="B68" s="14" t="s">
        <v>85</v>
      </c>
      <c r="C68" s="70">
        <v>60</v>
      </c>
      <c r="D68" s="67">
        <v>57</v>
      </c>
      <c r="E68" s="67">
        <v>74</v>
      </c>
      <c r="F68" s="67">
        <v>81</v>
      </c>
      <c r="G68" s="67">
        <v>90</v>
      </c>
      <c r="H68" s="67">
        <v>83</v>
      </c>
      <c r="I68" s="67">
        <v>77</v>
      </c>
      <c r="J68" s="67">
        <v>76</v>
      </c>
      <c r="K68" s="67">
        <v>96</v>
      </c>
      <c r="L68" s="67">
        <v>107</v>
      </c>
      <c r="M68" s="67">
        <v>110</v>
      </c>
      <c r="N68" s="67">
        <v>112</v>
      </c>
      <c r="O68" s="67">
        <v>123</v>
      </c>
      <c r="P68" s="67">
        <v>126</v>
      </c>
      <c r="Q68" s="67">
        <v>122</v>
      </c>
      <c r="R68" s="67">
        <v>123</v>
      </c>
      <c r="S68" s="67">
        <v>128</v>
      </c>
      <c r="T68" s="67">
        <v>120</v>
      </c>
      <c r="U68" s="67">
        <v>128</v>
      </c>
      <c r="V68" s="67">
        <v>135</v>
      </c>
      <c r="W68" s="67">
        <v>126</v>
      </c>
      <c r="X68" s="67">
        <v>126</v>
      </c>
      <c r="Y68" s="67">
        <v>120</v>
      </c>
      <c r="Z68" s="67">
        <v>124</v>
      </c>
      <c r="AA68" s="67">
        <v>119</v>
      </c>
      <c r="AB68" s="67">
        <v>123</v>
      </c>
      <c r="AC68" s="67">
        <v>121</v>
      </c>
      <c r="AD68" s="67">
        <v>125</v>
      </c>
      <c r="AE68" s="151">
        <v>124</v>
      </c>
    </row>
    <row r="69" spans="1:32" s="11" customFormat="1" ht="15" customHeight="1" thickBot="1" x14ac:dyDescent="0.3">
      <c r="A69" s="144" t="s">
        <v>86</v>
      </c>
      <c r="B69" s="9" t="s">
        <v>87</v>
      </c>
      <c r="C69" s="64">
        <v>179</v>
      </c>
      <c r="D69" s="64">
        <v>194</v>
      </c>
      <c r="E69" s="64">
        <v>242</v>
      </c>
      <c r="F69" s="64">
        <v>289</v>
      </c>
      <c r="G69" s="64">
        <v>301</v>
      </c>
      <c r="H69" s="64">
        <v>313</v>
      </c>
      <c r="I69" s="64">
        <v>301</v>
      </c>
      <c r="J69" s="64">
        <v>308</v>
      </c>
      <c r="K69" s="64">
        <v>309</v>
      </c>
      <c r="L69" s="64">
        <v>345</v>
      </c>
      <c r="M69" s="64">
        <v>360</v>
      </c>
      <c r="N69" s="64">
        <v>377</v>
      </c>
      <c r="O69" s="64">
        <v>377</v>
      </c>
      <c r="P69" s="64">
        <v>396</v>
      </c>
      <c r="Q69" s="64">
        <v>414</v>
      </c>
      <c r="R69" s="64">
        <v>429</v>
      </c>
      <c r="S69" s="64">
        <v>435</v>
      </c>
      <c r="T69" s="64">
        <v>443</v>
      </c>
      <c r="U69" s="64">
        <v>463</v>
      </c>
      <c r="V69" s="64">
        <v>471</v>
      </c>
      <c r="W69" s="64">
        <v>484</v>
      </c>
      <c r="X69" s="64">
        <v>483</v>
      </c>
      <c r="Y69" s="64">
        <v>488</v>
      </c>
      <c r="Z69" s="64">
        <v>478</v>
      </c>
      <c r="AA69" s="64">
        <v>468</v>
      </c>
      <c r="AB69" s="64">
        <v>472</v>
      </c>
      <c r="AC69" s="64">
        <v>481</v>
      </c>
      <c r="AD69" s="64">
        <v>472</v>
      </c>
      <c r="AE69" s="145">
        <v>466</v>
      </c>
      <c r="AF69" s="10"/>
    </row>
    <row r="70" spans="1:32" ht="15" customHeight="1" thickBot="1" x14ac:dyDescent="0.3">
      <c r="A70" s="150">
        <v>85</v>
      </c>
      <c r="B70" s="14" t="s">
        <v>88</v>
      </c>
      <c r="C70" s="67">
        <v>179</v>
      </c>
      <c r="D70" s="67">
        <v>194</v>
      </c>
      <c r="E70" s="67">
        <v>242</v>
      </c>
      <c r="F70" s="67">
        <v>289</v>
      </c>
      <c r="G70" s="67">
        <v>301</v>
      </c>
      <c r="H70" s="67">
        <v>313</v>
      </c>
      <c r="I70" s="67">
        <v>301</v>
      </c>
      <c r="J70" s="67">
        <v>308</v>
      </c>
      <c r="K70" s="67">
        <v>309</v>
      </c>
      <c r="L70" s="67">
        <v>345</v>
      </c>
      <c r="M70" s="67">
        <v>360</v>
      </c>
      <c r="N70" s="67">
        <v>377</v>
      </c>
      <c r="O70" s="67">
        <v>377</v>
      </c>
      <c r="P70" s="67">
        <v>396</v>
      </c>
      <c r="Q70" s="67">
        <v>414</v>
      </c>
      <c r="R70" s="67">
        <v>429</v>
      </c>
      <c r="S70" s="67">
        <v>435</v>
      </c>
      <c r="T70" s="67">
        <v>443</v>
      </c>
      <c r="U70" s="67">
        <v>463</v>
      </c>
      <c r="V70" s="67">
        <v>471</v>
      </c>
      <c r="W70" s="67">
        <v>484</v>
      </c>
      <c r="X70" s="67">
        <v>483</v>
      </c>
      <c r="Y70" s="67">
        <v>488</v>
      </c>
      <c r="Z70" s="67">
        <v>478</v>
      </c>
      <c r="AA70" s="67">
        <v>468</v>
      </c>
      <c r="AB70" s="67">
        <v>472</v>
      </c>
      <c r="AC70" s="67">
        <v>481</v>
      </c>
      <c r="AD70" s="67">
        <v>472</v>
      </c>
      <c r="AE70" s="151">
        <v>466</v>
      </c>
    </row>
    <row r="71" spans="1:32" s="11" customFormat="1" ht="15" customHeight="1" thickBot="1" x14ac:dyDescent="0.3">
      <c r="A71" s="144" t="s">
        <v>89</v>
      </c>
      <c r="B71" s="9" t="s">
        <v>90</v>
      </c>
      <c r="C71" s="64">
        <v>413</v>
      </c>
      <c r="D71" s="64">
        <v>440</v>
      </c>
      <c r="E71" s="64">
        <v>518</v>
      </c>
      <c r="F71" s="64">
        <v>578</v>
      </c>
      <c r="G71" s="64">
        <v>667</v>
      </c>
      <c r="H71" s="64">
        <v>595</v>
      </c>
      <c r="I71" s="64">
        <v>545</v>
      </c>
      <c r="J71" s="64">
        <v>601</v>
      </c>
      <c r="K71" s="64">
        <v>683</v>
      </c>
      <c r="L71" s="64">
        <v>720</v>
      </c>
      <c r="M71" s="64">
        <v>779</v>
      </c>
      <c r="N71" s="64">
        <v>760</v>
      </c>
      <c r="O71" s="64">
        <v>794</v>
      </c>
      <c r="P71" s="64">
        <v>797</v>
      </c>
      <c r="Q71" s="64">
        <v>800</v>
      </c>
      <c r="R71" s="64">
        <v>812</v>
      </c>
      <c r="S71" s="64">
        <v>812</v>
      </c>
      <c r="T71" s="64">
        <v>797</v>
      </c>
      <c r="U71" s="64">
        <v>772</v>
      </c>
      <c r="V71" s="64">
        <v>788</v>
      </c>
      <c r="W71" s="64">
        <v>802</v>
      </c>
      <c r="X71" s="64">
        <v>772</v>
      </c>
      <c r="Y71" s="64">
        <v>731</v>
      </c>
      <c r="Z71" s="64">
        <v>687</v>
      </c>
      <c r="AA71" s="64">
        <v>636</v>
      </c>
      <c r="AB71" s="64">
        <v>623</v>
      </c>
      <c r="AC71" s="64">
        <v>657</v>
      </c>
      <c r="AD71" s="64">
        <v>628</v>
      </c>
      <c r="AE71" s="145">
        <v>582</v>
      </c>
      <c r="AF71" s="10"/>
    </row>
    <row r="72" spans="1:32" ht="15" customHeight="1" x14ac:dyDescent="0.25">
      <c r="A72" s="146">
        <v>90</v>
      </c>
      <c r="B72" s="12" t="s">
        <v>91</v>
      </c>
      <c r="C72" s="65">
        <v>9</v>
      </c>
      <c r="D72" s="65">
        <v>6</v>
      </c>
      <c r="E72" s="65">
        <v>4</v>
      </c>
      <c r="F72" s="65">
        <v>5</v>
      </c>
      <c r="G72" s="65">
        <v>8</v>
      </c>
      <c r="H72" s="65">
        <v>6</v>
      </c>
      <c r="I72" s="65">
        <v>5</v>
      </c>
      <c r="J72" s="65">
        <v>7</v>
      </c>
      <c r="K72" s="65">
        <v>9</v>
      </c>
      <c r="L72" s="65">
        <v>7</v>
      </c>
      <c r="M72" s="65">
        <v>8</v>
      </c>
      <c r="N72" s="65">
        <v>7</v>
      </c>
      <c r="O72" s="65">
        <v>9</v>
      </c>
      <c r="P72" s="65">
        <v>9</v>
      </c>
      <c r="Q72" s="65">
        <v>10</v>
      </c>
      <c r="R72" s="65">
        <v>9</v>
      </c>
      <c r="S72" s="65">
        <v>12</v>
      </c>
      <c r="T72" s="65">
        <v>13</v>
      </c>
      <c r="U72" s="65">
        <v>14</v>
      </c>
      <c r="V72" s="65">
        <v>17</v>
      </c>
      <c r="W72" s="65">
        <v>17</v>
      </c>
      <c r="X72" s="65">
        <v>17</v>
      </c>
      <c r="Y72" s="65">
        <v>16</v>
      </c>
      <c r="Z72" s="65">
        <v>16</v>
      </c>
      <c r="AA72" s="65">
        <v>18</v>
      </c>
      <c r="AB72" s="65">
        <v>18</v>
      </c>
      <c r="AC72" s="65">
        <v>18</v>
      </c>
      <c r="AD72" s="65">
        <v>15</v>
      </c>
      <c r="AE72" s="147">
        <v>16</v>
      </c>
    </row>
    <row r="73" spans="1:32" ht="15" customHeight="1" x14ac:dyDescent="0.25">
      <c r="A73" s="156">
        <v>91</v>
      </c>
      <c r="B73" s="17" t="s">
        <v>92</v>
      </c>
      <c r="C73" s="70">
        <v>153</v>
      </c>
      <c r="D73" s="70">
        <v>167</v>
      </c>
      <c r="E73" s="70">
        <v>183</v>
      </c>
      <c r="F73" s="70">
        <v>215</v>
      </c>
      <c r="G73" s="70">
        <v>221</v>
      </c>
      <c r="H73" s="70">
        <v>214</v>
      </c>
      <c r="I73" s="70">
        <v>206</v>
      </c>
      <c r="J73" s="70">
        <v>208</v>
      </c>
      <c r="K73" s="70">
        <v>200</v>
      </c>
      <c r="L73" s="70">
        <v>205</v>
      </c>
      <c r="M73" s="70">
        <v>212</v>
      </c>
      <c r="N73" s="70">
        <v>219</v>
      </c>
      <c r="O73" s="70">
        <v>232</v>
      </c>
      <c r="P73" s="70">
        <v>232</v>
      </c>
      <c r="Q73" s="70">
        <v>238</v>
      </c>
      <c r="R73" s="70">
        <v>250</v>
      </c>
      <c r="S73" s="70">
        <v>261</v>
      </c>
      <c r="T73" s="70">
        <v>267</v>
      </c>
      <c r="U73" s="70">
        <v>264</v>
      </c>
      <c r="V73" s="70">
        <v>268</v>
      </c>
      <c r="W73" s="70">
        <v>276</v>
      </c>
      <c r="X73" s="70">
        <v>281</v>
      </c>
      <c r="Y73" s="70">
        <v>279</v>
      </c>
      <c r="Z73" s="70">
        <v>278</v>
      </c>
      <c r="AA73" s="70">
        <v>268</v>
      </c>
      <c r="AB73" s="70">
        <v>271</v>
      </c>
      <c r="AC73" s="70">
        <v>270</v>
      </c>
      <c r="AD73" s="70">
        <v>268</v>
      </c>
      <c r="AE73" s="157">
        <v>267</v>
      </c>
    </row>
    <row r="74" spans="1:32" ht="15" customHeight="1" x14ac:dyDescent="0.25">
      <c r="A74" s="156">
        <v>92</v>
      </c>
      <c r="B74" s="17" t="s">
        <v>93</v>
      </c>
      <c r="C74" s="70">
        <v>85</v>
      </c>
      <c r="D74" s="70">
        <v>90</v>
      </c>
      <c r="E74" s="70">
        <v>115</v>
      </c>
      <c r="F74" s="70">
        <v>116</v>
      </c>
      <c r="G74" s="70">
        <v>116</v>
      </c>
      <c r="H74" s="70">
        <v>111</v>
      </c>
      <c r="I74" s="70">
        <v>111</v>
      </c>
      <c r="J74" s="70">
        <v>122</v>
      </c>
      <c r="K74" s="70">
        <v>132</v>
      </c>
      <c r="L74" s="70">
        <v>144</v>
      </c>
      <c r="M74" s="70">
        <v>153</v>
      </c>
      <c r="N74" s="70">
        <v>156</v>
      </c>
      <c r="O74" s="70">
        <v>164</v>
      </c>
      <c r="P74" s="70">
        <v>164</v>
      </c>
      <c r="Q74" s="70">
        <v>172</v>
      </c>
      <c r="R74" s="70">
        <v>172</v>
      </c>
      <c r="S74" s="70">
        <v>177</v>
      </c>
      <c r="T74" s="70">
        <v>168</v>
      </c>
      <c r="U74" s="70">
        <v>169</v>
      </c>
      <c r="V74" s="70">
        <v>179</v>
      </c>
      <c r="W74" s="70">
        <v>186</v>
      </c>
      <c r="X74" s="70">
        <v>179</v>
      </c>
      <c r="Y74" s="70">
        <v>173</v>
      </c>
      <c r="Z74" s="70">
        <v>179</v>
      </c>
      <c r="AA74" s="70">
        <v>163</v>
      </c>
      <c r="AB74" s="70">
        <v>160</v>
      </c>
      <c r="AC74" s="70">
        <v>187</v>
      </c>
      <c r="AD74" s="70">
        <v>173</v>
      </c>
      <c r="AE74" s="157">
        <v>166</v>
      </c>
    </row>
    <row r="75" spans="1:32" ht="15" customHeight="1" thickBot="1" x14ac:dyDescent="0.3">
      <c r="A75" s="158">
        <v>93</v>
      </c>
      <c r="B75" s="18" t="s">
        <v>94</v>
      </c>
      <c r="C75" s="76">
        <v>166</v>
      </c>
      <c r="D75" s="76">
        <v>177</v>
      </c>
      <c r="E75" s="76">
        <v>216</v>
      </c>
      <c r="F75" s="76">
        <v>242</v>
      </c>
      <c r="G75" s="76">
        <v>322</v>
      </c>
      <c r="H75" s="76">
        <v>264</v>
      </c>
      <c r="I75" s="76">
        <v>223</v>
      </c>
      <c r="J75" s="76">
        <v>264</v>
      </c>
      <c r="K75" s="76">
        <v>342</v>
      </c>
      <c r="L75" s="76">
        <v>364</v>
      </c>
      <c r="M75" s="76">
        <v>406</v>
      </c>
      <c r="N75" s="76">
        <v>378</v>
      </c>
      <c r="O75" s="76">
        <v>389</v>
      </c>
      <c r="P75" s="76">
        <v>392</v>
      </c>
      <c r="Q75" s="76">
        <v>380</v>
      </c>
      <c r="R75" s="76">
        <v>381</v>
      </c>
      <c r="S75" s="76">
        <v>362</v>
      </c>
      <c r="T75" s="76">
        <v>349</v>
      </c>
      <c r="U75" s="76">
        <v>325</v>
      </c>
      <c r="V75" s="76">
        <v>324</v>
      </c>
      <c r="W75" s="76">
        <v>323</v>
      </c>
      <c r="X75" s="76">
        <v>295</v>
      </c>
      <c r="Y75" s="76">
        <v>263</v>
      </c>
      <c r="Z75" s="76">
        <v>214</v>
      </c>
      <c r="AA75" s="76">
        <v>187</v>
      </c>
      <c r="AB75" s="76">
        <v>174</v>
      </c>
      <c r="AC75" s="76">
        <v>182</v>
      </c>
      <c r="AD75" s="76">
        <v>172</v>
      </c>
      <c r="AE75" s="165">
        <v>133</v>
      </c>
    </row>
    <row r="76" spans="1:32" s="23" customFormat="1" ht="15" customHeight="1" thickBot="1" x14ac:dyDescent="0.3">
      <c r="A76" s="166"/>
      <c r="B76" s="167" t="s">
        <v>95</v>
      </c>
      <c r="C76" s="168">
        <v>4432</v>
      </c>
      <c r="D76" s="168">
        <v>4559</v>
      </c>
      <c r="E76" s="168">
        <v>5469</v>
      </c>
      <c r="F76" s="168">
        <v>6023</v>
      </c>
      <c r="G76" s="168">
        <v>6648</v>
      </c>
      <c r="H76" s="168">
        <v>6328</v>
      </c>
      <c r="I76" s="168">
        <v>6010</v>
      </c>
      <c r="J76" s="168">
        <v>6557</v>
      </c>
      <c r="K76" s="168">
        <v>7366</v>
      </c>
      <c r="L76" s="168">
        <v>7945</v>
      </c>
      <c r="M76" s="168">
        <v>8428</v>
      </c>
      <c r="N76" s="168">
        <v>8758</v>
      </c>
      <c r="O76" s="168">
        <v>9087</v>
      </c>
      <c r="P76" s="168">
        <v>9158</v>
      </c>
      <c r="Q76" s="168">
        <v>9367</v>
      </c>
      <c r="R76" s="168">
        <v>9470</v>
      </c>
      <c r="S76" s="168">
        <v>9487</v>
      </c>
      <c r="T76" s="168">
        <v>9474</v>
      </c>
      <c r="U76" s="168">
        <v>9553</v>
      </c>
      <c r="V76" s="168">
        <v>9656</v>
      </c>
      <c r="W76" s="168">
        <v>9634</v>
      </c>
      <c r="X76" s="168">
        <v>9501</v>
      </c>
      <c r="Y76" s="168">
        <v>9253</v>
      </c>
      <c r="Z76" s="168">
        <v>9016</v>
      </c>
      <c r="AA76" s="168">
        <v>8687</v>
      </c>
      <c r="AB76" s="168">
        <v>8757</v>
      </c>
      <c r="AC76" s="168">
        <v>9164</v>
      </c>
      <c r="AD76" s="168">
        <v>8956</v>
      </c>
      <c r="AE76" s="169">
        <v>8686</v>
      </c>
      <c r="AF76" s="22"/>
    </row>
    <row r="77" spans="1:32" ht="12" customHeight="1" x14ac:dyDescent="0.25">
      <c r="A77" s="7"/>
      <c r="B77" s="7"/>
      <c r="C77" s="7"/>
      <c r="D77" s="7"/>
      <c r="E77" s="24"/>
      <c r="F77" s="7"/>
      <c r="G77" s="25"/>
      <c r="H77" s="7"/>
      <c r="I77" s="7"/>
      <c r="J77" s="7"/>
      <c r="K77" s="7"/>
      <c r="L77" s="7"/>
      <c r="M77" s="7"/>
      <c r="N77" s="7"/>
      <c r="O77" s="7"/>
      <c r="P77" s="7"/>
      <c r="Q77" s="7"/>
      <c r="R77" s="7"/>
      <c r="S77" s="7"/>
      <c r="T77" s="7"/>
      <c r="U77" s="7"/>
      <c r="V77" s="7"/>
      <c r="W77" s="7"/>
      <c r="X77" s="7"/>
      <c r="Y77" s="7"/>
      <c r="Z77" s="7"/>
      <c r="AA77" s="7"/>
      <c r="AB77" s="7"/>
      <c r="AC77" s="7"/>
      <c r="AD77" s="7"/>
      <c r="AE77" s="7"/>
    </row>
    <row r="78" spans="1:32" ht="11.25" x14ac:dyDescent="0.25">
      <c r="A78" s="307" t="s">
        <v>96</v>
      </c>
      <c r="B78" s="307"/>
      <c r="C78" s="277"/>
      <c r="D78" s="277"/>
      <c r="E78" s="277"/>
      <c r="F78" s="26"/>
      <c r="G78" s="26"/>
      <c r="H78" s="7"/>
      <c r="I78" s="7"/>
      <c r="J78" s="7"/>
      <c r="K78" s="7"/>
      <c r="L78" s="7"/>
      <c r="M78" s="7"/>
      <c r="N78" s="7"/>
      <c r="O78" s="7"/>
      <c r="P78" s="7"/>
      <c r="Q78" s="7"/>
      <c r="R78" s="7"/>
      <c r="S78" s="7"/>
      <c r="T78" s="7"/>
      <c r="U78" s="7"/>
      <c r="V78" s="7"/>
      <c r="W78" s="7"/>
      <c r="X78" s="7"/>
      <c r="Y78" s="7"/>
      <c r="Z78" s="7"/>
      <c r="AA78" s="7"/>
      <c r="AB78" s="7"/>
      <c r="AC78" s="7"/>
      <c r="AD78" s="7"/>
      <c r="AE78" s="7"/>
    </row>
    <row r="79" spans="1:32" ht="26.45" customHeight="1" x14ac:dyDescent="0.25">
      <c r="A79" s="307" t="s">
        <v>381</v>
      </c>
      <c r="B79" s="307"/>
      <c r="C79" s="307"/>
      <c r="D79" s="277"/>
      <c r="E79" s="277"/>
      <c r="F79" s="277"/>
      <c r="G79" s="277"/>
      <c r="H79" s="27"/>
      <c r="I79" s="27"/>
      <c r="J79" s="27"/>
      <c r="K79" s="27"/>
      <c r="L79" s="7"/>
      <c r="M79" s="7"/>
      <c r="N79" s="7"/>
      <c r="O79" s="7"/>
      <c r="P79" s="7"/>
      <c r="Q79" s="7"/>
      <c r="R79" s="7"/>
      <c r="S79" s="7"/>
      <c r="T79" s="7"/>
      <c r="U79" s="7"/>
      <c r="V79" s="7"/>
      <c r="W79" s="7"/>
      <c r="X79" s="7"/>
      <c r="Y79" s="7"/>
      <c r="Z79" s="7"/>
      <c r="AA79" s="7"/>
      <c r="AB79" s="7"/>
      <c r="AC79" s="7"/>
      <c r="AD79" s="7"/>
      <c r="AE79" s="7"/>
    </row>
    <row r="80" spans="1:32" ht="26.45" customHeight="1" x14ac:dyDescent="0.25">
      <c r="A80" s="307" t="s">
        <v>382</v>
      </c>
      <c r="B80" s="307"/>
      <c r="C80" s="307"/>
      <c r="D80" s="277"/>
      <c r="E80" s="277"/>
      <c r="F80" s="277"/>
      <c r="G80" s="277"/>
      <c r="H80" s="27"/>
      <c r="I80" s="27"/>
      <c r="J80" s="27"/>
      <c r="K80" s="27"/>
      <c r="L80" s="7"/>
      <c r="M80" s="7"/>
      <c r="N80" s="7"/>
      <c r="O80" s="7"/>
      <c r="P80" s="7"/>
      <c r="Q80" s="7"/>
      <c r="R80" s="7"/>
      <c r="S80" s="7"/>
      <c r="T80" s="7"/>
      <c r="U80" s="7"/>
      <c r="V80" s="7"/>
      <c r="W80" s="7"/>
      <c r="X80" s="7"/>
      <c r="Y80" s="7"/>
      <c r="Z80" s="7"/>
      <c r="AA80" s="7"/>
      <c r="AB80" s="7"/>
      <c r="AC80" s="7"/>
      <c r="AD80" s="7"/>
      <c r="AE80" s="7"/>
    </row>
    <row r="81" spans="1:31" ht="26.45" customHeight="1" x14ac:dyDescent="0.25">
      <c r="A81" s="307" t="s">
        <v>151</v>
      </c>
      <c r="B81" s="307"/>
      <c r="C81" s="307"/>
      <c r="D81" s="277"/>
      <c r="E81" s="277"/>
      <c r="F81" s="277"/>
      <c r="G81" s="277"/>
      <c r="H81" s="27"/>
      <c r="I81" s="27"/>
      <c r="J81" s="27"/>
      <c r="K81" s="27"/>
      <c r="L81" s="7"/>
      <c r="M81" s="7"/>
      <c r="N81" s="7"/>
      <c r="O81" s="7"/>
      <c r="P81" s="7"/>
      <c r="Q81" s="7"/>
      <c r="R81" s="7"/>
      <c r="S81" s="7"/>
      <c r="T81" s="7"/>
      <c r="U81" s="7"/>
      <c r="V81" s="7"/>
      <c r="W81" s="7"/>
      <c r="X81" s="7"/>
      <c r="Y81" s="7"/>
      <c r="Z81" s="7"/>
      <c r="AA81" s="7"/>
      <c r="AB81" s="7"/>
      <c r="AC81" s="7"/>
      <c r="AD81" s="7"/>
      <c r="AE81" s="7"/>
    </row>
    <row r="82" spans="1:31" s="29" customFormat="1" ht="46.5" customHeight="1" x14ac:dyDescent="0.25">
      <c r="A82" s="307" t="s">
        <v>384</v>
      </c>
      <c r="B82" s="307"/>
      <c r="C82" s="307"/>
      <c r="D82" s="307"/>
      <c r="E82" s="307"/>
      <c r="F82" s="307"/>
      <c r="G82" s="307"/>
      <c r="H82" s="28"/>
      <c r="I82" s="28"/>
      <c r="J82" s="28"/>
    </row>
    <row r="83" spans="1:31" ht="19.899999999999999" customHeight="1" x14ac:dyDescent="0.25">
      <c r="A83" s="276"/>
      <c r="B83" s="276"/>
      <c r="C83" s="276"/>
      <c r="D83" s="276"/>
      <c r="E83" s="276"/>
      <c r="F83" s="276"/>
      <c r="G83" s="276"/>
      <c r="H83" s="28"/>
      <c r="I83" s="28"/>
      <c r="J83" s="28"/>
      <c r="K83" s="7"/>
      <c r="L83" s="7"/>
      <c r="M83" s="7"/>
      <c r="N83" s="7"/>
      <c r="O83" s="7"/>
      <c r="P83" s="7"/>
      <c r="Q83" s="7"/>
      <c r="R83" s="7"/>
      <c r="S83" s="7"/>
      <c r="T83" s="7"/>
      <c r="U83" s="7"/>
      <c r="V83" s="7"/>
      <c r="W83" s="7"/>
      <c r="X83" s="7"/>
      <c r="Y83" s="7"/>
      <c r="Z83" s="7"/>
      <c r="AA83" s="7"/>
      <c r="AB83" s="7"/>
      <c r="AC83" s="7"/>
      <c r="AD83" s="7"/>
      <c r="AE83" s="7"/>
    </row>
    <row r="84" spans="1:31" ht="6.75" customHeight="1" x14ac:dyDescent="0.25">
      <c r="A84" s="7"/>
      <c r="B84" s="7"/>
      <c r="C84" s="7"/>
      <c r="D84" s="7"/>
      <c r="E84" s="7"/>
      <c r="F84" s="7"/>
      <c r="G84" s="7"/>
      <c r="H84" s="7"/>
      <c r="I84" s="7"/>
      <c r="J84" s="7"/>
      <c r="K84" s="7"/>
      <c r="L84" s="7"/>
      <c r="M84" s="7"/>
      <c r="N84" s="7"/>
      <c r="O84" s="7"/>
      <c r="P84" s="7"/>
      <c r="Q84" s="7"/>
      <c r="R84" s="7"/>
      <c r="S84" s="7"/>
      <c r="T84" s="7"/>
      <c r="U84" s="7"/>
      <c r="V84" s="7"/>
      <c r="W84" s="7"/>
      <c r="X84" s="7"/>
      <c r="Y84" s="7"/>
      <c r="Z84" s="7"/>
      <c r="AA84" s="7"/>
      <c r="AB84" s="7"/>
      <c r="AC84" s="7"/>
      <c r="AD84" s="7"/>
      <c r="AE84" s="7"/>
    </row>
    <row r="85" spans="1:31" ht="0" hidden="1" customHeight="1" x14ac:dyDescent="0.25"/>
    <row r="86" spans="1:31" ht="0" hidden="1" customHeight="1" x14ac:dyDescent="0.25"/>
    <row r="87" spans="1:31" ht="0" hidden="1" customHeight="1" x14ac:dyDescent="0.25"/>
    <row r="88" spans="1:31" ht="0" hidden="1" customHeight="1" x14ac:dyDescent="0.25"/>
    <row r="89" spans="1:31" ht="0" hidden="1" customHeight="1" x14ac:dyDescent="0.25"/>
    <row r="90" spans="1:31" ht="0" hidden="1" customHeight="1" x14ac:dyDescent="0.25"/>
    <row r="91" spans="1:31" ht="0" hidden="1" customHeight="1" x14ac:dyDescent="0.25"/>
    <row r="92" spans="1:31" ht="0" hidden="1" customHeight="1" x14ac:dyDescent="0.25"/>
    <row r="93" spans="1:31" ht="0" hidden="1" customHeight="1" x14ac:dyDescent="0.25"/>
    <row r="94" spans="1:31" ht="0" hidden="1" customHeight="1" x14ac:dyDescent="0.25"/>
  </sheetData>
  <mergeCells count="37">
    <mergeCell ref="Q4:Q5"/>
    <mergeCell ref="F4:F5"/>
    <mergeCell ref="G4:G5"/>
    <mergeCell ref="A82:G82"/>
    <mergeCell ref="W4:W5"/>
    <mergeCell ref="A79:C79"/>
    <mergeCell ref="A80:C80"/>
    <mergeCell ref="A81:C81"/>
    <mergeCell ref="A78:B78"/>
    <mergeCell ref="H4:H5"/>
    <mergeCell ref="X4:X5"/>
    <mergeCell ref="S4:S5"/>
    <mergeCell ref="T4:T5"/>
    <mergeCell ref="U4:U5"/>
    <mergeCell ref="V4:V5"/>
    <mergeCell ref="A2:C2"/>
    <mergeCell ref="B4:B5"/>
    <mergeCell ref="C4:C5"/>
    <mergeCell ref="D4:D5"/>
    <mergeCell ref="E4:E5"/>
    <mergeCell ref="A4:A5"/>
    <mergeCell ref="AB4:AB5"/>
    <mergeCell ref="I4:I5"/>
    <mergeCell ref="O4:O5"/>
    <mergeCell ref="AE4:AE5"/>
    <mergeCell ref="J4:J5"/>
    <mergeCell ref="AA4:AA5"/>
    <mergeCell ref="Z4:Z5"/>
    <mergeCell ref="Y4:Y5"/>
    <mergeCell ref="R4:R5"/>
    <mergeCell ref="K4:K5"/>
    <mergeCell ref="L4:L5"/>
    <mergeCell ref="M4:M5"/>
    <mergeCell ref="N4:N5"/>
    <mergeCell ref="AC4:AC5"/>
    <mergeCell ref="P4:P5"/>
    <mergeCell ref="AD4:AD5"/>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3"/>
  <dimension ref="A1:DW94"/>
  <sheetViews>
    <sheetView zoomScale="115" zoomScaleNormal="115" workbookViewId="0">
      <pane xSplit="2" ySplit="5" topLeftCell="C6" activePane="bottomRight" state="frozen"/>
      <selection activeCell="C6" sqref="C6"/>
      <selection pane="topRight" activeCell="C6" sqref="C6"/>
      <selection pane="bottomLeft" activeCell="C6" sqref="C6"/>
      <selection pane="bottomRight" activeCell="C6" sqref="C6"/>
    </sheetView>
  </sheetViews>
  <sheetFormatPr baseColWidth="10" defaultColWidth="0" defaultRowHeight="0" customHeight="1" zeroHeight="1" x14ac:dyDescent="0.25"/>
  <cols>
    <col min="1" max="1" width="5.7109375" style="8" customWidth="1"/>
    <col min="2" max="2" width="62.7109375" style="8" customWidth="1"/>
    <col min="3" max="4" width="11.140625" style="30" customWidth="1"/>
    <col min="5" max="6" width="11.140625" style="8" customWidth="1"/>
    <col min="7" max="7" width="11.140625" style="31" customWidth="1"/>
    <col min="8" max="31" width="11.140625" style="8" customWidth="1"/>
    <col min="32" max="32" width="4.28515625" style="7" customWidth="1"/>
    <col min="33" max="127" width="0" style="8" hidden="1" customWidth="1"/>
    <col min="128" max="16384" width="11.140625" style="8" hidden="1"/>
  </cols>
  <sheetData>
    <row r="1" spans="1:32" s="5" customFormat="1" ht="25.5" customHeight="1" thickBot="1" x14ac:dyDescent="0.25">
      <c r="A1" s="1"/>
      <c r="B1" s="2"/>
      <c r="C1" s="3"/>
      <c r="D1" s="172" t="s">
        <v>0</v>
      </c>
      <c r="E1" s="171"/>
      <c r="F1" s="171"/>
      <c r="G1" s="173"/>
      <c r="H1" s="171"/>
      <c r="I1" s="171"/>
      <c r="J1" s="171"/>
      <c r="K1" s="171"/>
      <c r="L1" s="171"/>
      <c r="M1" s="171"/>
      <c r="N1" s="171"/>
      <c r="O1" s="171"/>
      <c r="P1" s="171"/>
      <c r="Q1" s="171"/>
      <c r="R1" s="171"/>
      <c r="S1" s="171"/>
      <c r="T1" s="171"/>
      <c r="U1" s="171"/>
      <c r="V1" s="171"/>
      <c r="W1" s="171"/>
      <c r="X1" s="171"/>
      <c r="Y1" s="171"/>
      <c r="Z1" s="171"/>
      <c r="AA1" s="171"/>
      <c r="AB1" s="171"/>
      <c r="AC1" s="171"/>
      <c r="AD1" s="171"/>
      <c r="AE1" s="171"/>
      <c r="AF1" s="2"/>
    </row>
    <row r="2" spans="1:32" s="7" customFormat="1" ht="22.5" customHeight="1" thickBot="1" x14ac:dyDescent="0.3">
      <c r="A2" s="303" t="s">
        <v>104</v>
      </c>
      <c r="B2" s="304"/>
      <c r="C2" s="304"/>
      <c r="D2" s="140"/>
      <c r="E2" s="140"/>
      <c r="F2" s="140"/>
      <c r="G2" s="140"/>
      <c r="H2" s="140"/>
      <c r="I2" s="140"/>
      <c r="J2" s="140"/>
      <c r="K2" s="140"/>
      <c r="L2" s="140"/>
      <c r="M2" s="140"/>
      <c r="N2" s="140"/>
      <c r="O2" s="140"/>
      <c r="P2" s="140"/>
      <c r="Q2" s="140"/>
      <c r="R2" s="140"/>
      <c r="S2" s="140"/>
      <c r="T2" s="140"/>
      <c r="U2" s="140"/>
      <c r="V2" s="140"/>
      <c r="W2" s="140"/>
      <c r="X2" s="140"/>
      <c r="Y2" s="140"/>
      <c r="Z2" s="140"/>
      <c r="AA2" s="140"/>
      <c r="AB2" s="140"/>
      <c r="AC2" s="140"/>
      <c r="AD2" s="140"/>
      <c r="AE2" s="141"/>
    </row>
    <row r="3" spans="1:32" ht="16.5" customHeight="1" thickBot="1" x14ac:dyDescent="0.25">
      <c r="A3" s="142" t="s">
        <v>299</v>
      </c>
      <c r="B3" s="57"/>
      <c r="C3" s="57"/>
      <c r="D3" s="58"/>
      <c r="E3" s="58"/>
      <c r="F3" s="58"/>
      <c r="G3" s="58"/>
      <c r="H3" s="59"/>
      <c r="I3" s="59"/>
      <c r="J3" s="59"/>
      <c r="K3" s="59"/>
      <c r="L3" s="59"/>
      <c r="M3" s="59"/>
      <c r="N3" s="59"/>
      <c r="O3" s="59"/>
      <c r="P3" s="59"/>
      <c r="Q3" s="59"/>
      <c r="R3" s="59"/>
      <c r="S3" s="59"/>
      <c r="T3" s="59"/>
      <c r="U3" s="59"/>
      <c r="V3" s="59"/>
      <c r="W3" s="59"/>
      <c r="X3" s="59"/>
      <c r="Y3" s="59"/>
      <c r="Z3" s="59"/>
      <c r="AA3" s="59"/>
      <c r="AB3" s="59"/>
      <c r="AC3" s="59"/>
      <c r="AD3" s="59"/>
      <c r="AE3" s="143"/>
    </row>
    <row r="4" spans="1:32" ht="15.75" customHeight="1" x14ac:dyDescent="0.25">
      <c r="A4" s="310"/>
      <c r="B4" s="308" t="s">
        <v>2</v>
      </c>
      <c r="C4" s="301">
        <v>1996</v>
      </c>
      <c r="D4" s="301">
        <v>1997</v>
      </c>
      <c r="E4" s="301">
        <v>1998</v>
      </c>
      <c r="F4" s="301">
        <v>1999</v>
      </c>
      <c r="G4" s="301">
        <v>2000</v>
      </c>
      <c r="H4" s="301">
        <v>2001</v>
      </c>
      <c r="I4" s="301">
        <v>2002</v>
      </c>
      <c r="J4" s="301">
        <v>2003</v>
      </c>
      <c r="K4" s="301">
        <v>2004</v>
      </c>
      <c r="L4" s="301">
        <v>2005</v>
      </c>
      <c r="M4" s="301">
        <v>2006</v>
      </c>
      <c r="N4" s="301">
        <v>2007</v>
      </c>
      <c r="O4" s="301">
        <v>2008</v>
      </c>
      <c r="P4" s="301">
        <v>2009</v>
      </c>
      <c r="Q4" s="301">
        <v>2010</v>
      </c>
      <c r="R4" s="301">
        <v>2011</v>
      </c>
      <c r="S4" s="301">
        <v>2012</v>
      </c>
      <c r="T4" s="301">
        <v>2013</v>
      </c>
      <c r="U4" s="301">
        <v>2014</v>
      </c>
      <c r="V4" s="301">
        <v>2015</v>
      </c>
      <c r="W4" s="301">
        <v>2016</v>
      </c>
      <c r="X4" s="301">
        <v>2017</v>
      </c>
      <c r="Y4" s="301">
        <v>2018</v>
      </c>
      <c r="Z4" s="301">
        <v>2019</v>
      </c>
      <c r="AA4" s="301">
        <v>2020</v>
      </c>
      <c r="AB4" s="301">
        <v>2021</v>
      </c>
      <c r="AC4" s="301">
        <v>2022</v>
      </c>
      <c r="AD4" s="301">
        <v>2023</v>
      </c>
      <c r="AE4" s="299">
        <v>2024</v>
      </c>
    </row>
    <row r="5" spans="1:32" ht="15.75" customHeight="1" thickBot="1" x14ac:dyDescent="0.3">
      <c r="A5" s="311"/>
      <c r="B5" s="309"/>
      <c r="C5" s="302"/>
      <c r="D5" s="302" t="s">
        <v>3</v>
      </c>
      <c r="E5" s="302"/>
      <c r="F5" s="302" t="s">
        <v>4</v>
      </c>
      <c r="G5" s="302"/>
      <c r="H5" s="302" t="s">
        <v>5</v>
      </c>
      <c r="I5" s="302"/>
      <c r="J5" s="302" t="s">
        <v>6</v>
      </c>
      <c r="K5" s="302"/>
      <c r="L5" s="302" t="s">
        <v>7</v>
      </c>
      <c r="M5" s="302"/>
      <c r="N5" s="302" t="s">
        <v>8</v>
      </c>
      <c r="O5" s="302"/>
      <c r="P5" s="302" t="s">
        <v>9</v>
      </c>
      <c r="Q5" s="302"/>
      <c r="R5" s="302" t="s">
        <v>10</v>
      </c>
      <c r="S5" s="302"/>
      <c r="T5" s="302"/>
      <c r="U5" s="302"/>
      <c r="V5" s="302"/>
      <c r="W5" s="302"/>
      <c r="X5" s="302"/>
      <c r="Y5" s="302"/>
      <c r="Z5" s="302"/>
      <c r="AA5" s="302"/>
      <c r="AB5" s="302"/>
      <c r="AC5" s="302"/>
      <c r="AD5" s="302"/>
      <c r="AE5" s="300"/>
    </row>
    <row r="6" spans="1:32" s="11" customFormat="1" ht="15" customHeight="1" thickBot="1" x14ac:dyDescent="0.3">
      <c r="A6" s="144" t="s">
        <v>11</v>
      </c>
      <c r="B6" s="9" t="s">
        <v>12</v>
      </c>
      <c r="C6" s="64">
        <v>3302</v>
      </c>
      <c r="D6" s="64">
        <v>3302</v>
      </c>
      <c r="E6" s="64">
        <v>3256</v>
      </c>
      <c r="F6" s="64">
        <v>3285</v>
      </c>
      <c r="G6" s="64">
        <v>3170</v>
      </c>
      <c r="H6" s="64">
        <v>3070</v>
      </c>
      <c r="I6" s="64">
        <v>2970</v>
      </c>
      <c r="J6" s="64">
        <v>3188</v>
      </c>
      <c r="K6" s="64">
        <v>3453</v>
      </c>
      <c r="L6" s="64">
        <v>3754</v>
      </c>
      <c r="M6" s="64">
        <v>4015</v>
      </c>
      <c r="N6" s="64">
        <v>4169</v>
      </c>
      <c r="O6" s="64">
        <v>4288</v>
      </c>
      <c r="P6" s="64">
        <v>4210</v>
      </c>
      <c r="Q6" s="64">
        <v>4295</v>
      </c>
      <c r="R6" s="64">
        <v>4451</v>
      </c>
      <c r="S6" s="64">
        <v>4347</v>
      </c>
      <c r="T6" s="64">
        <v>4262</v>
      </c>
      <c r="U6" s="64">
        <v>4169</v>
      </c>
      <c r="V6" s="64">
        <v>4043</v>
      </c>
      <c r="W6" s="64">
        <v>3969</v>
      </c>
      <c r="X6" s="64">
        <v>3924</v>
      </c>
      <c r="Y6" s="64">
        <v>3832</v>
      </c>
      <c r="Z6" s="64">
        <v>3833</v>
      </c>
      <c r="AA6" s="64">
        <v>3821</v>
      </c>
      <c r="AB6" s="64">
        <v>3842</v>
      </c>
      <c r="AC6" s="64">
        <v>3930</v>
      </c>
      <c r="AD6" s="64">
        <v>3873</v>
      </c>
      <c r="AE6" s="145">
        <v>3814</v>
      </c>
      <c r="AF6" s="10"/>
    </row>
    <row r="7" spans="1:32" ht="15" customHeight="1" x14ac:dyDescent="0.25">
      <c r="A7" s="146">
        <v>1</v>
      </c>
      <c r="B7" s="12" t="s">
        <v>13</v>
      </c>
      <c r="C7" s="68">
        <v>3222</v>
      </c>
      <c r="D7" s="68">
        <v>3227</v>
      </c>
      <c r="E7" s="68">
        <v>3185</v>
      </c>
      <c r="F7" s="68">
        <v>3210</v>
      </c>
      <c r="G7" s="68">
        <v>3089</v>
      </c>
      <c r="H7" s="68">
        <v>2985</v>
      </c>
      <c r="I7" s="68">
        <v>2889</v>
      </c>
      <c r="J7" s="68">
        <v>3101</v>
      </c>
      <c r="K7" s="68">
        <v>3362</v>
      </c>
      <c r="L7" s="68">
        <v>3647</v>
      </c>
      <c r="M7" s="68">
        <v>3891</v>
      </c>
      <c r="N7" s="68">
        <v>4043</v>
      </c>
      <c r="O7" s="68">
        <v>4160</v>
      </c>
      <c r="P7" s="68">
        <v>4093</v>
      </c>
      <c r="Q7" s="68">
        <v>4170</v>
      </c>
      <c r="R7" s="68">
        <v>4308</v>
      </c>
      <c r="S7" s="68">
        <v>4210</v>
      </c>
      <c r="T7" s="68">
        <v>4129</v>
      </c>
      <c r="U7" s="68">
        <v>4046</v>
      </c>
      <c r="V7" s="68">
        <v>3922</v>
      </c>
      <c r="W7" s="68">
        <v>3847</v>
      </c>
      <c r="X7" s="68">
        <v>3803</v>
      </c>
      <c r="Y7" s="68">
        <v>3718</v>
      </c>
      <c r="Z7" s="68">
        <v>3713</v>
      </c>
      <c r="AA7" s="68">
        <v>3712</v>
      </c>
      <c r="AB7" s="68">
        <v>3715</v>
      </c>
      <c r="AC7" s="68">
        <v>3797</v>
      </c>
      <c r="AD7" s="68">
        <v>3742</v>
      </c>
      <c r="AE7" s="147">
        <v>3691</v>
      </c>
    </row>
    <row r="8" spans="1:32" ht="15" customHeight="1" thickBot="1" x14ac:dyDescent="0.3">
      <c r="A8" s="148">
        <v>2</v>
      </c>
      <c r="B8" s="13" t="s">
        <v>14</v>
      </c>
      <c r="C8" s="69">
        <v>80</v>
      </c>
      <c r="D8" s="69">
        <v>75</v>
      </c>
      <c r="E8" s="69">
        <v>71</v>
      </c>
      <c r="F8" s="69">
        <v>75</v>
      </c>
      <c r="G8" s="69">
        <v>81</v>
      </c>
      <c r="H8" s="69">
        <v>85</v>
      </c>
      <c r="I8" s="69">
        <v>81</v>
      </c>
      <c r="J8" s="69">
        <v>87</v>
      </c>
      <c r="K8" s="69">
        <v>91</v>
      </c>
      <c r="L8" s="69">
        <v>107</v>
      </c>
      <c r="M8" s="69">
        <v>124</v>
      </c>
      <c r="N8" s="69">
        <v>126</v>
      </c>
      <c r="O8" s="69">
        <v>128</v>
      </c>
      <c r="P8" s="69">
        <v>117</v>
      </c>
      <c r="Q8" s="69">
        <v>125</v>
      </c>
      <c r="R8" s="69">
        <v>143</v>
      </c>
      <c r="S8" s="69">
        <v>137</v>
      </c>
      <c r="T8" s="69">
        <v>133</v>
      </c>
      <c r="U8" s="69">
        <v>123</v>
      </c>
      <c r="V8" s="69">
        <v>121</v>
      </c>
      <c r="W8" s="69">
        <v>122</v>
      </c>
      <c r="X8" s="69">
        <v>121</v>
      </c>
      <c r="Y8" s="69">
        <v>114</v>
      </c>
      <c r="Z8" s="69">
        <v>120</v>
      </c>
      <c r="AA8" s="69">
        <v>109</v>
      </c>
      <c r="AB8" s="69">
        <v>127</v>
      </c>
      <c r="AC8" s="69">
        <v>133</v>
      </c>
      <c r="AD8" s="69">
        <v>131</v>
      </c>
      <c r="AE8" s="149">
        <v>123</v>
      </c>
    </row>
    <row r="9" spans="1:32" s="11" customFormat="1" ht="15" customHeight="1" thickBot="1" x14ac:dyDescent="0.3">
      <c r="A9" s="144" t="s">
        <v>15</v>
      </c>
      <c r="B9" s="9" t="s">
        <v>16</v>
      </c>
      <c r="C9" s="64" t="s">
        <v>383</v>
      </c>
      <c r="D9" s="64" t="s">
        <v>383</v>
      </c>
      <c r="E9" s="64" t="s">
        <v>383</v>
      </c>
      <c r="F9" s="64" t="s">
        <v>383</v>
      </c>
      <c r="G9" s="64" t="s">
        <v>383</v>
      </c>
      <c r="H9" s="64" t="s">
        <v>383</v>
      </c>
      <c r="I9" s="64">
        <v>4</v>
      </c>
      <c r="J9" s="64">
        <v>4</v>
      </c>
      <c r="K9" s="64">
        <v>5</v>
      </c>
      <c r="L9" s="64">
        <v>6</v>
      </c>
      <c r="M9" s="64">
        <v>7</v>
      </c>
      <c r="N9" s="64">
        <v>5</v>
      </c>
      <c r="O9" s="64">
        <v>8</v>
      </c>
      <c r="P9" s="64">
        <v>11</v>
      </c>
      <c r="Q9" s="64">
        <v>11</v>
      </c>
      <c r="R9" s="64">
        <v>12</v>
      </c>
      <c r="S9" s="64">
        <v>9</v>
      </c>
      <c r="T9" s="64">
        <v>6</v>
      </c>
      <c r="U9" s="64">
        <v>8</v>
      </c>
      <c r="V9" s="64">
        <v>9</v>
      </c>
      <c r="W9" s="64">
        <v>10</v>
      </c>
      <c r="X9" s="64">
        <v>9</v>
      </c>
      <c r="Y9" s="64">
        <v>8</v>
      </c>
      <c r="Z9" s="64">
        <v>7</v>
      </c>
      <c r="AA9" s="64">
        <v>9</v>
      </c>
      <c r="AB9" s="64">
        <v>6</v>
      </c>
      <c r="AC9" s="64">
        <v>5</v>
      </c>
      <c r="AD9" s="64">
        <v>6</v>
      </c>
      <c r="AE9" s="145">
        <v>4</v>
      </c>
      <c r="AF9" s="10"/>
    </row>
    <row r="10" spans="1:32" ht="15" customHeight="1" thickBot="1" x14ac:dyDescent="0.3">
      <c r="A10" s="150">
        <v>5</v>
      </c>
      <c r="B10" s="14" t="s">
        <v>17</v>
      </c>
      <c r="C10" s="67" t="s">
        <v>383</v>
      </c>
      <c r="D10" s="67" t="s">
        <v>383</v>
      </c>
      <c r="E10" s="67" t="s">
        <v>383</v>
      </c>
      <c r="F10" s="67" t="s">
        <v>383</v>
      </c>
      <c r="G10" s="67" t="s">
        <v>383</v>
      </c>
      <c r="H10" s="67" t="s">
        <v>383</v>
      </c>
      <c r="I10" s="67">
        <v>4</v>
      </c>
      <c r="J10" s="67">
        <v>4</v>
      </c>
      <c r="K10" s="67">
        <v>5</v>
      </c>
      <c r="L10" s="67">
        <v>6</v>
      </c>
      <c r="M10" s="67">
        <v>7</v>
      </c>
      <c r="N10" s="67">
        <v>5</v>
      </c>
      <c r="O10" s="67">
        <v>8</v>
      </c>
      <c r="P10" s="67">
        <v>11</v>
      </c>
      <c r="Q10" s="67">
        <v>11</v>
      </c>
      <c r="R10" s="67">
        <v>12</v>
      </c>
      <c r="S10" s="67">
        <v>9</v>
      </c>
      <c r="T10" s="67">
        <v>6</v>
      </c>
      <c r="U10" s="67">
        <v>8</v>
      </c>
      <c r="V10" s="67">
        <v>9</v>
      </c>
      <c r="W10" s="67">
        <v>10</v>
      </c>
      <c r="X10" s="67">
        <v>9</v>
      </c>
      <c r="Y10" s="67">
        <v>8</v>
      </c>
      <c r="Z10" s="67">
        <v>7</v>
      </c>
      <c r="AA10" s="67">
        <v>9</v>
      </c>
      <c r="AB10" s="67">
        <v>6</v>
      </c>
      <c r="AC10" s="67">
        <v>5</v>
      </c>
      <c r="AD10" s="67">
        <v>6</v>
      </c>
      <c r="AE10" s="151">
        <v>4</v>
      </c>
    </row>
    <row r="11" spans="1:32" s="11" customFormat="1" ht="15" customHeight="1" thickBot="1" x14ac:dyDescent="0.3">
      <c r="A11" s="144" t="s">
        <v>18</v>
      </c>
      <c r="B11" s="9" t="s">
        <v>19</v>
      </c>
      <c r="C11" s="64">
        <v>37</v>
      </c>
      <c r="D11" s="64">
        <v>37</v>
      </c>
      <c r="E11" s="64">
        <v>34</v>
      </c>
      <c r="F11" s="64">
        <v>36</v>
      </c>
      <c r="G11" s="64">
        <v>35</v>
      </c>
      <c r="H11" s="64">
        <v>37</v>
      </c>
      <c r="I11" s="64">
        <v>30</v>
      </c>
      <c r="J11" s="64">
        <v>32</v>
      </c>
      <c r="K11" s="64">
        <v>38</v>
      </c>
      <c r="L11" s="64">
        <v>44</v>
      </c>
      <c r="M11" s="64">
        <v>40</v>
      </c>
      <c r="N11" s="64">
        <v>40</v>
      </c>
      <c r="O11" s="64">
        <v>41</v>
      </c>
      <c r="P11" s="64">
        <v>34</v>
      </c>
      <c r="Q11" s="64">
        <v>33</v>
      </c>
      <c r="R11" s="64">
        <v>33</v>
      </c>
      <c r="S11" s="64">
        <v>33</v>
      </c>
      <c r="T11" s="64">
        <v>39</v>
      </c>
      <c r="U11" s="64">
        <v>38</v>
      </c>
      <c r="V11" s="64">
        <v>34</v>
      </c>
      <c r="W11" s="64">
        <v>32</v>
      </c>
      <c r="X11" s="64">
        <v>32</v>
      </c>
      <c r="Y11" s="64">
        <v>30</v>
      </c>
      <c r="Z11" s="64">
        <v>34</v>
      </c>
      <c r="AA11" s="64">
        <v>33</v>
      </c>
      <c r="AB11" s="64">
        <v>38</v>
      </c>
      <c r="AC11" s="64">
        <v>44</v>
      </c>
      <c r="AD11" s="64">
        <v>42</v>
      </c>
      <c r="AE11" s="145">
        <v>42</v>
      </c>
      <c r="AF11" s="10"/>
    </row>
    <row r="12" spans="1:32" ht="15" customHeight="1" x14ac:dyDescent="0.25">
      <c r="A12" s="152">
        <v>11</v>
      </c>
      <c r="B12" s="15" t="s">
        <v>20</v>
      </c>
      <c r="C12" s="68" t="s">
        <v>383</v>
      </c>
      <c r="D12" s="68" t="s">
        <v>383</v>
      </c>
      <c r="E12" s="68" t="s">
        <v>383</v>
      </c>
      <c r="F12" s="68" t="s">
        <v>383</v>
      </c>
      <c r="G12" s="68" t="s">
        <v>383</v>
      </c>
      <c r="H12" s="68" t="s">
        <v>383</v>
      </c>
      <c r="I12" s="68" t="s">
        <v>383</v>
      </c>
      <c r="J12" s="68" t="s">
        <v>383</v>
      </c>
      <c r="K12" s="68" t="s">
        <v>383</v>
      </c>
      <c r="L12" s="68" t="s">
        <v>383</v>
      </c>
      <c r="M12" s="68" t="s">
        <v>383</v>
      </c>
      <c r="N12" s="68" t="s">
        <v>383</v>
      </c>
      <c r="O12" s="68" t="s">
        <v>383</v>
      </c>
      <c r="P12" s="68" t="s">
        <v>383</v>
      </c>
      <c r="Q12" s="68" t="s">
        <v>383</v>
      </c>
      <c r="R12" s="68" t="s">
        <v>383</v>
      </c>
      <c r="S12" s="68" t="s">
        <v>383</v>
      </c>
      <c r="T12" s="68" t="s">
        <v>383</v>
      </c>
      <c r="U12" s="68" t="s">
        <v>383</v>
      </c>
      <c r="V12" s="68" t="s">
        <v>383</v>
      </c>
      <c r="W12" s="68" t="s">
        <v>383</v>
      </c>
      <c r="X12" s="68" t="s">
        <v>383</v>
      </c>
      <c r="Y12" s="68" t="s">
        <v>383</v>
      </c>
      <c r="Z12" s="68" t="s">
        <v>383</v>
      </c>
      <c r="AA12" s="68" t="s">
        <v>383</v>
      </c>
      <c r="AB12" s="68" t="s">
        <v>383</v>
      </c>
      <c r="AC12" s="68" t="s">
        <v>383</v>
      </c>
      <c r="AD12" s="68" t="s">
        <v>383</v>
      </c>
      <c r="AE12" s="153" t="s">
        <v>383</v>
      </c>
    </row>
    <row r="13" spans="1:32" ht="15" customHeight="1" x14ac:dyDescent="0.25">
      <c r="A13" s="154">
        <v>13</v>
      </c>
      <c r="B13" s="16" t="s">
        <v>21</v>
      </c>
      <c r="C13" s="69" t="s">
        <v>383</v>
      </c>
      <c r="D13" s="69" t="s">
        <v>383</v>
      </c>
      <c r="E13" s="69" t="s">
        <v>383</v>
      </c>
      <c r="F13" s="69" t="s">
        <v>383</v>
      </c>
      <c r="G13" s="69" t="s">
        <v>383</v>
      </c>
      <c r="H13" s="69" t="s">
        <v>383</v>
      </c>
      <c r="I13" s="69" t="s">
        <v>383</v>
      </c>
      <c r="J13" s="69" t="s">
        <v>383</v>
      </c>
      <c r="K13" s="69" t="s">
        <v>383</v>
      </c>
      <c r="L13" s="69" t="s">
        <v>383</v>
      </c>
      <c r="M13" s="69" t="s">
        <v>383</v>
      </c>
      <c r="N13" s="69" t="s">
        <v>383</v>
      </c>
      <c r="O13" s="69" t="s">
        <v>383</v>
      </c>
      <c r="P13" s="69" t="s">
        <v>383</v>
      </c>
      <c r="Q13" s="69" t="s">
        <v>383</v>
      </c>
      <c r="R13" s="69" t="s">
        <v>383</v>
      </c>
      <c r="S13" s="69" t="s">
        <v>383</v>
      </c>
      <c r="T13" s="69" t="s">
        <v>383</v>
      </c>
      <c r="U13" s="69" t="s">
        <v>383</v>
      </c>
      <c r="V13" s="69" t="s">
        <v>383</v>
      </c>
      <c r="W13" s="69" t="s">
        <v>383</v>
      </c>
      <c r="X13" s="69" t="s">
        <v>383</v>
      </c>
      <c r="Y13" s="69" t="s">
        <v>383</v>
      </c>
      <c r="Z13" s="69" t="s">
        <v>383</v>
      </c>
      <c r="AA13" s="69" t="s">
        <v>383</v>
      </c>
      <c r="AB13" s="69" t="s">
        <v>383</v>
      </c>
      <c r="AC13" s="69" t="s">
        <v>383</v>
      </c>
      <c r="AD13" s="69" t="s">
        <v>383</v>
      </c>
      <c r="AE13" s="155" t="s">
        <v>383</v>
      </c>
    </row>
    <row r="14" spans="1:32" ht="15" customHeight="1" thickBot="1" x14ac:dyDescent="0.3">
      <c r="A14" s="152">
        <v>14</v>
      </c>
      <c r="B14" s="15" t="s">
        <v>22</v>
      </c>
      <c r="C14" s="68">
        <v>30</v>
      </c>
      <c r="D14" s="68">
        <v>31</v>
      </c>
      <c r="E14" s="68">
        <v>31</v>
      </c>
      <c r="F14" s="68">
        <v>29</v>
      </c>
      <c r="G14" s="68">
        <v>29</v>
      </c>
      <c r="H14" s="68">
        <v>32</v>
      </c>
      <c r="I14" s="68">
        <v>27</v>
      </c>
      <c r="J14" s="68">
        <v>28</v>
      </c>
      <c r="K14" s="68">
        <v>35</v>
      </c>
      <c r="L14" s="68">
        <v>40</v>
      </c>
      <c r="M14" s="68">
        <v>38</v>
      </c>
      <c r="N14" s="68">
        <v>38</v>
      </c>
      <c r="O14" s="68">
        <v>38</v>
      </c>
      <c r="P14" s="68">
        <v>32</v>
      </c>
      <c r="Q14" s="68">
        <v>31</v>
      </c>
      <c r="R14" s="68">
        <v>32</v>
      </c>
      <c r="S14" s="68">
        <v>32</v>
      </c>
      <c r="T14" s="68">
        <v>37</v>
      </c>
      <c r="U14" s="68">
        <v>37</v>
      </c>
      <c r="V14" s="68">
        <v>33</v>
      </c>
      <c r="W14" s="68">
        <v>31</v>
      </c>
      <c r="X14" s="68">
        <v>30</v>
      </c>
      <c r="Y14" s="68">
        <v>28</v>
      </c>
      <c r="Z14" s="68">
        <v>32</v>
      </c>
      <c r="AA14" s="68">
        <v>32</v>
      </c>
      <c r="AB14" s="68">
        <v>37</v>
      </c>
      <c r="AC14" s="68">
        <v>43</v>
      </c>
      <c r="AD14" s="68">
        <v>41</v>
      </c>
      <c r="AE14" s="153">
        <v>40</v>
      </c>
    </row>
    <row r="15" spans="1:32" s="11" customFormat="1" ht="15" customHeight="1" thickBot="1" x14ac:dyDescent="0.3">
      <c r="A15" s="144" t="s">
        <v>23</v>
      </c>
      <c r="B15" s="9" t="s">
        <v>24</v>
      </c>
      <c r="C15" s="64">
        <v>1180</v>
      </c>
      <c r="D15" s="64">
        <v>1242</v>
      </c>
      <c r="E15" s="64">
        <v>1187</v>
      </c>
      <c r="F15" s="64">
        <v>1129</v>
      </c>
      <c r="G15" s="64">
        <v>1075</v>
      </c>
      <c r="H15" s="64">
        <v>985</v>
      </c>
      <c r="I15" s="64">
        <v>925</v>
      </c>
      <c r="J15" s="64">
        <v>1019</v>
      </c>
      <c r="K15" s="64">
        <v>1119</v>
      </c>
      <c r="L15" s="64">
        <v>1210</v>
      </c>
      <c r="M15" s="64">
        <v>1311</v>
      </c>
      <c r="N15" s="64">
        <v>1375</v>
      </c>
      <c r="O15" s="64">
        <v>1459</v>
      </c>
      <c r="P15" s="64">
        <v>1472</v>
      </c>
      <c r="Q15" s="64">
        <v>1496</v>
      </c>
      <c r="R15" s="64">
        <v>1551</v>
      </c>
      <c r="S15" s="64">
        <v>1563</v>
      </c>
      <c r="T15" s="64">
        <v>1558</v>
      </c>
      <c r="U15" s="64">
        <v>1563</v>
      </c>
      <c r="V15" s="64">
        <v>1561</v>
      </c>
      <c r="W15" s="64">
        <v>1566</v>
      </c>
      <c r="X15" s="64">
        <v>1575</v>
      </c>
      <c r="Y15" s="64">
        <v>1544</v>
      </c>
      <c r="Z15" s="64">
        <v>1486</v>
      </c>
      <c r="AA15" s="64">
        <v>1468</v>
      </c>
      <c r="AB15" s="64">
        <v>1507</v>
      </c>
      <c r="AC15" s="64">
        <v>1607</v>
      </c>
      <c r="AD15" s="64">
        <v>1655</v>
      </c>
      <c r="AE15" s="145">
        <v>1600</v>
      </c>
      <c r="AF15" s="10"/>
    </row>
    <row r="16" spans="1:32" ht="15" customHeight="1" x14ac:dyDescent="0.25">
      <c r="A16" s="152">
        <v>15</v>
      </c>
      <c r="B16" s="15" t="s">
        <v>25</v>
      </c>
      <c r="C16" s="68">
        <v>482</v>
      </c>
      <c r="D16" s="68">
        <v>530</v>
      </c>
      <c r="E16" s="68">
        <v>492</v>
      </c>
      <c r="F16" s="68">
        <v>446</v>
      </c>
      <c r="G16" s="68">
        <v>432</v>
      </c>
      <c r="H16" s="68">
        <v>411</v>
      </c>
      <c r="I16" s="68">
        <v>389</v>
      </c>
      <c r="J16" s="68">
        <v>421</v>
      </c>
      <c r="K16" s="68">
        <v>444</v>
      </c>
      <c r="L16" s="68">
        <v>475</v>
      </c>
      <c r="M16" s="68">
        <v>503</v>
      </c>
      <c r="N16" s="68">
        <v>521</v>
      </c>
      <c r="O16" s="68">
        <v>551</v>
      </c>
      <c r="P16" s="68">
        <v>570</v>
      </c>
      <c r="Q16" s="68">
        <v>588</v>
      </c>
      <c r="R16" s="68">
        <v>604</v>
      </c>
      <c r="S16" s="68">
        <v>618</v>
      </c>
      <c r="T16" s="68">
        <v>627</v>
      </c>
      <c r="U16" s="68">
        <v>624</v>
      </c>
      <c r="V16" s="68">
        <v>617</v>
      </c>
      <c r="W16" s="68">
        <v>614</v>
      </c>
      <c r="X16" s="68">
        <v>627</v>
      </c>
      <c r="Y16" s="68">
        <v>615</v>
      </c>
      <c r="Z16" s="68">
        <v>596</v>
      </c>
      <c r="AA16" s="68">
        <v>579</v>
      </c>
      <c r="AB16" s="68">
        <v>583</v>
      </c>
      <c r="AC16" s="68">
        <v>616</v>
      </c>
      <c r="AD16" s="68">
        <v>644</v>
      </c>
      <c r="AE16" s="153">
        <v>633</v>
      </c>
    </row>
    <row r="17" spans="1:31" ht="15" customHeight="1" x14ac:dyDescent="0.25">
      <c r="A17" s="156">
        <v>16</v>
      </c>
      <c r="B17" s="17" t="s">
        <v>26</v>
      </c>
      <c r="C17" s="70" t="s">
        <v>383</v>
      </c>
      <c r="D17" s="70" t="s">
        <v>383</v>
      </c>
      <c r="E17" s="70" t="s">
        <v>383</v>
      </c>
      <c r="F17" s="70" t="s">
        <v>383</v>
      </c>
      <c r="G17" s="70" t="s">
        <v>383</v>
      </c>
      <c r="H17" s="70" t="s">
        <v>383</v>
      </c>
      <c r="I17" s="70" t="s">
        <v>383</v>
      </c>
      <c r="J17" s="70" t="s">
        <v>383</v>
      </c>
      <c r="K17" s="70" t="s">
        <v>383</v>
      </c>
      <c r="L17" s="70">
        <v>4</v>
      </c>
      <c r="M17" s="70" t="s">
        <v>383</v>
      </c>
      <c r="N17" s="70" t="s">
        <v>383</v>
      </c>
      <c r="O17" s="70">
        <v>4</v>
      </c>
      <c r="P17" s="70" t="s">
        <v>383</v>
      </c>
      <c r="Q17" s="70" t="s">
        <v>383</v>
      </c>
      <c r="R17" s="70" t="s">
        <v>383</v>
      </c>
      <c r="S17" s="70" t="s">
        <v>383</v>
      </c>
      <c r="T17" s="70" t="s">
        <v>383</v>
      </c>
      <c r="U17" s="70" t="s">
        <v>383</v>
      </c>
      <c r="V17" s="70" t="s">
        <v>383</v>
      </c>
      <c r="W17" s="70" t="s">
        <v>383</v>
      </c>
      <c r="X17" s="70" t="s">
        <v>383</v>
      </c>
      <c r="Y17" s="70" t="s">
        <v>383</v>
      </c>
      <c r="Z17" s="70" t="s">
        <v>383</v>
      </c>
      <c r="AA17" s="70" t="s">
        <v>383</v>
      </c>
      <c r="AB17" s="70" t="s">
        <v>383</v>
      </c>
      <c r="AC17" s="70" t="s">
        <v>383</v>
      </c>
      <c r="AD17" s="70" t="s">
        <v>383</v>
      </c>
      <c r="AE17" s="157" t="s">
        <v>383</v>
      </c>
    </row>
    <row r="18" spans="1:31" ht="15" customHeight="1" x14ac:dyDescent="0.25">
      <c r="A18" s="156">
        <v>17</v>
      </c>
      <c r="B18" s="17" t="s">
        <v>27</v>
      </c>
      <c r="C18" s="70">
        <v>16</v>
      </c>
      <c r="D18" s="70">
        <v>19</v>
      </c>
      <c r="E18" s="70">
        <v>17</v>
      </c>
      <c r="F18" s="70">
        <v>16</v>
      </c>
      <c r="G18" s="70">
        <v>14</v>
      </c>
      <c r="H18" s="70">
        <v>12</v>
      </c>
      <c r="I18" s="70">
        <v>10</v>
      </c>
      <c r="J18" s="70">
        <v>14</v>
      </c>
      <c r="K18" s="70">
        <v>16</v>
      </c>
      <c r="L18" s="70">
        <v>19</v>
      </c>
      <c r="M18" s="70">
        <v>18</v>
      </c>
      <c r="N18" s="70">
        <v>20</v>
      </c>
      <c r="O18" s="70">
        <v>24</v>
      </c>
      <c r="P18" s="70">
        <v>21</v>
      </c>
      <c r="Q18" s="70">
        <v>23</v>
      </c>
      <c r="R18" s="70">
        <v>21</v>
      </c>
      <c r="S18" s="70">
        <v>24</v>
      </c>
      <c r="T18" s="70">
        <v>22</v>
      </c>
      <c r="U18" s="70">
        <v>21</v>
      </c>
      <c r="V18" s="70">
        <v>20</v>
      </c>
      <c r="W18" s="70">
        <v>20</v>
      </c>
      <c r="X18" s="70">
        <v>21</v>
      </c>
      <c r="Y18" s="70">
        <v>20</v>
      </c>
      <c r="Z18" s="70">
        <v>17</v>
      </c>
      <c r="AA18" s="70">
        <v>19</v>
      </c>
      <c r="AB18" s="70">
        <v>19</v>
      </c>
      <c r="AC18" s="70">
        <v>19</v>
      </c>
      <c r="AD18" s="70">
        <v>25</v>
      </c>
      <c r="AE18" s="157">
        <v>25</v>
      </c>
    </row>
    <row r="19" spans="1:31" ht="15" customHeight="1" x14ac:dyDescent="0.25">
      <c r="A19" s="156">
        <v>18</v>
      </c>
      <c r="B19" s="17" t="s">
        <v>28</v>
      </c>
      <c r="C19" s="70">
        <v>28</v>
      </c>
      <c r="D19" s="70">
        <v>30</v>
      </c>
      <c r="E19" s="70">
        <v>26</v>
      </c>
      <c r="F19" s="70">
        <v>35</v>
      </c>
      <c r="G19" s="70">
        <v>27</v>
      </c>
      <c r="H19" s="70">
        <v>21</v>
      </c>
      <c r="I19" s="70">
        <v>18</v>
      </c>
      <c r="J19" s="70">
        <v>19</v>
      </c>
      <c r="K19" s="70">
        <v>16</v>
      </c>
      <c r="L19" s="70">
        <v>20</v>
      </c>
      <c r="M19" s="70">
        <v>26</v>
      </c>
      <c r="N19" s="70">
        <v>28</v>
      </c>
      <c r="O19" s="70">
        <v>31</v>
      </c>
      <c r="P19" s="70">
        <v>33</v>
      </c>
      <c r="Q19" s="70">
        <v>28</v>
      </c>
      <c r="R19" s="70">
        <v>28</v>
      </c>
      <c r="S19" s="70">
        <v>32</v>
      </c>
      <c r="T19" s="70">
        <v>26</v>
      </c>
      <c r="U19" s="70">
        <v>21</v>
      </c>
      <c r="V19" s="70">
        <v>22</v>
      </c>
      <c r="W19" s="70">
        <v>26</v>
      </c>
      <c r="X19" s="70">
        <v>24</v>
      </c>
      <c r="Y19" s="70">
        <v>24</v>
      </c>
      <c r="Z19" s="70">
        <v>18</v>
      </c>
      <c r="AA19" s="70">
        <v>18</v>
      </c>
      <c r="AB19" s="70">
        <v>20</v>
      </c>
      <c r="AC19" s="70">
        <v>26</v>
      </c>
      <c r="AD19" s="70">
        <v>37</v>
      </c>
      <c r="AE19" s="157">
        <v>38</v>
      </c>
    </row>
    <row r="20" spans="1:31" ht="15" customHeight="1" x14ac:dyDescent="0.25">
      <c r="A20" s="156">
        <v>19</v>
      </c>
      <c r="B20" s="17" t="s">
        <v>105</v>
      </c>
      <c r="C20" s="70">
        <v>18</v>
      </c>
      <c r="D20" s="70">
        <v>18</v>
      </c>
      <c r="E20" s="70">
        <v>20</v>
      </c>
      <c r="F20" s="70">
        <v>16</v>
      </c>
      <c r="G20" s="70">
        <v>12</v>
      </c>
      <c r="H20" s="70">
        <v>10</v>
      </c>
      <c r="I20" s="70">
        <v>9</v>
      </c>
      <c r="J20" s="70">
        <v>11</v>
      </c>
      <c r="K20" s="70">
        <v>14</v>
      </c>
      <c r="L20" s="70">
        <v>15</v>
      </c>
      <c r="M20" s="70">
        <v>17</v>
      </c>
      <c r="N20" s="70">
        <v>15</v>
      </c>
      <c r="O20" s="70">
        <v>17</v>
      </c>
      <c r="P20" s="70">
        <v>15</v>
      </c>
      <c r="Q20" s="70">
        <v>17</v>
      </c>
      <c r="R20" s="70">
        <v>16</v>
      </c>
      <c r="S20" s="70">
        <v>17</v>
      </c>
      <c r="T20" s="70">
        <v>19</v>
      </c>
      <c r="U20" s="70">
        <v>19</v>
      </c>
      <c r="V20" s="70">
        <v>17</v>
      </c>
      <c r="W20" s="70">
        <v>18</v>
      </c>
      <c r="X20" s="70">
        <v>14</v>
      </c>
      <c r="Y20" s="70">
        <v>14</v>
      </c>
      <c r="Z20" s="70">
        <v>14</v>
      </c>
      <c r="AA20" s="70">
        <v>13</v>
      </c>
      <c r="AB20" s="70">
        <v>14</v>
      </c>
      <c r="AC20" s="70">
        <v>13</v>
      </c>
      <c r="AD20" s="70">
        <v>14</v>
      </c>
      <c r="AE20" s="157">
        <v>11</v>
      </c>
    </row>
    <row r="21" spans="1:31" ht="15" customHeight="1" x14ac:dyDescent="0.25">
      <c r="A21" s="156">
        <v>20</v>
      </c>
      <c r="B21" s="17" t="s">
        <v>30</v>
      </c>
      <c r="C21" s="70">
        <v>164</v>
      </c>
      <c r="D21" s="70">
        <v>162</v>
      </c>
      <c r="E21" s="70">
        <v>151</v>
      </c>
      <c r="F21" s="70">
        <v>144</v>
      </c>
      <c r="G21" s="70">
        <v>138</v>
      </c>
      <c r="H21" s="70">
        <v>115</v>
      </c>
      <c r="I21" s="70">
        <v>114</v>
      </c>
      <c r="J21" s="70">
        <v>141</v>
      </c>
      <c r="K21" s="70">
        <v>163</v>
      </c>
      <c r="L21" s="70">
        <v>186</v>
      </c>
      <c r="M21" s="70">
        <v>216</v>
      </c>
      <c r="N21" s="70">
        <v>225</v>
      </c>
      <c r="O21" s="70">
        <v>234</v>
      </c>
      <c r="P21" s="70">
        <v>234</v>
      </c>
      <c r="Q21" s="70">
        <v>234</v>
      </c>
      <c r="R21" s="70">
        <v>227</v>
      </c>
      <c r="S21" s="70">
        <v>236</v>
      </c>
      <c r="T21" s="70">
        <v>236</v>
      </c>
      <c r="U21" s="70">
        <v>233</v>
      </c>
      <c r="V21" s="70">
        <v>235</v>
      </c>
      <c r="W21" s="70">
        <v>239</v>
      </c>
      <c r="X21" s="70">
        <v>236</v>
      </c>
      <c r="Y21" s="70">
        <v>231</v>
      </c>
      <c r="Z21" s="70">
        <v>208</v>
      </c>
      <c r="AA21" s="70">
        <v>217</v>
      </c>
      <c r="AB21" s="70">
        <v>235</v>
      </c>
      <c r="AC21" s="70">
        <v>253</v>
      </c>
      <c r="AD21" s="70">
        <v>240</v>
      </c>
      <c r="AE21" s="157">
        <v>239</v>
      </c>
    </row>
    <row r="22" spans="1:31" ht="15" customHeight="1" x14ac:dyDescent="0.25">
      <c r="A22" s="156">
        <v>21</v>
      </c>
      <c r="B22" s="17" t="s">
        <v>31</v>
      </c>
      <c r="C22" s="70">
        <v>13</v>
      </c>
      <c r="D22" s="70">
        <v>12</v>
      </c>
      <c r="E22" s="70">
        <v>10</v>
      </c>
      <c r="F22" s="70">
        <v>9</v>
      </c>
      <c r="G22" s="70">
        <v>11</v>
      </c>
      <c r="H22" s="70">
        <v>10</v>
      </c>
      <c r="I22" s="70">
        <v>9</v>
      </c>
      <c r="J22" s="70">
        <v>10</v>
      </c>
      <c r="K22" s="70">
        <v>12</v>
      </c>
      <c r="L22" s="70">
        <v>13</v>
      </c>
      <c r="M22" s="70">
        <v>13</v>
      </c>
      <c r="N22" s="70">
        <v>13</v>
      </c>
      <c r="O22" s="70">
        <v>13</v>
      </c>
      <c r="P22" s="70">
        <v>13</v>
      </c>
      <c r="Q22" s="70">
        <v>11</v>
      </c>
      <c r="R22" s="70">
        <v>14</v>
      </c>
      <c r="S22" s="70">
        <v>13</v>
      </c>
      <c r="T22" s="70">
        <v>14</v>
      </c>
      <c r="U22" s="70">
        <v>13</v>
      </c>
      <c r="V22" s="70">
        <v>13</v>
      </c>
      <c r="W22" s="70">
        <v>14</v>
      </c>
      <c r="X22" s="70">
        <v>14</v>
      </c>
      <c r="Y22" s="70">
        <v>17</v>
      </c>
      <c r="Z22" s="70">
        <v>19</v>
      </c>
      <c r="AA22" s="70">
        <v>15</v>
      </c>
      <c r="AB22" s="70">
        <v>14</v>
      </c>
      <c r="AC22" s="70">
        <v>14</v>
      </c>
      <c r="AD22" s="70">
        <v>15</v>
      </c>
      <c r="AE22" s="157">
        <v>14</v>
      </c>
    </row>
    <row r="23" spans="1:31" ht="15" customHeight="1" x14ac:dyDescent="0.25">
      <c r="A23" s="156">
        <v>22</v>
      </c>
      <c r="B23" s="17" t="s">
        <v>98</v>
      </c>
      <c r="C23" s="70">
        <v>78</v>
      </c>
      <c r="D23" s="70">
        <v>79</v>
      </c>
      <c r="E23" s="70">
        <v>77</v>
      </c>
      <c r="F23" s="70">
        <v>80</v>
      </c>
      <c r="G23" s="70">
        <v>84</v>
      </c>
      <c r="H23" s="70">
        <v>78</v>
      </c>
      <c r="I23" s="70">
        <v>68</v>
      </c>
      <c r="J23" s="70">
        <v>68</v>
      </c>
      <c r="K23" s="70">
        <v>75</v>
      </c>
      <c r="L23" s="70">
        <v>82</v>
      </c>
      <c r="M23" s="70">
        <v>82</v>
      </c>
      <c r="N23" s="70">
        <v>86</v>
      </c>
      <c r="O23" s="70">
        <v>85</v>
      </c>
      <c r="P23" s="70">
        <v>82</v>
      </c>
      <c r="Q23" s="70">
        <v>79</v>
      </c>
      <c r="R23" s="70">
        <v>76</v>
      </c>
      <c r="S23" s="70">
        <v>71</v>
      </c>
      <c r="T23" s="70">
        <v>68</v>
      </c>
      <c r="U23" s="70">
        <v>71</v>
      </c>
      <c r="V23" s="70">
        <v>66</v>
      </c>
      <c r="W23" s="70">
        <v>68</v>
      </c>
      <c r="X23" s="70">
        <v>67</v>
      </c>
      <c r="Y23" s="70">
        <v>65</v>
      </c>
      <c r="Z23" s="70">
        <v>64</v>
      </c>
      <c r="AA23" s="70">
        <v>60</v>
      </c>
      <c r="AB23" s="70">
        <v>58</v>
      </c>
      <c r="AC23" s="70">
        <v>56</v>
      </c>
      <c r="AD23" s="70">
        <v>59</v>
      </c>
      <c r="AE23" s="157">
        <v>48</v>
      </c>
    </row>
    <row r="24" spans="1:31" ht="15" customHeight="1" x14ac:dyDescent="0.25">
      <c r="A24" s="156">
        <v>23</v>
      </c>
      <c r="B24" s="17" t="s">
        <v>33</v>
      </c>
      <c r="C24" s="70">
        <v>5</v>
      </c>
      <c r="D24" s="70">
        <v>5</v>
      </c>
      <c r="E24" s="70">
        <v>4</v>
      </c>
      <c r="F24" s="70">
        <v>4</v>
      </c>
      <c r="G24" s="70">
        <v>4</v>
      </c>
      <c r="H24" s="70" t="s">
        <v>383</v>
      </c>
      <c r="I24" s="70" t="s">
        <v>383</v>
      </c>
      <c r="J24" s="70" t="s">
        <v>383</v>
      </c>
      <c r="K24" s="70" t="s">
        <v>383</v>
      </c>
      <c r="L24" s="70" t="s">
        <v>383</v>
      </c>
      <c r="M24" s="70" t="s">
        <v>383</v>
      </c>
      <c r="N24" s="70" t="s">
        <v>383</v>
      </c>
      <c r="O24" s="70" t="s">
        <v>383</v>
      </c>
      <c r="P24" s="70" t="s">
        <v>383</v>
      </c>
      <c r="Q24" s="70" t="s">
        <v>383</v>
      </c>
      <c r="R24" s="70" t="s">
        <v>383</v>
      </c>
      <c r="S24" s="70" t="s">
        <v>383</v>
      </c>
      <c r="T24" s="70" t="s">
        <v>383</v>
      </c>
      <c r="U24" s="70" t="s">
        <v>383</v>
      </c>
      <c r="V24" s="70" t="s">
        <v>383</v>
      </c>
      <c r="W24" s="70" t="s">
        <v>383</v>
      </c>
      <c r="X24" s="70" t="s">
        <v>383</v>
      </c>
      <c r="Y24" s="70" t="s">
        <v>383</v>
      </c>
      <c r="Z24" s="70" t="s">
        <v>383</v>
      </c>
      <c r="AA24" s="70" t="s">
        <v>383</v>
      </c>
      <c r="AB24" s="70" t="s">
        <v>383</v>
      </c>
      <c r="AC24" s="70" t="s">
        <v>383</v>
      </c>
      <c r="AD24" s="70" t="s">
        <v>383</v>
      </c>
      <c r="AE24" s="157" t="s">
        <v>383</v>
      </c>
    </row>
    <row r="25" spans="1:31" ht="15" customHeight="1" x14ac:dyDescent="0.25">
      <c r="A25" s="156">
        <v>24</v>
      </c>
      <c r="B25" s="17" t="s">
        <v>34</v>
      </c>
      <c r="C25" s="70">
        <v>70</v>
      </c>
      <c r="D25" s="70">
        <v>69</v>
      </c>
      <c r="E25" s="70">
        <v>79</v>
      </c>
      <c r="F25" s="70">
        <v>83</v>
      </c>
      <c r="G25" s="70">
        <v>82</v>
      </c>
      <c r="H25" s="70">
        <v>79</v>
      </c>
      <c r="I25" s="70">
        <v>77</v>
      </c>
      <c r="J25" s="70">
        <v>73</v>
      </c>
      <c r="K25" s="70">
        <v>70</v>
      </c>
      <c r="L25" s="70">
        <v>65</v>
      </c>
      <c r="M25" s="70">
        <v>71</v>
      </c>
      <c r="N25" s="70">
        <v>70</v>
      </c>
      <c r="O25" s="70">
        <v>67</v>
      </c>
      <c r="P25" s="70">
        <v>66</v>
      </c>
      <c r="Q25" s="70">
        <v>62</v>
      </c>
      <c r="R25" s="70">
        <v>62</v>
      </c>
      <c r="S25" s="70">
        <v>65</v>
      </c>
      <c r="T25" s="70">
        <v>63</v>
      </c>
      <c r="U25" s="70">
        <v>71</v>
      </c>
      <c r="V25" s="70">
        <v>74</v>
      </c>
      <c r="W25" s="70">
        <v>75</v>
      </c>
      <c r="X25" s="70">
        <v>75</v>
      </c>
      <c r="Y25" s="70">
        <v>76</v>
      </c>
      <c r="Z25" s="70">
        <v>75</v>
      </c>
      <c r="AA25" s="70">
        <v>70</v>
      </c>
      <c r="AB25" s="70">
        <v>72</v>
      </c>
      <c r="AC25" s="70">
        <v>74</v>
      </c>
      <c r="AD25" s="70">
        <v>79</v>
      </c>
      <c r="AE25" s="157">
        <v>76</v>
      </c>
    </row>
    <row r="26" spans="1:31" ht="15" customHeight="1" x14ac:dyDescent="0.25">
      <c r="A26" s="156">
        <v>25</v>
      </c>
      <c r="B26" s="17" t="s">
        <v>35</v>
      </c>
      <c r="C26" s="70">
        <v>29</v>
      </c>
      <c r="D26" s="70">
        <v>33</v>
      </c>
      <c r="E26" s="70">
        <v>32</v>
      </c>
      <c r="F26" s="70">
        <v>31</v>
      </c>
      <c r="G26" s="70">
        <v>28</v>
      </c>
      <c r="H26" s="70">
        <v>32</v>
      </c>
      <c r="I26" s="70">
        <v>35</v>
      </c>
      <c r="J26" s="70">
        <v>36</v>
      </c>
      <c r="K26" s="70">
        <v>36</v>
      </c>
      <c r="L26" s="70">
        <v>35</v>
      </c>
      <c r="M26" s="70">
        <v>36</v>
      </c>
      <c r="N26" s="70">
        <v>39</v>
      </c>
      <c r="O26" s="70">
        <v>42</v>
      </c>
      <c r="P26" s="70">
        <v>41</v>
      </c>
      <c r="Q26" s="70">
        <v>42</v>
      </c>
      <c r="R26" s="70">
        <v>46</v>
      </c>
      <c r="S26" s="70">
        <v>43</v>
      </c>
      <c r="T26" s="70">
        <v>43</v>
      </c>
      <c r="U26" s="70">
        <v>42</v>
      </c>
      <c r="V26" s="70">
        <v>39</v>
      </c>
      <c r="W26" s="70">
        <v>39</v>
      </c>
      <c r="X26" s="70">
        <v>40</v>
      </c>
      <c r="Y26" s="70">
        <v>37</v>
      </c>
      <c r="Z26" s="70">
        <v>35</v>
      </c>
      <c r="AA26" s="70">
        <v>36</v>
      </c>
      <c r="AB26" s="70">
        <v>37</v>
      </c>
      <c r="AC26" s="70">
        <v>44</v>
      </c>
      <c r="AD26" s="70">
        <v>48</v>
      </c>
      <c r="AE26" s="157">
        <v>42</v>
      </c>
    </row>
    <row r="27" spans="1:31" ht="15" customHeight="1" x14ac:dyDescent="0.25">
      <c r="A27" s="156">
        <v>26</v>
      </c>
      <c r="B27" s="17" t="s">
        <v>36</v>
      </c>
      <c r="C27" s="70">
        <v>43</v>
      </c>
      <c r="D27" s="70">
        <v>39</v>
      </c>
      <c r="E27" s="70">
        <v>40</v>
      </c>
      <c r="F27" s="70">
        <v>35</v>
      </c>
      <c r="G27" s="70">
        <v>31</v>
      </c>
      <c r="H27" s="70">
        <v>29</v>
      </c>
      <c r="I27" s="70">
        <v>27</v>
      </c>
      <c r="J27" s="70">
        <v>31</v>
      </c>
      <c r="K27" s="70">
        <v>32</v>
      </c>
      <c r="L27" s="70">
        <v>38</v>
      </c>
      <c r="M27" s="70">
        <v>41</v>
      </c>
      <c r="N27" s="70">
        <v>45</v>
      </c>
      <c r="O27" s="70">
        <v>53</v>
      </c>
      <c r="P27" s="70">
        <v>49</v>
      </c>
      <c r="Q27" s="70">
        <v>51</v>
      </c>
      <c r="R27" s="70">
        <v>60</v>
      </c>
      <c r="S27" s="70">
        <v>62</v>
      </c>
      <c r="T27" s="70">
        <v>60</v>
      </c>
      <c r="U27" s="70">
        <v>61</v>
      </c>
      <c r="V27" s="70">
        <v>64</v>
      </c>
      <c r="W27" s="70">
        <v>61</v>
      </c>
      <c r="X27" s="70">
        <v>61</v>
      </c>
      <c r="Y27" s="70">
        <v>60</v>
      </c>
      <c r="Z27" s="70">
        <v>60</v>
      </c>
      <c r="AA27" s="70">
        <v>60</v>
      </c>
      <c r="AB27" s="70">
        <v>63</v>
      </c>
      <c r="AC27" s="70">
        <v>61</v>
      </c>
      <c r="AD27" s="70">
        <v>68</v>
      </c>
      <c r="AE27" s="157">
        <v>62</v>
      </c>
    </row>
    <row r="28" spans="1:31" ht="15" customHeight="1" x14ac:dyDescent="0.25">
      <c r="A28" s="156">
        <v>27</v>
      </c>
      <c r="B28" s="17" t="s">
        <v>37</v>
      </c>
      <c r="C28" s="70">
        <v>13</v>
      </c>
      <c r="D28" s="70">
        <v>19</v>
      </c>
      <c r="E28" s="70">
        <v>14</v>
      </c>
      <c r="F28" s="70">
        <v>11</v>
      </c>
      <c r="G28" s="70">
        <v>10</v>
      </c>
      <c r="H28" s="70">
        <v>9</v>
      </c>
      <c r="I28" s="70">
        <v>11</v>
      </c>
      <c r="J28" s="70">
        <v>9</v>
      </c>
      <c r="K28" s="70">
        <v>10</v>
      </c>
      <c r="L28" s="70">
        <v>11</v>
      </c>
      <c r="M28" s="70">
        <v>11</v>
      </c>
      <c r="N28" s="70">
        <v>12</v>
      </c>
      <c r="O28" s="70">
        <v>13</v>
      </c>
      <c r="P28" s="70">
        <v>14</v>
      </c>
      <c r="Q28" s="70">
        <v>16</v>
      </c>
      <c r="R28" s="70">
        <v>16</v>
      </c>
      <c r="S28" s="70">
        <v>13</v>
      </c>
      <c r="T28" s="70">
        <v>14</v>
      </c>
      <c r="U28" s="70">
        <v>13</v>
      </c>
      <c r="V28" s="70">
        <v>13</v>
      </c>
      <c r="W28" s="70">
        <v>13</v>
      </c>
      <c r="X28" s="70">
        <v>13</v>
      </c>
      <c r="Y28" s="70">
        <v>12</v>
      </c>
      <c r="Z28" s="70">
        <v>12</v>
      </c>
      <c r="AA28" s="70">
        <v>12</v>
      </c>
      <c r="AB28" s="70">
        <v>12</v>
      </c>
      <c r="AC28" s="70">
        <v>13</v>
      </c>
      <c r="AD28" s="70">
        <v>13</v>
      </c>
      <c r="AE28" s="157">
        <v>11</v>
      </c>
    </row>
    <row r="29" spans="1:31" ht="15" customHeight="1" x14ac:dyDescent="0.25">
      <c r="A29" s="156">
        <v>28</v>
      </c>
      <c r="B29" s="17" t="s">
        <v>38</v>
      </c>
      <c r="C29" s="70">
        <v>93</v>
      </c>
      <c r="D29" s="70">
        <v>95</v>
      </c>
      <c r="E29" s="70">
        <v>96</v>
      </c>
      <c r="F29" s="70">
        <v>92</v>
      </c>
      <c r="G29" s="70">
        <v>89</v>
      </c>
      <c r="H29" s="70">
        <v>83</v>
      </c>
      <c r="I29" s="70">
        <v>76</v>
      </c>
      <c r="J29" s="70">
        <v>92</v>
      </c>
      <c r="K29" s="70">
        <v>120</v>
      </c>
      <c r="L29" s="70">
        <v>128</v>
      </c>
      <c r="M29" s="70">
        <v>146</v>
      </c>
      <c r="N29" s="70">
        <v>159</v>
      </c>
      <c r="O29" s="70">
        <v>172</v>
      </c>
      <c r="P29" s="70">
        <v>170</v>
      </c>
      <c r="Q29" s="70">
        <v>173</v>
      </c>
      <c r="R29" s="70">
        <v>195</v>
      </c>
      <c r="S29" s="70">
        <v>184</v>
      </c>
      <c r="T29" s="70">
        <v>180</v>
      </c>
      <c r="U29" s="70">
        <v>187</v>
      </c>
      <c r="V29" s="70">
        <v>188</v>
      </c>
      <c r="W29" s="70">
        <v>180</v>
      </c>
      <c r="X29" s="70">
        <v>182</v>
      </c>
      <c r="Y29" s="70">
        <v>188</v>
      </c>
      <c r="Z29" s="70">
        <v>187</v>
      </c>
      <c r="AA29" s="70">
        <v>192</v>
      </c>
      <c r="AB29" s="70">
        <v>197</v>
      </c>
      <c r="AC29" s="70">
        <v>216</v>
      </c>
      <c r="AD29" s="70">
        <v>205</v>
      </c>
      <c r="AE29" s="157">
        <v>203</v>
      </c>
    </row>
    <row r="30" spans="1:31" ht="15" customHeight="1" x14ac:dyDescent="0.25">
      <c r="A30" s="156">
        <v>29</v>
      </c>
      <c r="B30" s="17" t="s">
        <v>39</v>
      </c>
      <c r="C30" s="70">
        <v>36</v>
      </c>
      <c r="D30" s="70">
        <v>40</v>
      </c>
      <c r="E30" s="70">
        <v>42</v>
      </c>
      <c r="F30" s="70">
        <v>34</v>
      </c>
      <c r="G30" s="70">
        <v>36</v>
      </c>
      <c r="H30" s="70">
        <v>33</v>
      </c>
      <c r="I30" s="70">
        <v>29</v>
      </c>
      <c r="J30" s="70">
        <v>31</v>
      </c>
      <c r="K30" s="70">
        <v>36</v>
      </c>
      <c r="L30" s="70">
        <v>36</v>
      </c>
      <c r="M30" s="70">
        <v>41</v>
      </c>
      <c r="N30" s="70">
        <v>41</v>
      </c>
      <c r="O30" s="70">
        <v>44</v>
      </c>
      <c r="P30" s="70">
        <v>47</v>
      </c>
      <c r="Q30" s="70">
        <v>46</v>
      </c>
      <c r="R30" s="70">
        <v>55</v>
      </c>
      <c r="S30" s="70">
        <v>55</v>
      </c>
      <c r="T30" s="70">
        <v>56</v>
      </c>
      <c r="U30" s="70">
        <v>57</v>
      </c>
      <c r="V30" s="70">
        <v>56</v>
      </c>
      <c r="W30" s="70">
        <v>57</v>
      </c>
      <c r="X30" s="70">
        <v>60</v>
      </c>
      <c r="Y30" s="70">
        <v>57</v>
      </c>
      <c r="Z30" s="70">
        <v>56</v>
      </c>
      <c r="AA30" s="70">
        <v>55</v>
      </c>
      <c r="AB30" s="70">
        <v>57</v>
      </c>
      <c r="AC30" s="70">
        <v>66</v>
      </c>
      <c r="AD30" s="70">
        <v>66</v>
      </c>
      <c r="AE30" s="157">
        <v>66</v>
      </c>
    </row>
    <row r="31" spans="1:31" ht="15" customHeight="1" x14ac:dyDescent="0.25">
      <c r="A31" s="156">
        <v>30</v>
      </c>
      <c r="B31" s="17" t="s">
        <v>40</v>
      </c>
      <c r="C31" s="70" t="s">
        <v>383</v>
      </c>
      <c r="D31" s="70" t="s">
        <v>383</v>
      </c>
      <c r="E31" s="70" t="s">
        <v>383</v>
      </c>
      <c r="F31" s="70" t="s">
        <v>383</v>
      </c>
      <c r="G31" s="70" t="s">
        <v>383</v>
      </c>
      <c r="H31" s="70" t="s">
        <v>383</v>
      </c>
      <c r="I31" s="70" t="s">
        <v>383</v>
      </c>
      <c r="J31" s="70" t="s">
        <v>383</v>
      </c>
      <c r="K31" s="70" t="s">
        <v>383</v>
      </c>
      <c r="L31" s="70" t="s">
        <v>383</v>
      </c>
      <c r="M31" s="70" t="s">
        <v>383</v>
      </c>
      <c r="N31" s="70" t="s">
        <v>383</v>
      </c>
      <c r="O31" s="70" t="s">
        <v>383</v>
      </c>
      <c r="P31" s="70" t="s">
        <v>383</v>
      </c>
      <c r="Q31" s="70" t="s">
        <v>383</v>
      </c>
      <c r="R31" s="70" t="s">
        <v>383</v>
      </c>
      <c r="S31" s="70" t="s">
        <v>383</v>
      </c>
      <c r="T31" s="70" t="s">
        <v>383</v>
      </c>
      <c r="U31" s="70" t="s">
        <v>383</v>
      </c>
      <c r="V31" s="70" t="s">
        <v>383</v>
      </c>
      <c r="W31" s="70" t="s">
        <v>383</v>
      </c>
      <c r="X31" s="70" t="s">
        <v>383</v>
      </c>
      <c r="Y31" s="70" t="s">
        <v>383</v>
      </c>
      <c r="Z31" s="70" t="s">
        <v>383</v>
      </c>
      <c r="AA31" s="70" t="s">
        <v>383</v>
      </c>
      <c r="AB31" s="70" t="s">
        <v>383</v>
      </c>
      <c r="AC31" s="70">
        <v>4</v>
      </c>
      <c r="AD31" s="70" t="s">
        <v>383</v>
      </c>
      <c r="AE31" s="157" t="s">
        <v>383</v>
      </c>
    </row>
    <row r="32" spans="1:31" ht="15" customHeight="1" x14ac:dyDescent="0.25">
      <c r="A32" s="156">
        <v>31</v>
      </c>
      <c r="B32" s="17" t="s">
        <v>41</v>
      </c>
      <c r="C32" s="70">
        <v>13</v>
      </c>
      <c r="D32" s="70">
        <v>11</v>
      </c>
      <c r="E32" s="70">
        <v>12</v>
      </c>
      <c r="F32" s="70">
        <v>12</v>
      </c>
      <c r="G32" s="70">
        <v>9</v>
      </c>
      <c r="H32" s="70">
        <v>7</v>
      </c>
      <c r="I32" s="70">
        <v>6</v>
      </c>
      <c r="J32" s="70">
        <v>5</v>
      </c>
      <c r="K32" s="70">
        <v>5</v>
      </c>
      <c r="L32" s="70">
        <v>7</v>
      </c>
      <c r="M32" s="70">
        <v>6</v>
      </c>
      <c r="N32" s="70">
        <v>6</v>
      </c>
      <c r="O32" s="70">
        <v>9</v>
      </c>
      <c r="P32" s="70">
        <v>8</v>
      </c>
      <c r="Q32" s="70">
        <v>8</v>
      </c>
      <c r="R32" s="70">
        <v>9</v>
      </c>
      <c r="S32" s="70">
        <v>10</v>
      </c>
      <c r="T32" s="70">
        <v>10</v>
      </c>
      <c r="U32" s="70">
        <v>10</v>
      </c>
      <c r="V32" s="70">
        <v>10</v>
      </c>
      <c r="W32" s="70">
        <v>10</v>
      </c>
      <c r="X32" s="70">
        <v>10</v>
      </c>
      <c r="Y32" s="70">
        <v>10</v>
      </c>
      <c r="Z32" s="70">
        <v>9</v>
      </c>
      <c r="AA32" s="70">
        <v>10</v>
      </c>
      <c r="AB32" s="70">
        <v>9</v>
      </c>
      <c r="AC32" s="70">
        <v>9</v>
      </c>
      <c r="AD32" s="70">
        <v>8</v>
      </c>
      <c r="AE32" s="157">
        <v>9</v>
      </c>
    </row>
    <row r="33" spans="1:32" ht="15" customHeight="1" x14ac:dyDescent="0.25">
      <c r="A33" s="156">
        <v>32</v>
      </c>
      <c r="B33" s="17" t="s">
        <v>42</v>
      </c>
      <c r="C33" s="70" t="s">
        <v>383</v>
      </c>
      <c r="D33" s="70">
        <v>4</v>
      </c>
      <c r="E33" s="70">
        <v>4</v>
      </c>
      <c r="F33" s="70">
        <v>4</v>
      </c>
      <c r="G33" s="70" t="s">
        <v>383</v>
      </c>
      <c r="H33" s="70" t="s">
        <v>383</v>
      </c>
      <c r="I33" s="70" t="s">
        <v>383</v>
      </c>
      <c r="J33" s="70" t="s">
        <v>383</v>
      </c>
      <c r="K33" s="70" t="s">
        <v>383</v>
      </c>
      <c r="L33" s="70" t="s">
        <v>383</v>
      </c>
      <c r="M33" s="70" t="s">
        <v>383</v>
      </c>
      <c r="N33" s="70" t="s">
        <v>383</v>
      </c>
      <c r="O33" s="70" t="s">
        <v>383</v>
      </c>
      <c r="P33" s="70" t="s">
        <v>383</v>
      </c>
      <c r="Q33" s="70" t="s">
        <v>383</v>
      </c>
      <c r="R33" s="70" t="s">
        <v>383</v>
      </c>
      <c r="S33" s="70" t="s">
        <v>383</v>
      </c>
      <c r="T33" s="70" t="s">
        <v>383</v>
      </c>
      <c r="U33" s="70" t="s">
        <v>383</v>
      </c>
      <c r="V33" s="70" t="s">
        <v>383</v>
      </c>
      <c r="W33" s="70" t="s">
        <v>383</v>
      </c>
      <c r="X33" s="70" t="s">
        <v>383</v>
      </c>
      <c r="Y33" s="70" t="s">
        <v>383</v>
      </c>
      <c r="Z33" s="70" t="s">
        <v>383</v>
      </c>
      <c r="AA33" s="70" t="s">
        <v>383</v>
      </c>
      <c r="AB33" s="70" t="s">
        <v>383</v>
      </c>
      <c r="AC33" s="70" t="s">
        <v>383</v>
      </c>
      <c r="AD33" s="70" t="s">
        <v>383</v>
      </c>
      <c r="AE33" s="157" t="s">
        <v>383</v>
      </c>
    </row>
    <row r="34" spans="1:32" ht="15" customHeight="1" x14ac:dyDescent="0.25">
      <c r="A34" s="156">
        <v>33</v>
      </c>
      <c r="B34" s="17" t="s">
        <v>43</v>
      </c>
      <c r="C34" s="70" t="s">
        <v>383</v>
      </c>
      <c r="D34" s="70" t="s">
        <v>383</v>
      </c>
      <c r="E34" s="70" t="s">
        <v>383</v>
      </c>
      <c r="F34" s="70" t="s">
        <v>383</v>
      </c>
      <c r="G34" s="70" t="s">
        <v>383</v>
      </c>
      <c r="H34" s="70" t="s">
        <v>383</v>
      </c>
      <c r="I34" s="70" t="s">
        <v>383</v>
      </c>
      <c r="J34" s="70" t="s">
        <v>383</v>
      </c>
      <c r="K34" s="70" t="s">
        <v>383</v>
      </c>
      <c r="L34" s="70" t="s">
        <v>383</v>
      </c>
      <c r="M34" s="70" t="s">
        <v>383</v>
      </c>
      <c r="N34" s="70" t="s">
        <v>383</v>
      </c>
      <c r="O34" s="70">
        <v>4</v>
      </c>
      <c r="P34" s="70">
        <v>5</v>
      </c>
      <c r="Q34" s="70">
        <v>5</v>
      </c>
      <c r="R34" s="70">
        <v>6</v>
      </c>
      <c r="S34" s="70">
        <v>7</v>
      </c>
      <c r="T34" s="70">
        <v>7</v>
      </c>
      <c r="U34" s="70">
        <v>6</v>
      </c>
      <c r="V34" s="70">
        <v>6</v>
      </c>
      <c r="W34" s="70">
        <v>6</v>
      </c>
      <c r="X34" s="70">
        <v>5</v>
      </c>
      <c r="Y34" s="70">
        <v>5</v>
      </c>
      <c r="Z34" s="70">
        <v>4</v>
      </c>
      <c r="AA34" s="70">
        <v>4</v>
      </c>
      <c r="AB34" s="70">
        <v>5</v>
      </c>
      <c r="AC34" s="70">
        <v>7</v>
      </c>
      <c r="AD34" s="70">
        <v>6</v>
      </c>
      <c r="AE34" s="157">
        <v>6</v>
      </c>
    </row>
    <row r="35" spans="1:32" ht="15" customHeight="1" x14ac:dyDescent="0.25">
      <c r="A35" s="156">
        <v>34</v>
      </c>
      <c r="B35" s="17" t="s">
        <v>44</v>
      </c>
      <c r="C35" s="70">
        <v>18</v>
      </c>
      <c r="D35" s="70">
        <v>16</v>
      </c>
      <c r="E35" s="70">
        <v>17</v>
      </c>
      <c r="F35" s="70">
        <v>20</v>
      </c>
      <c r="G35" s="70">
        <v>18</v>
      </c>
      <c r="H35" s="70">
        <v>15</v>
      </c>
      <c r="I35" s="70">
        <v>16</v>
      </c>
      <c r="J35" s="70">
        <v>18</v>
      </c>
      <c r="K35" s="70">
        <v>24</v>
      </c>
      <c r="L35" s="70">
        <v>27</v>
      </c>
      <c r="M35" s="70">
        <v>28</v>
      </c>
      <c r="N35" s="70">
        <v>32</v>
      </c>
      <c r="O35" s="70">
        <v>36</v>
      </c>
      <c r="P35" s="70">
        <v>36</v>
      </c>
      <c r="Q35" s="70">
        <v>39</v>
      </c>
      <c r="R35" s="70">
        <v>38</v>
      </c>
      <c r="S35" s="70">
        <v>35</v>
      </c>
      <c r="T35" s="70">
        <v>34</v>
      </c>
      <c r="U35" s="70">
        <v>36</v>
      </c>
      <c r="V35" s="70">
        <v>36</v>
      </c>
      <c r="W35" s="70">
        <v>37</v>
      </c>
      <c r="X35" s="70">
        <v>36</v>
      </c>
      <c r="Y35" s="70">
        <v>35</v>
      </c>
      <c r="Z35" s="70">
        <v>33</v>
      </c>
      <c r="AA35" s="70">
        <v>33</v>
      </c>
      <c r="AB35" s="70">
        <v>36</v>
      </c>
      <c r="AC35" s="70">
        <v>36</v>
      </c>
      <c r="AD35" s="70">
        <v>37</v>
      </c>
      <c r="AE35" s="157">
        <v>36</v>
      </c>
    </row>
    <row r="36" spans="1:32" ht="15" customHeight="1" x14ac:dyDescent="0.25">
      <c r="A36" s="156">
        <v>35</v>
      </c>
      <c r="B36" s="17" t="s">
        <v>45</v>
      </c>
      <c r="C36" s="70">
        <v>4</v>
      </c>
      <c r="D36" s="70">
        <v>6</v>
      </c>
      <c r="E36" s="70">
        <v>4</v>
      </c>
      <c r="F36" s="70">
        <v>5</v>
      </c>
      <c r="G36" s="70">
        <v>5</v>
      </c>
      <c r="H36" s="70">
        <v>4</v>
      </c>
      <c r="I36" s="70" t="s">
        <v>383</v>
      </c>
      <c r="J36" s="70">
        <v>4</v>
      </c>
      <c r="K36" s="70">
        <v>4</v>
      </c>
      <c r="L36" s="70">
        <v>4</v>
      </c>
      <c r="M36" s="70">
        <v>4</v>
      </c>
      <c r="N36" s="70" t="s">
        <v>383</v>
      </c>
      <c r="O36" s="70" t="s">
        <v>383</v>
      </c>
      <c r="P36" s="70">
        <v>4</v>
      </c>
      <c r="Q36" s="70">
        <v>6</v>
      </c>
      <c r="R36" s="70">
        <v>8</v>
      </c>
      <c r="S36" s="70">
        <v>9</v>
      </c>
      <c r="T36" s="70">
        <v>9</v>
      </c>
      <c r="U36" s="70">
        <v>9</v>
      </c>
      <c r="V36" s="70">
        <v>13</v>
      </c>
      <c r="W36" s="70">
        <v>13</v>
      </c>
      <c r="X36" s="70">
        <v>12</v>
      </c>
      <c r="Y36" s="70">
        <v>10</v>
      </c>
      <c r="Z36" s="70">
        <v>11</v>
      </c>
      <c r="AA36" s="70">
        <v>11</v>
      </c>
      <c r="AB36" s="70">
        <v>11</v>
      </c>
      <c r="AC36" s="70">
        <v>11</v>
      </c>
      <c r="AD36" s="70">
        <v>10</v>
      </c>
      <c r="AE36" s="157">
        <v>10</v>
      </c>
    </row>
    <row r="37" spans="1:32" ht="15" customHeight="1" x14ac:dyDescent="0.25">
      <c r="A37" s="156">
        <v>36</v>
      </c>
      <c r="B37" s="17" t="s">
        <v>46</v>
      </c>
      <c r="C37" s="70">
        <v>48</v>
      </c>
      <c r="D37" s="70">
        <v>50</v>
      </c>
      <c r="E37" s="70">
        <v>46</v>
      </c>
      <c r="F37" s="70">
        <v>47</v>
      </c>
      <c r="G37" s="70">
        <v>39</v>
      </c>
      <c r="H37" s="70">
        <v>28</v>
      </c>
      <c r="I37" s="70">
        <v>20</v>
      </c>
      <c r="J37" s="70">
        <v>27</v>
      </c>
      <c r="K37" s="70">
        <v>32</v>
      </c>
      <c r="L37" s="70">
        <v>34</v>
      </c>
      <c r="M37" s="70">
        <v>42</v>
      </c>
      <c r="N37" s="70">
        <v>45</v>
      </c>
      <c r="O37" s="70">
        <v>49</v>
      </c>
      <c r="P37" s="70">
        <v>52</v>
      </c>
      <c r="Q37" s="70">
        <v>55</v>
      </c>
      <c r="R37" s="70">
        <v>58</v>
      </c>
      <c r="S37" s="70">
        <v>59</v>
      </c>
      <c r="T37" s="70">
        <v>59</v>
      </c>
      <c r="U37" s="70">
        <v>61</v>
      </c>
      <c r="V37" s="70">
        <v>66</v>
      </c>
      <c r="W37" s="70">
        <v>68</v>
      </c>
      <c r="X37" s="70">
        <v>70</v>
      </c>
      <c r="Y37" s="70">
        <v>61</v>
      </c>
      <c r="Z37" s="70">
        <v>61</v>
      </c>
      <c r="AA37" s="70">
        <v>58</v>
      </c>
      <c r="AB37" s="70">
        <v>58</v>
      </c>
      <c r="AC37" s="70">
        <v>63</v>
      </c>
      <c r="AD37" s="70">
        <v>72</v>
      </c>
      <c r="AE37" s="157">
        <v>64</v>
      </c>
    </row>
    <row r="38" spans="1:32" ht="15" customHeight="1" thickBot="1" x14ac:dyDescent="0.3">
      <c r="A38" s="152">
        <v>37</v>
      </c>
      <c r="B38" s="15" t="s">
        <v>47</v>
      </c>
      <c r="C38" s="68" t="s">
        <v>383</v>
      </c>
      <c r="D38" s="68" t="s">
        <v>383</v>
      </c>
      <c r="E38" s="68" t="s">
        <v>383</v>
      </c>
      <c r="F38" s="68" t="s">
        <v>383</v>
      </c>
      <c r="G38" s="68" t="s">
        <v>383</v>
      </c>
      <c r="H38" s="68" t="s">
        <v>383</v>
      </c>
      <c r="I38" s="68" t="s">
        <v>383</v>
      </c>
      <c r="J38" s="68" t="s">
        <v>383</v>
      </c>
      <c r="K38" s="68" t="s">
        <v>383</v>
      </c>
      <c r="L38" s="68" t="s">
        <v>383</v>
      </c>
      <c r="M38" s="68" t="s">
        <v>383</v>
      </c>
      <c r="N38" s="68">
        <v>4</v>
      </c>
      <c r="O38" s="68">
        <v>4</v>
      </c>
      <c r="P38" s="68">
        <v>5</v>
      </c>
      <c r="Q38" s="68">
        <v>6</v>
      </c>
      <c r="R38" s="68">
        <v>7</v>
      </c>
      <c r="S38" s="68">
        <v>6</v>
      </c>
      <c r="T38" s="68">
        <v>6</v>
      </c>
      <c r="U38" s="68">
        <v>4</v>
      </c>
      <c r="V38" s="68" t="s">
        <v>383</v>
      </c>
      <c r="W38" s="68">
        <v>4</v>
      </c>
      <c r="X38" s="68">
        <v>4</v>
      </c>
      <c r="Y38" s="68" t="s">
        <v>383</v>
      </c>
      <c r="Z38" s="68" t="s">
        <v>383</v>
      </c>
      <c r="AA38" s="68" t="s">
        <v>383</v>
      </c>
      <c r="AB38" s="68">
        <v>4</v>
      </c>
      <c r="AC38" s="68">
        <v>4</v>
      </c>
      <c r="AD38" s="68">
        <v>4</v>
      </c>
      <c r="AE38" s="153" t="s">
        <v>383</v>
      </c>
    </row>
    <row r="39" spans="1:32" s="11" customFormat="1" ht="15" customHeight="1" thickBot="1" x14ac:dyDescent="0.3">
      <c r="A39" s="144" t="s">
        <v>48</v>
      </c>
      <c r="B39" s="9" t="s">
        <v>49</v>
      </c>
      <c r="C39" s="64">
        <v>79</v>
      </c>
      <c r="D39" s="64">
        <v>79</v>
      </c>
      <c r="E39" s="64">
        <v>78</v>
      </c>
      <c r="F39" s="64">
        <v>83</v>
      </c>
      <c r="G39" s="64">
        <v>83</v>
      </c>
      <c r="H39" s="64">
        <v>84</v>
      </c>
      <c r="I39" s="64">
        <v>83</v>
      </c>
      <c r="J39" s="64">
        <v>86</v>
      </c>
      <c r="K39" s="64">
        <v>85</v>
      </c>
      <c r="L39" s="64">
        <v>86</v>
      </c>
      <c r="M39" s="64">
        <v>85</v>
      </c>
      <c r="N39" s="64">
        <v>86</v>
      </c>
      <c r="O39" s="64">
        <v>89</v>
      </c>
      <c r="P39" s="64">
        <v>89</v>
      </c>
      <c r="Q39" s="64">
        <v>88</v>
      </c>
      <c r="R39" s="64">
        <v>90</v>
      </c>
      <c r="S39" s="64">
        <v>88</v>
      </c>
      <c r="T39" s="64">
        <v>90</v>
      </c>
      <c r="U39" s="64">
        <v>86</v>
      </c>
      <c r="V39" s="64">
        <v>87</v>
      </c>
      <c r="W39" s="64">
        <v>89</v>
      </c>
      <c r="X39" s="64">
        <v>86</v>
      </c>
      <c r="Y39" s="64">
        <v>85</v>
      </c>
      <c r="Z39" s="64">
        <v>85</v>
      </c>
      <c r="AA39" s="64">
        <v>83</v>
      </c>
      <c r="AB39" s="64">
        <v>84</v>
      </c>
      <c r="AC39" s="64">
        <v>82</v>
      </c>
      <c r="AD39" s="64">
        <v>78</v>
      </c>
      <c r="AE39" s="145">
        <v>79</v>
      </c>
      <c r="AF39" s="10"/>
    </row>
    <row r="40" spans="1:32" ht="15" customHeight="1" x14ac:dyDescent="0.25">
      <c r="A40" s="146">
        <v>40</v>
      </c>
      <c r="B40" s="12" t="s">
        <v>50</v>
      </c>
      <c r="C40" s="65">
        <v>23</v>
      </c>
      <c r="D40" s="65">
        <v>23</v>
      </c>
      <c r="E40" s="65">
        <v>21</v>
      </c>
      <c r="F40" s="65">
        <v>21</v>
      </c>
      <c r="G40" s="65">
        <v>22</v>
      </c>
      <c r="H40" s="65">
        <v>21</v>
      </c>
      <c r="I40" s="65">
        <v>21</v>
      </c>
      <c r="J40" s="65">
        <v>22</v>
      </c>
      <c r="K40" s="65">
        <v>22</v>
      </c>
      <c r="L40" s="65">
        <v>22</v>
      </c>
      <c r="M40" s="65">
        <v>22</v>
      </c>
      <c r="N40" s="65">
        <v>23</v>
      </c>
      <c r="O40" s="65">
        <v>24</v>
      </c>
      <c r="P40" s="65">
        <v>24</v>
      </c>
      <c r="Q40" s="65">
        <v>22</v>
      </c>
      <c r="R40" s="65">
        <v>24</v>
      </c>
      <c r="S40" s="65">
        <v>23</v>
      </c>
      <c r="T40" s="65">
        <v>23</v>
      </c>
      <c r="U40" s="65">
        <v>22</v>
      </c>
      <c r="V40" s="65">
        <v>23</v>
      </c>
      <c r="W40" s="65">
        <v>23</v>
      </c>
      <c r="X40" s="65">
        <v>24</v>
      </c>
      <c r="Y40" s="65">
        <v>24</v>
      </c>
      <c r="Z40" s="65">
        <v>24</v>
      </c>
      <c r="AA40" s="65">
        <v>24</v>
      </c>
      <c r="AB40" s="65">
        <v>27</v>
      </c>
      <c r="AC40" s="65">
        <v>24</v>
      </c>
      <c r="AD40" s="65">
        <v>21</v>
      </c>
      <c r="AE40" s="147">
        <v>21</v>
      </c>
    </row>
    <row r="41" spans="1:32" ht="15" customHeight="1" thickBot="1" x14ac:dyDescent="0.3">
      <c r="A41" s="158">
        <v>41</v>
      </c>
      <c r="B41" s="18" t="s">
        <v>51</v>
      </c>
      <c r="C41" s="71">
        <v>56</v>
      </c>
      <c r="D41" s="71">
        <v>56</v>
      </c>
      <c r="E41" s="71">
        <v>57</v>
      </c>
      <c r="F41" s="71">
        <v>62</v>
      </c>
      <c r="G41" s="71">
        <v>61</v>
      </c>
      <c r="H41" s="71">
        <v>63</v>
      </c>
      <c r="I41" s="71">
        <v>62</v>
      </c>
      <c r="J41" s="71">
        <v>64</v>
      </c>
      <c r="K41" s="71">
        <v>63</v>
      </c>
      <c r="L41" s="71">
        <v>64</v>
      </c>
      <c r="M41" s="71">
        <v>63</v>
      </c>
      <c r="N41" s="71">
        <v>63</v>
      </c>
      <c r="O41" s="71">
        <v>65</v>
      </c>
      <c r="P41" s="71">
        <v>65</v>
      </c>
      <c r="Q41" s="71">
        <v>66</v>
      </c>
      <c r="R41" s="71">
        <v>66</v>
      </c>
      <c r="S41" s="71">
        <v>65</v>
      </c>
      <c r="T41" s="71">
        <v>67</v>
      </c>
      <c r="U41" s="71">
        <v>64</v>
      </c>
      <c r="V41" s="71">
        <v>64</v>
      </c>
      <c r="W41" s="71">
        <v>66</v>
      </c>
      <c r="X41" s="71">
        <v>62</v>
      </c>
      <c r="Y41" s="71">
        <v>61</v>
      </c>
      <c r="Z41" s="71">
        <v>61</v>
      </c>
      <c r="AA41" s="71">
        <v>59</v>
      </c>
      <c r="AB41" s="71">
        <v>57</v>
      </c>
      <c r="AC41" s="71">
        <v>58</v>
      </c>
      <c r="AD41" s="71">
        <v>57</v>
      </c>
      <c r="AE41" s="159">
        <v>58</v>
      </c>
    </row>
    <row r="42" spans="1:32" s="11" customFormat="1" ht="15" customHeight="1" thickBot="1" x14ac:dyDescent="0.3">
      <c r="A42" s="160" t="s">
        <v>52</v>
      </c>
      <c r="B42" s="19" t="s">
        <v>53</v>
      </c>
      <c r="C42" s="64">
        <v>340</v>
      </c>
      <c r="D42" s="64">
        <v>374</v>
      </c>
      <c r="E42" s="64">
        <v>379</v>
      </c>
      <c r="F42" s="64">
        <v>364</v>
      </c>
      <c r="G42" s="64">
        <v>363</v>
      </c>
      <c r="H42" s="64">
        <v>312</v>
      </c>
      <c r="I42" s="64">
        <v>245</v>
      </c>
      <c r="J42" s="64">
        <v>320</v>
      </c>
      <c r="K42" s="64">
        <v>385</v>
      </c>
      <c r="L42" s="64">
        <v>475</v>
      </c>
      <c r="M42" s="64">
        <v>553</v>
      </c>
      <c r="N42" s="64">
        <v>611</v>
      </c>
      <c r="O42" s="64">
        <v>628</v>
      </c>
      <c r="P42" s="64">
        <v>605</v>
      </c>
      <c r="Q42" s="64">
        <v>582</v>
      </c>
      <c r="R42" s="64">
        <v>660</v>
      </c>
      <c r="S42" s="64">
        <v>658</v>
      </c>
      <c r="T42" s="64">
        <v>643</v>
      </c>
      <c r="U42" s="64">
        <v>653</v>
      </c>
      <c r="V42" s="64">
        <v>643</v>
      </c>
      <c r="W42" s="64">
        <v>604</v>
      </c>
      <c r="X42" s="64">
        <v>608</v>
      </c>
      <c r="Y42" s="64">
        <v>580</v>
      </c>
      <c r="Z42" s="64">
        <v>554</v>
      </c>
      <c r="AA42" s="64">
        <v>525</v>
      </c>
      <c r="AB42" s="64">
        <v>537</v>
      </c>
      <c r="AC42" s="64">
        <v>585</v>
      </c>
      <c r="AD42" s="64">
        <v>589</v>
      </c>
      <c r="AE42" s="145">
        <v>531</v>
      </c>
      <c r="AF42" s="10"/>
    </row>
    <row r="43" spans="1:32" ht="15" customHeight="1" thickBot="1" x14ac:dyDescent="0.3">
      <c r="A43" s="150">
        <v>45</v>
      </c>
      <c r="B43" s="14" t="s">
        <v>54</v>
      </c>
      <c r="C43" s="67">
        <v>340</v>
      </c>
      <c r="D43" s="67">
        <v>374</v>
      </c>
      <c r="E43" s="67">
        <v>379</v>
      </c>
      <c r="F43" s="67">
        <v>364</v>
      </c>
      <c r="G43" s="67">
        <v>363</v>
      </c>
      <c r="H43" s="67">
        <v>312</v>
      </c>
      <c r="I43" s="67">
        <v>245</v>
      </c>
      <c r="J43" s="67">
        <v>320</v>
      </c>
      <c r="K43" s="67">
        <v>385</v>
      </c>
      <c r="L43" s="67">
        <v>475</v>
      </c>
      <c r="M43" s="67">
        <v>553</v>
      </c>
      <c r="N43" s="67">
        <v>611</v>
      </c>
      <c r="O43" s="67">
        <v>628</v>
      </c>
      <c r="P43" s="67">
        <v>605</v>
      </c>
      <c r="Q43" s="67">
        <v>582</v>
      </c>
      <c r="R43" s="67">
        <v>660</v>
      </c>
      <c r="S43" s="67">
        <v>658</v>
      </c>
      <c r="T43" s="67">
        <v>643</v>
      </c>
      <c r="U43" s="67">
        <v>653</v>
      </c>
      <c r="V43" s="67">
        <v>643</v>
      </c>
      <c r="W43" s="67">
        <v>604</v>
      </c>
      <c r="X43" s="67">
        <v>608</v>
      </c>
      <c r="Y43" s="67">
        <v>580</v>
      </c>
      <c r="Z43" s="67">
        <v>554</v>
      </c>
      <c r="AA43" s="67">
        <v>525</v>
      </c>
      <c r="AB43" s="67">
        <v>537</v>
      </c>
      <c r="AC43" s="67">
        <v>585</v>
      </c>
      <c r="AD43" s="67">
        <v>589</v>
      </c>
      <c r="AE43" s="151">
        <v>531</v>
      </c>
    </row>
    <row r="44" spans="1:32" s="11" customFormat="1" ht="15" customHeight="1" thickBot="1" x14ac:dyDescent="0.3">
      <c r="A44" s="144" t="s">
        <v>55</v>
      </c>
      <c r="B44" s="9" t="s">
        <v>56</v>
      </c>
      <c r="C44" s="64">
        <v>2890</v>
      </c>
      <c r="D44" s="64">
        <v>2984</v>
      </c>
      <c r="E44" s="64">
        <v>2890</v>
      </c>
      <c r="F44" s="64">
        <v>2762</v>
      </c>
      <c r="G44" s="64">
        <v>2760</v>
      </c>
      <c r="H44" s="64">
        <v>2712</v>
      </c>
      <c r="I44" s="64">
        <v>2564</v>
      </c>
      <c r="J44" s="64">
        <v>2883</v>
      </c>
      <c r="K44" s="64">
        <v>3359</v>
      </c>
      <c r="L44" s="64">
        <v>3747</v>
      </c>
      <c r="M44" s="64">
        <v>4078</v>
      </c>
      <c r="N44" s="64">
        <v>4419</v>
      </c>
      <c r="O44" s="64">
        <v>4762</v>
      </c>
      <c r="P44" s="64">
        <v>4859</v>
      </c>
      <c r="Q44" s="64">
        <v>4988</v>
      </c>
      <c r="R44" s="64">
        <v>5065</v>
      </c>
      <c r="S44" s="64">
        <v>5099</v>
      </c>
      <c r="T44" s="64">
        <v>5138</v>
      </c>
      <c r="U44" s="64">
        <v>5119</v>
      </c>
      <c r="V44" s="64">
        <v>5236</v>
      </c>
      <c r="W44" s="64">
        <v>5268</v>
      </c>
      <c r="X44" s="64">
        <v>5316</v>
      </c>
      <c r="Y44" s="64">
        <v>5243</v>
      </c>
      <c r="Z44" s="64">
        <v>5071</v>
      </c>
      <c r="AA44" s="64">
        <v>4958</v>
      </c>
      <c r="AB44" s="64">
        <v>5038</v>
      </c>
      <c r="AC44" s="64">
        <v>5517</v>
      </c>
      <c r="AD44" s="64">
        <v>5849</v>
      </c>
      <c r="AE44" s="145">
        <v>5628</v>
      </c>
      <c r="AF44" s="10"/>
    </row>
    <row r="45" spans="1:32" ht="15" customHeight="1" x14ac:dyDescent="0.25">
      <c r="A45" s="146">
        <v>50</v>
      </c>
      <c r="B45" s="12" t="s">
        <v>57</v>
      </c>
      <c r="C45" s="65">
        <v>495</v>
      </c>
      <c r="D45" s="65">
        <v>501</v>
      </c>
      <c r="E45" s="65">
        <v>496</v>
      </c>
      <c r="F45" s="65">
        <v>485</v>
      </c>
      <c r="G45" s="65">
        <v>467</v>
      </c>
      <c r="H45" s="65">
        <v>446</v>
      </c>
      <c r="I45" s="65">
        <v>423</v>
      </c>
      <c r="J45" s="65">
        <v>465</v>
      </c>
      <c r="K45" s="65">
        <v>512</v>
      </c>
      <c r="L45" s="65">
        <v>564</v>
      </c>
      <c r="M45" s="65">
        <v>599</v>
      </c>
      <c r="N45" s="65">
        <v>661</v>
      </c>
      <c r="O45" s="65">
        <v>697</v>
      </c>
      <c r="P45" s="65">
        <v>690</v>
      </c>
      <c r="Q45" s="65">
        <v>707</v>
      </c>
      <c r="R45" s="65">
        <v>716</v>
      </c>
      <c r="S45" s="65">
        <v>734</v>
      </c>
      <c r="T45" s="65">
        <v>746</v>
      </c>
      <c r="U45" s="65">
        <v>723</v>
      </c>
      <c r="V45" s="65">
        <v>712</v>
      </c>
      <c r="W45" s="65">
        <v>728</v>
      </c>
      <c r="X45" s="65">
        <v>721</v>
      </c>
      <c r="Y45" s="65">
        <v>699</v>
      </c>
      <c r="Z45" s="65">
        <v>690</v>
      </c>
      <c r="AA45" s="65">
        <v>684</v>
      </c>
      <c r="AB45" s="65">
        <v>696</v>
      </c>
      <c r="AC45" s="65">
        <v>718</v>
      </c>
      <c r="AD45" s="65">
        <v>749</v>
      </c>
      <c r="AE45" s="147">
        <v>745</v>
      </c>
    </row>
    <row r="46" spans="1:32" ht="15" customHeight="1" x14ac:dyDescent="0.25">
      <c r="A46" s="156">
        <v>51</v>
      </c>
      <c r="B46" s="17" t="s">
        <v>58</v>
      </c>
      <c r="C46" s="70">
        <v>633</v>
      </c>
      <c r="D46" s="70">
        <v>662</v>
      </c>
      <c r="E46" s="70">
        <v>617</v>
      </c>
      <c r="F46" s="70">
        <v>621</v>
      </c>
      <c r="G46" s="70">
        <v>597</v>
      </c>
      <c r="H46" s="70">
        <v>607</v>
      </c>
      <c r="I46" s="70">
        <v>566</v>
      </c>
      <c r="J46" s="70">
        <v>617</v>
      </c>
      <c r="K46" s="70">
        <v>695</v>
      </c>
      <c r="L46" s="70">
        <v>749</v>
      </c>
      <c r="M46" s="70">
        <v>807</v>
      </c>
      <c r="N46" s="70">
        <v>845</v>
      </c>
      <c r="O46" s="70">
        <v>889</v>
      </c>
      <c r="P46" s="70">
        <v>899</v>
      </c>
      <c r="Q46" s="70">
        <v>930</v>
      </c>
      <c r="R46" s="70">
        <v>929</v>
      </c>
      <c r="S46" s="70">
        <v>943</v>
      </c>
      <c r="T46" s="70">
        <v>943</v>
      </c>
      <c r="U46" s="70">
        <v>957</v>
      </c>
      <c r="V46" s="70">
        <v>970</v>
      </c>
      <c r="W46" s="70">
        <v>957</v>
      </c>
      <c r="X46" s="70">
        <v>934</v>
      </c>
      <c r="Y46" s="70">
        <v>923</v>
      </c>
      <c r="Z46" s="70">
        <v>885</v>
      </c>
      <c r="AA46" s="70">
        <v>896</v>
      </c>
      <c r="AB46" s="70">
        <v>933</v>
      </c>
      <c r="AC46" s="70">
        <v>996</v>
      </c>
      <c r="AD46" s="70">
        <v>1022</v>
      </c>
      <c r="AE46" s="157">
        <v>1021</v>
      </c>
    </row>
    <row r="47" spans="1:32" ht="15" customHeight="1" thickBot="1" x14ac:dyDescent="0.3">
      <c r="A47" s="158">
        <v>52</v>
      </c>
      <c r="B47" s="18" t="s">
        <v>59</v>
      </c>
      <c r="C47" s="71">
        <v>1762</v>
      </c>
      <c r="D47" s="71">
        <v>1821</v>
      </c>
      <c r="E47" s="71">
        <v>1777</v>
      </c>
      <c r="F47" s="71">
        <v>1656</v>
      </c>
      <c r="G47" s="71">
        <v>1696</v>
      </c>
      <c r="H47" s="71">
        <v>1659</v>
      </c>
      <c r="I47" s="71">
        <v>1575</v>
      </c>
      <c r="J47" s="71">
        <v>1801</v>
      </c>
      <c r="K47" s="71">
        <v>2152</v>
      </c>
      <c r="L47" s="71">
        <v>2434</v>
      </c>
      <c r="M47" s="71">
        <v>2672</v>
      </c>
      <c r="N47" s="71">
        <v>2913</v>
      </c>
      <c r="O47" s="71">
        <v>3176</v>
      </c>
      <c r="P47" s="71">
        <v>3270</v>
      </c>
      <c r="Q47" s="71">
        <v>3351</v>
      </c>
      <c r="R47" s="71">
        <v>3420</v>
      </c>
      <c r="S47" s="71">
        <v>3422</v>
      </c>
      <c r="T47" s="71">
        <v>3449</v>
      </c>
      <c r="U47" s="71">
        <v>3439</v>
      </c>
      <c r="V47" s="71">
        <v>3554</v>
      </c>
      <c r="W47" s="71">
        <v>3583</v>
      </c>
      <c r="X47" s="71">
        <v>3661</v>
      </c>
      <c r="Y47" s="71">
        <v>3621</v>
      </c>
      <c r="Z47" s="71">
        <v>3496</v>
      </c>
      <c r="AA47" s="71">
        <v>3378</v>
      </c>
      <c r="AB47" s="71">
        <v>3409</v>
      </c>
      <c r="AC47" s="71">
        <v>3803</v>
      </c>
      <c r="AD47" s="71">
        <v>4078</v>
      </c>
      <c r="AE47" s="159">
        <v>3862</v>
      </c>
    </row>
    <row r="48" spans="1:32" s="11" customFormat="1" ht="15" customHeight="1" thickBot="1" x14ac:dyDescent="0.3">
      <c r="A48" s="160" t="s">
        <v>60</v>
      </c>
      <c r="B48" s="19" t="s">
        <v>61</v>
      </c>
      <c r="C48" s="64">
        <v>290</v>
      </c>
      <c r="D48" s="64">
        <v>286</v>
      </c>
      <c r="E48" s="64">
        <v>302</v>
      </c>
      <c r="F48" s="64">
        <v>266</v>
      </c>
      <c r="G48" s="64">
        <v>261</v>
      </c>
      <c r="H48" s="64">
        <v>249</v>
      </c>
      <c r="I48" s="64">
        <v>230</v>
      </c>
      <c r="J48" s="64">
        <v>278</v>
      </c>
      <c r="K48" s="64">
        <v>332</v>
      </c>
      <c r="L48" s="64">
        <v>403</v>
      </c>
      <c r="M48" s="64">
        <v>493</v>
      </c>
      <c r="N48" s="64">
        <v>563</v>
      </c>
      <c r="O48" s="64">
        <v>621</v>
      </c>
      <c r="P48" s="64">
        <v>646</v>
      </c>
      <c r="Q48" s="64">
        <v>681</v>
      </c>
      <c r="R48" s="64">
        <v>711</v>
      </c>
      <c r="S48" s="64">
        <v>748</v>
      </c>
      <c r="T48" s="64">
        <v>753</v>
      </c>
      <c r="U48" s="64">
        <v>757</v>
      </c>
      <c r="V48" s="64">
        <v>795</v>
      </c>
      <c r="W48" s="64">
        <v>784</v>
      </c>
      <c r="X48" s="64">
        <v>778</v>
      </c>
      <c r="Y48" s="64">
        <v>747</v>
      </c>
      <c r="Z48" s="64">
        <v>717</v>
      </c>
      <c r="AA48" s="64">
        <v>631</v>
      </c>
      <c r="AB48" s="64">
        <v>637</v>
      </c>
      <c r="AC48" s="64">
        <v>758</v>
      </c>
      <c r="AD48" s="64">
        <v>796</v>
      </c>
      <c r="AE48" s="145">
        <v>761</v>
      </c>
      <c r="AF48" s="10"/>
    </row>
    <row r="49" spans="1:32" ht="15" customHeight="1" thickBot="1" x14ac:dyDescent="0.3">
      <c r="A49" s="150">
        <v>55</v>
      </c>
      <c r="B49" s="14" t="s">
        <v>62</v>
      </c>
      <c r="C49" s="67">
        <v>290</v>
      </c>
      <c r="D49" s="67">
        <v>286</v>
      </c>
      <c r="E49" s="67">
        <v>302</v>
      </c>
      <c r="F49" s="67">
        <v>266</v>
      </c>
      <c r="G49" s="67">
        <v>261</v>
      </c>
      <c r="H49" s="67">
        <v>249</v>
      </c>
      <c r="I49" s="67">
        <v>230</v>
      </c>
      <c r="J49" s="67">
        <v>278</v>
      </c>
      <c r="K49" s="67">
        <v>332</v>
      </c>
      <c r="L49" s="67">
        <v>403</v>
      </c>
      <c r="M49" s="67">
        <v>493</v>
      </c>
      <c r="N49" s="67">
        <v>563</v>
      </c>
      <c r="O49" s="67">
        <v>621</v>
      </c>
      <c r="P49" s="67">
        <v>646</v>
      </c>
      <c r="Q49" s="67">
        <v>681</v>
      </c>
      <c r="R49" s="67">
        <v>711</v>
      </c>
      <c r="S49" s="67">
        <v>748</v>
      </c>
      <c r="T49" s="67">
        <v>753</v>
      </c>
      <c r="U49" s="67">
        <v>757</v>
      </c>
      <c r="V49" s="67">
        <v>795</v>
      </c>
      <c r="W49" s="67">
        <v>784</v>
      </c>
      <c r="X49" s="67">
        <v>778</v>
      </c>
      <c r="Y49" s="67">
        <v>747</v>
      </c>
      <c r="Z49" s="67">
        <v>717</v>
      </c>
      <c r="AA49" s="67">
        <v>631</v>
      </c>
      <c r="AB49" s="67">
        <v>637</v>
      </c>
      <c r="AC49" s="67">
        <v>758</v>
      </c>
      <c r="AD49" s="67">
        <v>796</v>
      </c>
      <c r="AE49" s="151">
        <v>761</v>
      </c>
    </row>
    <row r="50" spans="1:32" s="11" customFormat="1" ht="15" customHeight="1" thickBot="1" x14ac:dyDescent="0.3">
      <c r="A50" s="144" t="s">
        <v>63</v>
      </c>
      <c r="B50" s="9" t="s">
        <v>64</v>
      </c>
      <c r="C50" s="64">
        <v>669</v>
      </c>
      <c r="D50" s="64">
        <v>700</v>
      </c>
      <c r="E50" s="64">
        <v>730</v>
      </c>
      <c r="F50" s="64">
        <v>730</v>
      </c>
      <c r="G50" s="64">
        <v>692</v>
      </c>
      <c r="H50" s="64">
        <v>662</v>
      </c>
      <c r="I50" s="64">
        <v>611</v>
      </c>
      <c r="J50" s="64">
        <v>682</v>
      </c>
      <c r="K50" s="64">
        <v>816</v>
      </c>
      <c r="L50" s="64">
        <v>988</v>
      </c>
      <c r="M50" s="64">
        <v>1111</v>
      </c>
      <c r="N50" s="64">
        <v>1268</v>
      </c>
      <c r="O50" s="64">
        <v>1384</v>
      </c>
      <c r="P50" s="64">
        <v>1343</v>
      </c>
      <c r="Q50" s="64">
        <v>1393</v>
      </c>
      <c r="R50" s="64">
        <v>1489</v>
      </c>
      <c r="S50" s="64">
        <v>1482</v>
      </c>
      <c r="T50" s="64">
        <v>1529</v>
      </c>
      <c r="U50" s="64">
        <v>1486</v>
      </c>
      <c r="V50" s="64">
        <v>1490</v>
      </c>
      <c r="W50" s="64">
        <v>1483</v>
      </c>
      <c r="X50" s="64">
        <v>1501</v>
      </c>
      <c r="Y50" s="64">
        <v>1418</v>
      </c>
      <c r="Z50" s="64">
        <v>1352</v>
      </c>
      <c r="AA50" s="64">
        <v>1335</v>
      </c>
      <c r="AB50" s="64">
        <v>1373</v>
      </c>
      <c r="AC50" s="64">
        <v>1444</v>
      </c>
      <c r="AD50" s="64">
        <v>1439</v>
      </c>
      <c r="AE50" s="145">
        <v>1401</v>
      </c>
      <c r="AF50" s="10"/>
    </row>
    <row r="51" spans="1:32" ht="15" customHeight="1" x14ac:dyDescent="0.25">
      <c r="A51" s="152">
        <v>60</v>
      </c>
      <c r="B51" s="15" t="s">
        <v>65</v>
      </c>
      <c r="C51" s="68">
        <v>540</v>
      </c>
      <c r="D51" s="68">
        <v>563</v>
      </c>
      <c r="E51" s="68">
        <v>574</v>
      </c>
      <c r="F51" s="68">
        <v>555</v>
      </c>
      <c r="G51" s="68">
        <v>513</v>
      </c>
      <c r="H51" s="68">
        <v>498</v>
      </c>
      <c r="I51" s="68">
        <v>464</v>
      </c>
      <c r="J51" s="68">
        <v>526</v>
      </c>
      <c r="K51" s="68">
        <v>647</v>
      </c>
      <c r="L51" s="68">
        <v>800</v>
      </c>
      <c r="M51" s="68">
        <v>904</v>
      </c>
      <c r="N51" s="68">
        <v>1047</v>
      </c>
      <c r="O51" s="68">
        <v>1154</v>
      </c>
      <c r="P51" s="68">
        <v>1130</v>
      </c>
      <c r="Q51" s="68">
        <v>1165</v>
      </c>
      <c r="R51" s="68">
        <v>1255</v>
      </c>
      <c r="S51" s="68">
        <v>1248</v>
      </c>
      <c r="T51" s="68">
        <v>1281</v>
      </c>
      <c r="U51" s="68">
        <v>1246</v>
      </c>
      <c r="V51" s="68">
        <v>1249</v>
      </c>
      <c r="W51" s="68">
        <v>1243</v>
      </c>
      <c r="X51" s="68">
        <v>1260</v>
      </c>
      <c r="Y51" s="68">
        <v>1182</v>
      </c>
      <c r="Z51" s="68">
        <v>1126</v>
      </c>
      <c r="AA51" s="68">
        <v>1113</v>
      </c>
      <c r="AB51" s="68">
        <v>1149</v>
      </c>
      <c r="AC51" s="68">
        <v>1196</v>
      </c>
      <c r="AD51" s="68">
        <v>1182</v>
      </c>
      <c r="AE51" s="153">
        <v>1149</v>
      </c>
    </row>
    <row r="52" spans="1:32" ht="15" customHeight="1" x14ac:dyDescent="0.25">
      <c r="A52" s="161">
        <v>61</v>
      </c>
      <c r="B52" s="20" t="s">
        <v>66</v>
      </c>
      <c r="C52" s="73" t="s">
        <v>383</v>
      </c>
      <c r="D52" s="73" t="s">
        <v>383</v>
      </c>
      <c r="E52" s="73" t="s">
        <v>383</v>
      </c>
      <c r="F52" s="73" t="s">
        <v>383</v>
      </c>
      <c r="G52" s="73" t="s">
        <v>383</v>
      </c>
      <c r="H52" s="73" t="s">
        <v>383</v>
      </c>
      <c r="I52" s="73" t="s">
        <v>383</v>
      </c>
      <c r="J52" s="73" t="s">
        <v>383</v>
      </c>
      <c r="K52" s="73" t="s">
        <v>383</v>
      </c>
      <c r="L52" s="73" t="s">
        <v>383</v>
      </c>
      <c r="M52" s="73" t="s">
        <v>383</v>
      </c>
      <c r="N52" s="73" t="s">
        <v>383</v>
      </c>
      <c r="O52" s="73" t="s">
        <v>383</v>
      </c>
      <c r="P52" s="73" t="s">
        <v>383</v>
      </c>
      <c r="Q52" s="73" t="s">
        <v>383</v>
      </c>
      <c r="R52" s="73" t="s">
        <v>383</v>
      </c>
      <c r="S52" s="73" t="s">
        <v>383</v>
      </c>
      <c r="T52" s="73" t="s">
        <v>383</v>
      </c>
      <c r="U52" s="73" t="s">
        <v>383</v>
      </c>
      <c r="V52" s="73" t="s">
        <v>383</v>
      </c>
      <c r="W52" s="73" t="s">
        <v>383</v>
      </c>
      <c r="X52" s="73" t="s">
        <v>383</v>
      </c>
      <c r="Y52" s="73">
        <v>5</v>
      </c>
      <c r="Z52" s="73" t="s">
        <v>383</v>
      </c>
      <c r="AA52" s="73" t="s">
        <v>383</v>
      </c>
      <c r="AB52" s="73" t="s">
        <v>383</v>
      </c>
      <c r="AC52" s="73" t="s">
        <v>383</v>
      </c>
      <c r="AD52" s="73" t="s">
        <v>383</v>
      </c>
      <c r="AE52" s="162" t="s">
        <v>383</v>
      </c>
    </row>
    <row r="53" spans="1:32" ht="15" customHeight="1" x14ac:dyDescent="0.25">
      <c r="A53" s="152">
        <v>62</v>
      </c>
      <c r="B53" s="15" t="s">
        <v>67</v>
      </c>
      <c r="C53" s="68" t="s">
        <v>383</v>
      </c>
      <c r="D53" s="68" t="s">
        <v>383</v>
      </c>
      <c r="E53" s="68" t="s">
        <v>383</v>
      </c>
      <c r="F53" s="68" t="s">
        <v>383</v>
      </c>
      <c r="G53" s="68" t="s">
        <v>383</v>
      </c>
      <c r="H53" s="68" t="s">
        <v>383</v>
      </c>
      <c r="I53" s="68" t="s">
        <v>383</v>
      </c>
      <c r="J53" s="68" t="s">
        <v>383</v>
      </c>
      <c r="K53" s="68" t="s">
        <v>383</v>
      </c>
      <c r="L53" s="68" t="s">
        <v>383</v>
      </c>
      <c r="M53" s="68" t="s">
        <v>383</v>
      </c>
      <c r="N53" s="68" t="s">
        <v>383</v>
      </c>
      <c r="O53" s="68" t="s">
        <v>383</v>
      </c>
      <c r="P53" s="68" t="s">
        <v>383</v>
      </c>
      <c r="Q53" s="68" t="s">
        <v>383</v>
      </c>
      <c r="R53" s="68" t="s">
        <v>383</v>
      </c>
      <c r="S53" s="68" t="s">
        <v>383</v>
      </c>
      <c r="T53" s="68" t="s">
        <v>383</v>
      </c>
      <c r="U53" s="68" t="s">
        <v>383</v>
      </c>
      <c r="V53" s="68" t="s">
        <v>383</v>
      </c>
      <c r="W53" s="68" t="s">
        <v>383</v>
      </c>
      <c r="X53" s="68" t="s">
        <v>383</v>
      </c>
      <c r="Y53" s="68">
        <v>4</v>
      </c>
      <c r="Z53" s="68" t="s">
        <v>383</v>
      </c>
      <c r="AA53" s="68" t="s">
        <v>383</v>
      </c>
      <c r="AB53" s="68" t="s">
        <v>383</v>
      </c>
      <c r="AC53" s="68" t="s">
        <v>383</v>
      </c>
      <c r="AD53" s="68" t="s">
        <v>383</v>
      </c>
      <c r="AE53" s="153" t="s">
        <v>383</v>
      </c>
    </row>
    <row r="54" spans="1:32" ht="15" customHeight="1" x14ac:dyDescent="0.25">
      <c r="A54" s="163">
        <v>63</v>
      </c>
      <c r="B54" s="21" t="s">
        <v>68</v>
      </c>
      <c r="C54" s="74">
        <v>65</v>
      </c>
      <c r="D54" s="74">
        <v>64</v>
      </c>
      <c r="E54" s="74">
        <v>72</v>
      </c>
      <c r="F54" s="74">
        <v>74</v>
      </c>
      <c r="G54" s="74">
        <v>73</v>
      </c>
      <c r="H54" s="74">
        <v>72</v>
      </c>
      <c r="I54" s="74">
        <v>65</v>
      </c>
      <c r="J54" s="74">
        <v>66</v>
      </c>
      <c r="K54" s="74">
        <v>76</v>
      </c>
      <c r="L54" s="74">
        <v>90</v>
      </c>
      <c r="M54" s="74">
        <v>107</v>
      </c>
      <c r="N54" s="74">
        <v>122</v>
      </c>
      <c r="O54" s="74">
        <v>126</v>
      </c>
      <c r="P54" s="74">
        <v>118</v>
      </c>
      <c r="Q54" s="74">
        <v>129</v>
      </c>
      <c r="R54" s="74">
        <v>139</v>
      </c>
      <c r="S54" s="74">
        <v>133</v>
      </c>
      <c r="T54" s="74">
        <v>144</v>
      </c>
      <c r="U54" s="74">
        <v>142</v>
      </c>
      <c r="V54" s="74">
        <v>145</v>
      </c>
      <c r="W54" s="74">
        <v>146</v>
      </c>
      <c r="X54" s="74">
        <v>144</v>
      </c>
      <c r="Y54" s="74">
        <v>146</v>
      </c>
      <c r="Z54" s="74">
        <v>137</v>
      </c>
      <c r="AA54" s="74">
        <v>134</v>
      </c>
      <c r="AB54" s="74">
        <v>136</v>
      </c>
      <c r="AC54" s="74">
        <v>156</v>
      </c>
      <c r="AD54" s="74">
        <v>158</v>
      </c>
      <c r="AE54" s="164">
        <v>163</v>
      </c>
    </row>
    <row r="55" spans="1:32" ht="15" customHeight="1" thickBot="1" x14ac:dyDescent="0.3">
      <c r="A55" s="152">
        <v>64</v>
      </c>
      <c r="B55" s="15" t="s">
        <v>99</v>
      </c>
      <c r="C55" s="68">
        <v>55</v>
      </c>
      <c r="D55" s="68">
        <v>65</v>
      </c>
      <c r="E55" s="68">
        <v>77</v>
      </c>
      <c r="F55" s="68">
        <v>95</v>
      </c>
      <c r="G55" s="68">
        <v>100</v>
      </c>
      <c r="H55" s="68">
        <v>86</v>
      </c>
      <c r="I55" s="68">
        <v>77</v>
      </c>
      <c r="J55" s="68">
        <v>84</v>
      </c>
      <c r="K55" s="68">
        <v>89</v>
      </c>
      <c r="L55" s="68">
        <v>92</v>
      </c>
      <c r="M55" s="68">
        <v>97</v>
      </c>
      <c r="N55" s="68">
        <v>95</v>
      </c>
      <c r="O55" s="68">
        <v>94</v>
      </c>
      <c r="P55" s="68">
        <v>88</v>
      </c>
      <c r="Q55" s="68">
        <v>91</v>
      </c>
      <c r="R55" s="68">
        <v>89</v>
      </c>
      <c r="S55" s="68">
        <v>94</v>
      </c>
      <c r="T55" s="68">
        <v>93</v>
      </c>
      <c r="U55" s="68">
        <v>90</v>
      </c>
      <c r="V55" s="68">
        <v>90</v>
      </c>
      <c r="W55" s="68">
        <v>88</v>
      </c>
      <c r="X55" s="68">
        <v>88</v>
      </c>
      <c r="Y55" s="68">
        <v>81</v>
      </c>
      <c r="Z55" s="68">
        <v>84</v>
      </c>
      <c r="AA55" s="68">
        <v>81</v>
      </c>
      <c r="AB55" s="68">
        <v>82</v>
      </c>
      <c r="AC55" s="68">
        <v>86</v>
      </c>
      <c r="AD55" s="68">
        <v>93</v>
      </c>
      <c r="AE55" s="153">
        <v>84</v>
      </c>
    </row>
    <row r="56" spans="1:32" s="11" customFormat="1" ht="15" customHeight="1" thickBot="1" x14ac:dyDescent="0.3">
      <c r="A56" s="144" t="s">
        <v>70</v>
      </c>
      <c r="B56" s="9" t="s">
        <v>71</v>
      </c>
      <c r="C56" s="64">
        <v>129</v>
      </c>
      <c r="D56" s="64">
        <v>136</v>
      </c>
      <c r="E56" s="64">
        <v>145</v>
      </c>
      <c r="F56" s="64">
        <v>152</v>
      </c>
      <c r="G56" s="64">
        <v>161</v>
      </c>
      <c r="H56" s="64">
        <v>159</v>
      </c>
      <c r="I56" s="64">
        <v>137</v>
      </c>
      <c r="J56" s="64">
        <v>133</v>
      </c>
      <c r="K56" s="64">
        <v>145</v>
      </c>
      <c r="L56" s="64">
        <v>158</v>
      </c>
      <c r="M56" s="64">
        <v>180</v>
      </c>
      <c r="N56" s="64">
        <v>186</v>
      </c>
      <c r="O56" s="64">
        <v>201</v>
      </c>
      <c r="P56" s="64">
        <v>199</v>
      </c>
      <c r="Q56" s="64">
        <v>209</v>
      </c>
      <c r="R56" s="64">
        <v>208</v>
      </c>
      <c r="S56" s="64">
        <v>213</v>
      </c>
      <c r="T56" s="64">
        <v>209</v>
      </c>
      <c r="U56" s="64">
        <v>208</v>
      </c>
      <c r="V56" s="64">
        <v>212</v>
      </c>
      <c r="W56" s="64">
        <v>209</v>
      </c>
      <c r="X56" s="64">
        <v>207</v>
      </c>
      <c r="Y56" s="64">
        <v>203</v>
      </c>
      <c r="Z56" s="64">
        <v>186</v>
      </c>
      <c r="AA56" s="64">
        <v>188</v>
      </c>
      <c r="AB56" s="64">
        <v>190</v>
      </c>
      <c r="AC56" s="64">
        <v>184</v>
      </c>
      <c r="AD56" s="64">
        <v>189</v>
      </c>
      <c r="AE56" s="145">
        <v>190</v>
      </c>
      <c r="AF56" s="10"/>
    </row>
    <row r="57" spans="1:32" ht="15" customHeight="1" x14ac:dyDescent="0.25">
      <c r="A57" s="152">
        <v>65</v>
      </c>
      <c r="B57" s="15" t="s">
        <v>72</v>
      </c>
      <c r="C57" s="68">
        <v>53</v>
      </c>
      <c r="D57" s="68">
        <v>54</v>
      </c>
      <c r="E57" s="68">
        <v>57</v>
      </c>
      <c r="F57" s="68">
        <v>58</v>
      </c>
      <c r="G57" s="68">
        <v>69</v>
      </c>
      <c r="H57" s="68">
        <v>65</v>
      </c>
      <c r="I57" s="68">
        <v>55</v>
      </c>
      <c r="J57" s="68">
        <v>50</v>
      </c>
      <c r="K57" s="68">
        <v>49</v>
      </c>
      <c r="L57" s="68">
        <v>53</v>
      </c>
      <c r="M57" s="68">
        <v>55</v>
      </c>
      <c r="N57" s="68">
        <v>60</v>
      </c>
      <c r="O57" s="68">
        <v>62</v>
      </c>
      <c r="P57" s="68">
        <v>62</v>
      </c>
      <c r="Q57" s="68">
        <v>61</v>
      </c>
      <c r="R57" s="68">
        <v>60</v>
      </c>
      <c r="S57" s="68">
        <v>62</v>
      </c>
      <c r="T57" s="68">
        <v>60</v>
      </c>
      <c r="U57" s="68">
        <v>61</v>
      </c>
      <c r="V57" s="68">
        <v>59</v>
      </c>
      <c r="W57" s="68">
        <v>60</v>
      </c>
      <c r="X57" s="68">
        <v>60</v>
      </c>
      <c r="Y57" s="68">
        <v>58</v>
      </c>
      <c r="Z57" s="68">
        <v>54</v>
      </c>
      <c r="AA57" s="68">
        <v>52</v>
      </c>
      <c r="AB57" s="68">
        <v>50</v>
      </c>
      <c r="AC57" s="68">
        <v>48</v>
      </c>
      <c r="AD57" s="68">
        <v>46</v>
      </c>
      <c r="AE57" s="153">
        <v>44</v>
      </c>
    </row>
    <row r="58" spans="1:32" ht="15" customHeight="1" x14ac:dyDescent="0.25">
      <c r="A58" s="156">
        <v>66</v>
      </c>
      <c r="B58" s="17" t="s">
        <v>100</v>
      </c>
      <c r="C58" s="70">
        <v>41</v>
      </c>
      <c r="D58" s="70">
        <v>48</v>
      </c>
      <c r="E58" s="70">
        <v>51</v>
      </c>
      <c r="F58" s="70">
        <v>53</v>
      </c>
      <c r="G58" s="70">
        <v>49</v>
      </c>
      <c r="H58" s="70">
        <v>49</v>
      </c>
      <c r="I58" s="70">
        <v>43</v>
      </c>
      <c r="J58" s="70">
        <v>43</v>
      </c>
      <c r="K58" s="70">
        <v>44</v>
      </c>
      <c r="L58" s="70">
        <v>49</v>
      </c>
      <c r="M58" s="70">
        <v>54</v>
      </c>
      <c r="N58" s="70">
        <v>56</v>
      </c>
      <c r="O58" s="70">
        <v>57</v>
      </c>
      <c r="P58" s="70">
        <v>47</v>
      </c>
      <c r="Q58" s="70">
        <v>50</v>
      </c>
      <c r="R58" s="70">
        <v>49</v>
      </c>
      <c r="S58" s="70">
        <v>49</v>
      </c>
      <c r="T58" s="70">
        <v>48</v>
      </c>
      <c r="U58" s="70">
        <v>45</v>
      </c>
      <c r="V58" s="70">
        <v>46</v>
      </c>
      <c r="W58" s="70">
        <v>45</v>
      </c>
      <c r="X58" s="70">
        <v>41</v>
      </c>
      <c r="Y58" s="70">
        <v>41</v>
      </c>
      <c r="Z58" s="70">
        <v>37</v>
      </c>
      <c r="AA58" s="70">
        <v>39</v>
      </c>
      <c r="AB58" s="70">
        <v>41</v>
      </c>
      <c r="AC58" s="70">
        <v>38</v>
      </c>
      <c r="AD58" s="70">
        <v>39</v>
      </c>
      <c r="AE58" s="157">
        <v>43</v>
      </c>
    </row>
    <row r="59" spans="1:32" ht="15" customHeight="1" thickBot="1" x14ac:dyDescent="0.3">
      <c r="A59" s="152">
        <v>67</v>
      </c>
      <c r="B59" s="15" t="s">
        <v>74</v>
      </c>
      <c r="C59" s="68">
        <v>35</v>
      </c>
      <c r="D59" s="68">
        <v>34</v>
      </c>
      <c r="E59" s="68">
        <v>37</v>
      </c>
      <c r="F59" s="68">
        <v>41</v>
      </c>
      <c r="G59" s="68">
        <v>43</v>
      </c>
      <c r="H59" s="68">
        <v>45</v>
      </c>
      <c r="I59" s="68">
        <v>39</v>
      </c>
      <c r="J59" s="68">
        <v>40</v>
      </c>
      <c r="K59" s="68">
        <v>52</v>
      </c>
      <c r="L59" s="68">
        <v>56</v>
      </c>
      <c r="M59" s="68">
        <v>71</v>
      </c>
      <c r="N59" s="68">
        <v>70</v>
      </c>
      <c r="O59" s="68">
        <v>82</v>
      </c>
      <c r="P59" s="68">
        <v>90</v>
      </c>
      <c r="Q59" s="68">
        <v>98</v>
      </c>
      <c r="R59" s="68">
        <v>99</v>
      </c>
      <c r="S59" s="68">
        <v>102</v>
      </c>
      <c r="T59" s="68">
        <v>101</v>
      </c>
      <c r="U59" s="68">
        <v>102</v>
      </c>
      <c r="V59" s="68">
        <v>107</v>
      </c>
      <c r="W59" s="68">
        <v>104</v>
      </c>
      <c r="X59" s="68">
        <v>106</v>
      </c>
      <c r="Y59" s="68">
        <v>104</v>
      </c>
      <c r="Z59" s="68">
        <v>95</v>
      </c>
      <c r="AA59" s="68">
        <v>97</v>
      </c>
      <c r="AB59" s="68">
        <v>99</v>
      </c>
      <c r="AC59" s="68">
        <v>98</v>
      </c>
      <c r="AD59" s="68">
        <v>104</v>
      </c>
      <c r="AE59" s="153">
        <v>103</v>
      </c>
    </row>
    <row r="60" spans="1:32" s="11" customFormat="1" ht="15" customHeight="1" thickBot="1" x14ac:dyDescent="0.3">
      <c r="A60" s="144" t="s">
        <v>75</v>
      </c>
      <c r="B60" s="9" t="s">
        <v>76</v>
      </c>
      <c r="C60" s="64">
        <v>2203</v>
      </c>
      <c r="D60" s="64">
        <v>2252</v>
      </c>
      <c r="E60" s="64">
        <v>2265</v>
      </c>
      <c r="F60" s="64">
        <v>2279</v>
      </c>
      <c r="G60" s="64">
        <v>2244</v>
      </c>
      <c r="H60" s="64">
        <v>2200</v>
      </c>
      <c r="I60" s="64">
        <v>2104</v>
      </c>
      <c r="J60" s="64">
        <v>2236</v>
      </c>
      <c r="K60" s="64">
        <v>2462</v>
      </c>
      <c r="L60" s="64">
        <v>2605</v>
      </c>
      <c r="M60" s="64">
        <v>2744</v>
      </c>
      <c r="N60" s="64">
        <v>2849</v>
      </c>
      <c r="O60" s="64">
        <v>2923</v>
      </c>
      <c r="P60" s="64">
        <v>2805</v>
      </c>
      <c r="Q60" s="64">
        <v>2794</v>
      </c>
      <c r="R60" s="64">
        <v>2800</v>
      </c>
      <c r="S60" s="64">
        <v>2723</v>
      </c>
      <c r="T60" s="64">
        <v>2616</v>
      </c>
      <c r="U60" s="64">
        <v>2463</v>
      </c>
      <c r="V60" s="64">
        <v>2398</v>
      </c>
      <c r="W60" s="64">
        <v>2272</v>
      </c>
      <c r="X60" s="64">
        <v>2208</v>
      </c>
      <c r="Y60" s="64">
        <v>2097</v>
      </c>
      <c r="Z60" s="64">
        <v>1958</v>
      </c>
      <c r="AA60" s="64">
        <v>1848</v>
      </c>
      <c r="AB60" s="64">
        <v>1794</v>
      </c>
      <c r="AC60" s="64">
        <v>1775</v>
      </c>
      <c r="AD60" s="64">
        <v>1754</v>
      </c>
      <c r="AE60" s="145">
        <v>1593</v>
      </c>
      <c r="AF60" s="10"/>
    </row>
    <row r="61" spans="1:32" ht="15" customHeight="1" x14ac:dyDescent="0.25">
      <c r="A61" s="146">
        <v>70</v>
      </c>
      <c r="B61" s="12" t="s">
        <v>77</v>
      </c>
      <c r="C61" s="65">
        <v>1226</v>
      </c>
      <c r="D61" s="65">
        <v>1252</v>
      </c>
      <c r="E61" s="65">
        <v>1234</v>
      </c>
      <c r="F61" s="65">
        <v>1244</v>
      </c>
      <c r="G61" s="65">
        <v>1203</v>
      </c>
      <c r="H61" s="65">
        <v>1173</v>
      </c>
      <c r="I61" s="65">
        <v>1137</v>
      </c>
      <c r="J61" s="65">
        <v>1199</v>
      </c>
      <c r="K61" s="65">
        <v>1298</v>
      </c>
      <c r="L61" s="65">
        <v>1345</v>
      </c>
      <c r="M61" s="65">
        <v>1401</v>
      </c>
      <c r="N61" s="65">
        <v>1400</v>
      </c>
      <c r="O61" s="65">
        <v>1417</v>
      </c>
      <c r="P61" s="65">
        <v>1354</v>
      </c>
      <c r="Q61" s="65">
        <v>1334</v>
      </c>
      <c r="R61" s="65">
        <v>1299</v>
      </c>
      <c r="S61" s="65">
        <v>1271</v>
      </c>
      <c r="T61" s="65">
        <v>1209</v>
      </c>
      <c r="U61" s="65">
        <v>1111</v>
      </c>
      <c r="V61" s="65">
        <v>1044</v>
      </c>
      <c r="W61" s="65">
        <v>983</v>
      </c>
      <c r="X61" s="65">
        <v>923</v>
      </c>
      <c r="Y61" s="65">
        <v>833</v>
      </c>
      <c r="Z61" s="65">
        <v>753</v>
      </c>
      <c r="AA61" s="65">
        <v>697</v>
      </c>
      <c r="AB61" s="65">
        <v>642</v>
      </c>
      <c r="AC61" s="65">
        <v>596</v>
      </c>
      <c r="AD61" s="65">
        <v>550</v>
      </c>
      <c r="AE61" s="147">
        <v>503</v>
      </c>
    </row>
    <row r="62" spans="1:32" ht="15" customHeight="1" x14ac:dyDescent="0.25">
      <c r="A62" s="156">
        <v>71</v>
      </c>
      <c r="B62" s="17" t="s">
        <v>78</v>
      </c>
      <c r="C62" s="70">
        <v>30</v>
      </c>
      <c r="D62" s="70">
        <v>26</v>
      </c>
      <c r="E62" s="70">
        <v>31</v>
      </c>
      <c r="F62" s="70">
        <v>30</v>
      </c>
      <c r="G62" s="70">
        <v>34</v>
      </c>
      <c r="H62" s="70">
        <v>35</v>
      </c>
      <c r="I62" s="70">
        <v>31</v>
      </c>
      <c r="J62" s="70">
        <v>34</v>
      </c>
      <c r="K62" s="70">
        <v>44</v>
      </c>
      <c r="L62" s="70">
        <v>47</v>
      </c>
      <c r="M62" s="70">
        <v>45</v>
      </c>
      <c r="N62" s="70">
        <v>51</v>
      </c>
      <c r="O62" s="70">
        <v>60</v>
      </c>
      <c r="P62" s="70">
        <v>61</v>
      </c>
      <c r="Q62" s="70">
        <v>53</v>
      </c>
      <c r="R62" s="70">
        <v>52</v>
      </c>
      <c r="S62" s="70">
        <v>41</v>
      </c>
      <c r="T62" s="70">
        <v>38</v>
      </c>
      <c r="U62" s="70">
        <v>38</v>
      </c>
      <c r="V62" s="70">
        <v>40</v>
      </c>
      <c r="W62" s="70">
        <v>33</v>
      </c>
      <c r="X62" s="70">
        <v>33</v>
      </c>
      <c r="Y62" s="70">
        <v>34</v>
      </c>
      <c r="Z62" s="70">
        <v>31</v>
      </c>
      <c r="AA62" s="70">
        <v>28</v>
      </c>
      <c r="AB62" s="70">
        <v>26</v>
      </c>
      <c r="AC62" s="70">
        <v>27</v>
      </c>
      <c r="AD62" s="70">
        <v>27</v>
      </c>
      <c r="AE62" s="157">
        <v>21</v>
      </c>
    </row>
    <row r="63" spans="1:32" ht="15" customHeight="1" x14ac:dyDescent="0.25">
      <c r="A63" s="156">
        <v>72</v>
      </c>
      <c r="B63" s="17" t="s">
        <v>79</v>
      </c>
      <c r="C63" s="70" t="s">
        <v>383</v>
      </c>
      <c r="D63" s="70">
        <v>24</v>
      </c>
      <c r="E63" s="70">
        <v>20</v>
      </c>
      <c r="F63" s="70">
        <v>17</v>
      </c>
      <c r="G63" s="70" t="s">
        <v>383</v>
      </c>
      <c r="H63" s="70">
        <v>24</v>
      </c>
      <c r="I63" s="70">
        <v>22</v>
      </c>
      <c r="J63" s="70">
        <v>27</v>
      </c>
      <c r="K63" s="70">
        <v>38</v>
      </c>
      <c r="L63" s="70">
        <v>45</v>
      </c>
      <c r="M63" s="70">
        <v>46</v>
      </c>
      <c r="N63" s="70">
        <v>59</v>
      </c>
      <c r="O63" s="70">
        <v>58</v>
      </c>
      <c r="P63" s="70">
        <v>53</v>
      </c>
      <c r="Q63" s="70">
        <v>55</v>
      </c>
      <c r="R63" s="70">
        <v>67</v>
      </c>
      <c r="S63" s="70">
        <v>58</v>
      </c>
      <c r="T63" s="70">
        <v>57</v>
      </c>
      <c r="U63" s="70">
        <v>54</v>
      </c>
      <c r="V63" s="70">
        <v>62</v>
      </c>
      <c r="W63" s="70">
        <v>68</v>
      </c>
      <c r="X63" s="70">
        <v>61</v>
      </c>
      <c r="Y63" s="70">
        <v>63</v>
      </c>
      <c r="Z63" s="70">
        <v>67</v>
      </c>
      <c r="AA63" s="70">
        <v>72</v>
      </c>
      <c r="AB63" s="70">
        <v>79</v>
      </c>
      <c r="AC63" s="70">
        <v>90</v>
      </c>
      <c r="AD63" s="70">
        <v>97</v>
      </c>
      <c r="AE63" s="157">
        <v>94</v>
      </c>
    </row>
    <row r="64" spans="1:32" ht="15" customHeight="1" x14ac:dyDescent="0.25">
      <c r="A64" s="156">
        <v>73</v>
      </c>
      <c r="B64" s="17" t="s">
        <v>80</v>
      </c>
      <c r="C64" s="70" t="s">
        <v>383</v>
      </c>
      <c r="D64" s="70" t="s">
        <v>383</v>
      </c>
      <c r="E64" s="70">
        <v>4</v>
      </c>
      <c r="F64" s="70">
        <v>4</v>
      </c>
      <c r="G64" s="70" t="s">
        <v>383</v>
      </c>
      <c r="H64" s="70">
        <v>5</v>
      </c>
      <c r="I64" s="70">
        <v>8</v>
      </c>
      <c r="J64" s="70">
        <v>9</v>
      </c>
      <c r="K64" s="70">
        <v>7</v>
      </c>
      <c r="L64" s="70">
        <v>9</v>
      </c>
      <c r="M64" s="70">
        <v>11</v>
      </c>
      <c r="N64" s="70">
        <v>13</v>
      </c>
      <c r="O64" s="70">
        <v>14</v>
      </c>
      <c r="P64" s="70">
        <v>12</v>
      </c>
      <c r="Q64" s="70">
        <v>12</v>
      </c>
      <c r="R64" s="70">
        <v>13</v>
      </c>
      <c r="S64" s="70">
        <v>13</v>
      </c>
      <c r="T64" s="70">
        <v>15</v>
      </c>
      <c r="U64" s="70">
        <v>13</v>
      </c>
      <c r="V64" s="70">
        <v>12</v>
      </c>
      <c r="W64" s="70">
        <v>12</v>
      </c>
      <c r="X64" s="70">
        <v>12</v>
      </c>
      <c r="Y64" s="70">
        <v>15</v>
      </c>
      <c r="Z64" s="70">
        <v>14</v>
      </c>
      <c r="AA64" s="70">
        <v>13</v>
      </c>
      <c r="AB64" s="70">
        <v>15</v>
      </c>
      <c r="AC64" s="70">
        <v>12</v>
      </c>
      <c r="AD64" s="70">
        <v>13</v>
      </c>
      <c r="AE64" s="157">
        <v>12</v>
      </c>
    </row>
    <row r="65" spans="1:32" ht="15" customHeight="1" x14ac:dyDescent="0.25">
      <c r="A65" s="156">
        <v>74</v>
      </c>
      <c r="B65" s="17" t="s">
        <v>81</v>
      </c>
      <c r="C65" s="70">
        <v>918</v>
      </c>
      <c r="D65" s="70">
        <v>945</v>
      </c>
      <c r="E65" s="70">
        <v>970</v>
      </c>
      <c r="F65" s="70">
        <v>976</v>
      </c>
      <c r="G65" s="70">
        <v>971</v>
      </c>
      <c r="H65" s="70">
        <v>952</v>
      </c>
      <c r="I65" s="70">
        <v>897</v>
      </c>
      <c r="J65" s="70">
        <v>955</v>
      </c>
      <c r="K65" s="70">
        <v>1063</v>
      </c>
      <c r="L65" s="70">
        <v>1147</v>
      </c>
      <c r="M65" s="70">
        <v>1230</v>
      </c>
      <c r="N65" s="70">
        <v>1314</v>
      </c>
      <c r="O65" s="70">
        <v>1361</v>
      </c>
      <c r="P65" s="70">
        <v>1310</v>
      </c>
      <c r="Q65" s="70">
        <v>1322</v>
      </c>
      <c r="R65" s="70">
        <v>1354</v>
      </c>
      <c r="S65" s="70">
        <v>1322</v>
      </c>
      <c r="T65" s="70">
        <v>1279</v>
      </c>
      <c r="U65" s="70">
        <v>1231</v>
      </c>
      <c r="V65" s="70">
        <v>1228</v>
      </c>
      <c r="W65" s="70">
        <v>1164</v>
      </c>
      <c r="X65" s="70">
        <v>1169</v>
      </c>
      <c r="Y65" s="70">
        <v>1142</v>
      </c>
      <c r="Z65" s="70">
        <v>1084</v>
      </c>
      <c r="AA65" s="70">
        <v>1028</v>
      </c>
      <c r="AB65" s="70">
        <v>1022</v>
      </c>
      <c r="AC65" s="70">
        <v>1039</v>
      </c>
      <c r="AD65" s="70">
        <v>1058</v>
      </c>
      <c r="AE65" s="157">
        <v>954</v>
      </c>
    </row>
    <row r="66" spans="1:32" ht="15" customHeight="1" thickBot="1" x14ac:dyDescent="0.3">
      <c r="A66" s="158">
        <v>75</v>
      </c>
      <c r="B66" s="18" t="s">
        <v>185</v>
      </c>
      <c r="C66" s="71">
        <v>4</v>
      </c>
      <c r="D66" s="71" t="s">
        <v>383</v>
      </c>
      <c r="E66" s="71">
        <v>6</v>
      </c>
      <c r="F66" s="71">
        <v>8</v>
      </c>
      <c r="G66" s="71">
        <v>10</v>
      </c>
      <c r="H66" s="71">
        <v>11</v>
      </c>
      <c r="I66" s="71">
        <v>9</v>
      </c>
      <c r="J66" s="71">
        <v>12</v>
      </c>
      <c r="K66" s="71">
        <v>12</v>
      </c>
      <c r="L66" s="71">
        <v>12</v>
      </c>
      <c r="M66" s="71">
        <v>11</v>
      </c>
      <c r="N66" s="71">
        <v>12</v>
      </c>
      <c r="O66" s="71">
        <v>13</v>
      </c>
      <c r="P66" s="71">
        <v>15</v>
      </c>
      <c r="Q66" s="71">
        <v>18</v>
      </c>
      <c r="R66" s="71">
        <v>15</v>
      </c>
      <c r="S66" s="71">
        <v>18</v>
      </c>
      <c r="T66" s="71">
        <v>18</v>
      </c>
      <c r="U66" s="71">
        <v>16</v>
      </c>
      <c r="V66" s="71">
        <v>12</v>
      </c>
      <c r="W66" s="71">
        <v>12</v>
      </c>
      <c r="X66" s="71">
        <v>10</v>
      </c>
      <c r="Y66" s="71">
        <v>10</v>
      </c>
      <c r="Z66" s="71">
        <v>9</v>
      </c>
      <c r="AA66" s="71">
        <v>10</v>
      </c>
      <c r="AB66" s="71">
        <v>10</v>
      </c>
      <c r="AC66" s="71">
        <v>11</v>
      </c>
      <c r="AD66" s="71">
        <v>9</v>
      </c>
      <c r="AE66" s="159">
        <v>9</v>
      </c>
    </row>
    <row r="67" spans="1:32" s="11" customFormat="1" ht="15" customHeight="1" thickBot="1" x14ac:dyDescent="0.3">
      <c r="A67" s="160" t="s">
        <v>83</v>
      </c>
      <c r="B67" s="19" t="s">
        <v>84</v>
      </c>
      <c r="C67" s="64">
        <v>155</v>
      </c>
      <c r="D67" s="64">
        <v>158</v>
      </c>
      <c r="E67" s="64">
        <v>174</v>
      </c>
      <c r="F67" s="64">
        <v>174</v>
      </c>
      <c r="G67" s="64">
        <v>198</v>
      </c>
      <c r="H67" s="64">
        <v>206</v>
      </c>
      <c r="I67" s="64">
        <v>204</v>
      </c>
      <c r="J67" s="64">
        <v>227</v>
      </c>
      <c r="K67" s="64">
        <v>249</v>
      </c>
      <c r="L67" s="64">
        <v>263</v>
      </c>
      <c r="M67" s="64">
        <v>282</v>
      </c>
      <c r="N67" s="64">
        <v>296</v>
      </c>
      <c r="O67" s="64">
        <v>303</v>
      </c>
      <c r="P67" s="64">
        <v>317</v>
      </c>
      <c r="Q67" s="64">
        <v>376</v>
      </c>
      <c r="R67" s="64">
        <v>391</v>
      </c>
      <c r="S67" s="64">
        <v>390</v>
      </c>
      <c r="T67" s="64">
        <v>390</v>
      </c>
      <c r="U67" s="64">
        <v>389</v>
      </c>
      <c r="V67" s="64">
        <v>390</v>
      </c>
      <c r="W67" s="64">
        <v>392</v>
      </c>
      <c r="X67" s="64">
        <v>399</v>
      </c>
      <c r="Y67" s="64">
        <v>399</v>
      </c>
      <c r="Z67" s="64">
        <v>394</v>
      </c>
      <c r="AA67" s="64">
        <v>384</v>
      </c>
      <c r="AB67" s="64">
        <v>380</v>
      </c>
      <c r="AC67" s="64">
        <v>397</v>
      </c>
      <c r="AD67" s="64">
        <v>414</v>
      </c>
      <c r="AE67" s="145">
        <v>418</v>
      </c>
      <c r="AF67" s="10"/>
    </row>
    <row r="68" spans="1:32" ht="15" customHeight="1" thickBot="1" x14ac:dyDescent="0.3">
      <c r="A68" s="150">
        <v>80</v>
      </c>
      <c r="B68" s="14" t="s">
        <v>85</v>
      </c>
      <c r="C68" s="70">
        <v>155</v>
      </c>
      <c r="D68" s="67">
        <v>158</v>
      </c>
      <c r="E68" s="67">
        <v>174</v>
      </c>
      <c r="F68" s="67">
        <v>174</v>
      </c>
      <c r="G68" s="67">
        <v>198</v>
      </c>
      <c r="H68" s="67">
        <v>206</v>
      </c>
      <c r="I68" s="67">
        <v>204</v>
      </c>
      <c r="J68" s="67">
        <v>227</v>
      </c>
      <c r="K68" s="67">
        <v>249</v>
      </c>
      <c r="L68" s="67">
        <v>263</v>
      </c>
      <c r="M68" s="67">
        <v>282</v>
      </c>
      <c r="N68" s="67">
        <v>296</v>
      </c>
      <c r="O68" s="67">
        <v>303</v>
      </c>
      <c r="P68" s="67">
        <v>317</v>
      </c>
      <c r="Q68" s="67">
        <v>376</v>
      </c>
      <c r="R68" s="67">
        <v>391</v>
      </c>
      <c r="S68" s="67">
        <v>390</v>
      </c>
      <c r="T68" s="67">
        <v>390</v>
      </c>
      <c r="U68" s="67">
        <v>389</v>
      </c>
      <c r="V68" s="67">
        <v>390</v>
      </c>
      <c r="W68" s="67">
        <v>392</v>
      </c>
      <c r="X68" s="67">
        <v>399</v>
      </c>
      <c r="Y68" s="67">
        <v>399</v>
      </c>
      <c r="Z68" s="67">
        <v>394</v>
      </c>
      <c r="AA68" s="67">
        <v>384</v>
      </c>
      <c r="AB68" s="67">
        <v>380</v>
      </c>
      <c r="AC68" s="67">
        <v>397</v>
      </c>
      <c r="AD68" s="67">
        <v>414</v>
      </c>
      <c r="AE68" s="151">
        <v>418</v>
      </c>
    </row>
    <row r="69" spans="1:32" s="11" customFormat="1" ht="15" customHeight="1" thickBot="1" x14ac:dyDescent="0.3">
      <c r="A69" s="144" t="s">
        <v>86</v>
      </c>
      <c r="B69" s="9" t="s">
        <v>87</v>
      </c>
      <c r="C69" s="64">
        <v>600</v>
      </c>
      <c r="D69" s="64">
        <v>604</v>
      </c>
      <c r="E69" s="64">
        <v>624</v>
      </c>
      <c r="F69" s="64">
        <v>621</v>
      </c>
      <c r="G69" s="64">
        <v>638</v>
      </c>
      <c r="H69" s="64">
        <v>648</v>
      </c>
      <c r="I69" s="64">
        <v>615</v>
      </c>
      <c r="J69" s="64">
        <v>628</v>
      </c>
      <c r="K69" s="64">
        <v>681</v>
      </c>
      <c r="L69" s="64">
        <v>703</v>
      </c>
      <c r="M69" s="64">
        <v>735</v>
      </c>
      <c r="N69" s="64">
        <v>773</v>
      </c>
      <c r="O69" s="64">
        <v>794</v>
      </c>
      <c r="P69" s="64">
        <v>813</v>
      </c>
      <c r="Q69" s="64">
        <v>843</v>
      </c>
      <c r="R69" s="64">
        <v>858</v>
      </c>
      <c r="S69" s="64">
        <v>891</v>
      </c>
      <c r="T69" s="64">
        <v>902</v>
      </c>
      <c r="U69" s="64">
        <v>916</v>
      </c>
      <c r="V69" s="64">
        <v>928</v>
      </c>
      <c r="W69" s="64">
        <v>950</v>
      </c>
      <c r="X69" s="64">
        <v>978</v>
      </c>
      <c r="Y69" s="64">
        <v>988</v>
      </c>
      <c r="Z69" s="64">
        <v>996</v>
      </c>
      <c r="AA69" s="64">
        <v>974</v>
      </c>
      <c r="AB69" s="64">
        <v>952</v>
      </c>
      <c r="AC69" s="64">
        <v>968</v>
      </c>
      <c r="AD69" s="64">
        <v>1001</v>
      </c>
      <c r="AE69" s="145">
        <v>958</v>
      </c>
      <c r="AF69" s="10"/>
    </row>
    <row r="70" spans="1:32" ht="15" customHeight="1" thickBot="1" x14ac:dyDescent="0.3">
      <c r="A70" s="150">
        <v>85</v>
      </c>
      <c r="B70" s="14" t="s">
        <v>88</v>
      </c>
      <c r="C70" s="67">
        <v>600</v>
      </c>
      <c r="D70" s="67">
        <v>604</v>
      </c>
      <c r="E70" s="67">
        <v>624</v>
      </c>
      <c r="F70" s="67">
        <v>621</v>
      </c>
      <c r="G70" s="67">
        <v>638</v>
      </c>
      <c r="H70" s="67">
        <v>648</v>
      </c>
      <c r="I70" s="67">
        <v>615</v>
      </c>
      <c r="J70" s="67">
        <v>628</v>
      </c>
      <c r="K70" s="67">
        <v>681</v>
      </c>
      <c r="L70" s="67">
        <v>703</v>
      </c>
      <c r="M70" s="67">
        <v>735</v>
      </c>
      <c r="N70" s="67">
        <v>773</v>
      </c>
      <c r="O70" s="67">
        <v>794</v>
      </c>
      <c r="P70" s="67">
        <v>813</v>
      </c>
      <c r="Q70" s="67">
        <v>843</v>
      </c>
      <c r="R70" s="67">
        <v>858</v>
      </c>
      <c r="S70" s="67">
        <v>891</v>
      </c>
      <c r="T70" s="67">
        <v>902</v>
      </c>
      <c r="U70" s="67">
        <v>916</v>
      </c>
      <c r="V70" s="67">
        <v>928</v>
      </c>
      <c r="W70" s="67">
        <v>950</v>
      </c>
      <c r="X70" s="67">
        <v>978</v>
      </c>
      <c r="Y70" s="67">
        <v>988</v>
      </c>
      <c r="Z70" s="67">
        <v>996</v>
      </c>
      <c r="AA70" s="67">
        <v>974</v>
      </c>
      <c r="AB70" s="67">
        <v>952</v>
      </c>
      <c r="AC70" s="67">
        <v>968</v>
      </c>
      <c r="AD70" s="67">
        <v>1001</v>
      </c>
      <c r="AE70" s="151">
        <v>958</v>
      </c>
    </row>
    <row r="71" spans="1:32" s="11" customFormat="1" ht="15" customHeight="1" thickBot="1" x14ac:dyDescent="0.3">
      <c r="A71" s="144" t="s">
        <v>89</v>
      </c>
      <c r="B71" s="9" t="s">
        <v>90</v>
      </c>
      <c r="C71" s="64">
        <v>1021</v>
      </c>
      <c r="D71" s="64">
        <v>1035</v>
      </c>
      <c r="E71" s="64">
        <v>1012</v>
      </c>
      <c r="F71" s="64">
        <v>1017</v>
      </c>
      <c r="G71" s="64">
        <v>1018</v>
      </c>
      <c r="H71" s="64">
        <v>1018</v>
      </c>
      <c r="I71" s="64">
        <v>946</v>
      </c>
      <c r="J71" s="64">
        <v>1013</v>
      </c>
      <c r="K71" s="64">
        <v>1155</v>
      </c>
      <c r="L71" s="64">
        <v>1215</v>
      </c>
      <c r="M71" s="64">
        <v>1245</v>
      </c>
      <c r="N71" s="64">
        <v>1242</v>
      </c>
      <c r="O71" s="64">
        <v>1255</v>
      </c>
      <c r="P71" s="64">
        <v>1262</v>
      </c>
      <c r="Q71" s="64">
        <v>1264</v>
      </c>
      <c r="R71" s="64">
        <v>1264</v>
      </c>
      <c r="S71" s="64">
        <v>1257</v>
      </c>
      <c r="T71" s="64">
        <v>1241</v>
      </c>
      <c r="U71" s="64">
        <v>1219</v>
      </c>
      <c r="V71" s="64">
        <v>1202</v>
      </c>
      <c r="W71" s="64">
        <v>1173</v>
      </c>
      <c r="X71" s="64">
        <v>1171</v>
      </c>
      <c r="Y71" s="64">
        <v>1115</v>
      </c>
      <c r="Z71" s="64">
        <v>1091</v>
      </c>
      <c r="AA71" s="64">
        <v>1060</v>
      </c>
      <c r="AB71" s="64">
        <v>1048</v>
      </c>
      <c r="AC71" s="64">
        <v>1058</v>
      </c>
      <c r="AD71" s="64">
        <v>1100</v>
      </c>
      <c r="AE71" s="145">
        <v>1014</v>
      </c>
      <c r="AF71" s="10"/>
    </row>
    <row r="72" spans="1:32" ht="15" customHeight="1" x14ac:dyDescent="0.25">
      <c r="A72" s="146">
        <v>90</v>
      </c>
      <c r="B72" s="12" t="s">
        <v>91</v>
      </c>
      <c r="C72" s="65">
        <v>5</v>
      </c>
      <c r="D72" s="65">
        <v>9</v>
      </c>
      <c r="E72" s="65">
        <v>16</v>
      </c>
      <c r="F72" s="65">
        <v>15</v>
      </c>
      <c r="G72" s="65">
        <v>12</v>
      </c>
      <c r="H72" s="65">
        <v>10</v>
      </c>
      <c r="I72" s="65">
        <v>5</v>
      </c>
      <c r="J72" s="65">
        <v>6</v>
      </c>
      <c r="K72" s="65" t="s">
        <v>383</v>
      </c>
      <c r="L72" s="65">
        <v>6</v>
      </c>
      <c r="M72" s="65">
        <v>5</v>
      </c>
      <c r="N72" s="65">
        <v>6</v>
      </c>
      <c r="O72" s="65">
        <v>6</v>
      </c>
      <c r="P72" s="65">
        <v>9</v>
      </c>
      <c r="Q72" s="65">
        <v>9</v>
      </c>
      <c r="R72" s="65">
        <v>9</v>
      </c>
      <c r="S72" s="65">
        <v>8</v>
      </c>
      <c r="T72" s="65">
        <v>8</v>
      </c>
      <c r="U72" s="65">
        <v>9</v>
      </c>
      <c r="V72" s="65">
        <v>8</v>
      </c>
      <c r="W72" s="65">
        <v>6</v>
      </c>
      <c r="X72" s="65">
        <v>6</v>
      </c>
      <c r="Y72" s="65">
        <v>5</v>
      </c>
      <c r="Z72" s="65">
        <v>4</v>
      </c>
      <c r="AA72" s="65">
        <v>5</v>
      </c>
      <c r="AB72" s="65">
        <v>5</v>
      </c>
      <c r="AC72" s="65">
        <v>5</v>
      </c>
      <c r="AD72" s="65">
        <v>5</v>
      </c>
      <c r="AE72" s="147">
        <v>7</v>
      </c>
    </row>
    <row r="73" spans="1:32" ht="15" customHeight="1" x14ac:dyDescent="0.25">
      <c r="A73" s="156">
        <v>91</v>
      </c>
      <c r="B73" s="17" t="s">
        <v>92</v>
      </c>
      <c r="C73" s="70">
        <v>462</v>
      </c>
      <c r="D73" s="70">
        <v>475</v>
      </c>
      <c r="E73" s="70">
        <v>481</v>
      </c>
      <c r="F73" s="70">
        <v>504</v>
      </c>
      <c r="G73" s="70">
        <v>509</v>
      </c>
      <c r="H73" s="70">
        <v>512</v>
      </c>
      <c r="I73" s="70">
        <v>507</v>
      </c>
      <c r="J73" s="70">
        <v>515</v>
      </c>
      <c r="K73" s="70">
        <v>536</v>
      </c>
      <c r="L73" s="70">
        <v>549</v>
      </c>
      <c r="M73" s="70">
        <v>553</v>
      </c>
      <c r="N73" s="70">
        <v>573</v>
      </c>
      <c r="O73" s="70">
        <v>569</v>
      </c>
      <c r="P73" s="70">
        <v>578</v>
      </c>
      <c r="Q73" s="70">
        <v>584</v>
      </c>
      <c r="R73" s="70">
        <v>597</v>
      </c>
      <c r="S73" s="70">
        <v>600</v>
      </c>
      <c r="T73" s="70">
        <v>609</v>
      </c>
      <c r="U73" s="70">
        <v>617</v>
      </c>
      <c r="V73" s="70">
        <v>621</v>
      </c>
      <c r="W73" s="70">
        <v>621</v>
      </c>
      <c r="X73" s="70">
        <v>623</v>
      </c>
      <c r="Y73" s="70">
        <v>608</v>
      </c>
      <c r="Z73" s="70">
        <v>602</v>
      </c>
      <c r="AA73" s="70">
        <v>599</v>
      </c>
      <c r="AB73" s="70">
        <v>596</v>
      </c>
      <c r="AC73" s="70">
        <v>595</v>
      </c>
      <c r="AD73" s="70">
        <v>587</v>
      </c>
      <c r="AE73" s="157">
        <v>569</v>
      </c>
    </row>
    <row r="74" spans="1:32" ht="15" customHeight="1" x14ac:dyDescent="0.25">
      <c r="A74" s="156">
        <v>92</v>
      </c>
      <c r="B74" s="17" t="s">
        <v>93</v>
      </c>
      <c r="C74" s="70">
        <v>197</v>
      </c>
      <c r="D74" s="70">
        <v>200</v>
      </c>
      <c r="E74" s="70">
        <v>193</v>
      </c>
      <c r="F74" s="70">
        <v>180</v>
      </c>
      <c r="G74" s="70">
        <v>177</v>
      </c>
      <c r="H74" s="70">
        <v>171</v>
      </c>
      <c r="I74" s="70">
        <v>163</v>
      </c>
      <c r="J74" s="70">
        <v>181</v>
      </c>
      <c r="K74" s="70" t="s">
        <v>383</v>
      </c>
      <c r="L74" s="70">
        <v>224</v>
      </c>
      <c r="M74" s="70">
        <v>244</v>
      </c>
      <c r="N74" s="70">
        <v>252</v>
      </c>
      <c r="O74" s="70">
        <v>277</v>
      </c>
      <c r="P74" s="70">
        <v>295</v>
      </c>
      <c r="Q74" s="70">
        <v>280</v>
      </c>
      <c r="R74" s="70">
        <v>287</v>
      </c>
      <c r="S74" s="70">
        <v>292</v>
      </c>
      <c r="T74" s="70">
        <v>294</v>
      </c>
      <c r="U74" s="70">
        <v>276</v>
      </c>
      <c r="V74" s="70">
        <v>271</v>
      </c>
      <c r="W74" s="70">
        <v>271</v>
      </c>
      <c r="X74" s="70">
        <v>272</v>
      </c>
      <c r="Y74" s="70">
        <v>266</v>
      </c>
      <c r="Z74" s="70">
        <v>259</v>
      </c>
      <c r="AA74" s="70">
        <v>250</v>
      </c>
      <c r="AB74" s="70">
        <v>236</v>
      </c>
      <c r="AC74" s="70">
        <v>238</v>
      </c>
      <c r="AD74" s="70">
        <v>261</v>
      </c>
      <c r="AE74" s="157">
        <v>220</v>
      </c>
    </row>
    <row r="75" spans="1:32" ht="15" customHeight="1" thickBot="1" x14ac:dyDescent="0.3">
      <c r="A75" s="158">
        <v>93</v>
      </c>
      <c r="B75" s="18" t="s">
        <v>94</v>
      </c>
      <c r="C75" s="76">
        <v>357</v>
      </c>
      <c r="D75" s="76">
        <v>351</v>
      </c>
      <c r="E75" s="76">
        <v>322</v>
      </c>
      <c r="F75" s="76">
        <v>318</v>
      </c>
      <c r="G75" s="76">
        <v>320</v>
      </c>
      <c r="H75" s="76">
        <v>325</v>
      </c>
      <c r="I75" s="76">
        <v>271</v>
      </c>
      <c r="J75" s="76">
        <v>311</v>
      </c>
      <c r="K75" s="76">
        <v>409</v>
      </c>
      <c r="L75" s="76">
        <v>436</v>
      </c>
      <c r="M75" s="76">
        <v>443</v>
      </c>
      <c r="N75" s="76">
        <v>411</v>
      </c>
      <c r="O75" s="76">
        <v>403</v>
      </c>
      <c r="P75" s="76">
        <v>380</v>
      </c>
      <c r="Q75" s="76">
        <v>391</v>
      </c>
      <c r="R75" s="76">
        <v>371</v>
      </c>
      <c r="S75" s="76">
        <v>357</v>
      </c>
      <c r="T75" s="76">
        <v>330</v>
      </c>
      <c r="U75" s="76">
        <v>317</v>
      </c>
      <c r="V75" s="76">
        <v>302</v>
      </c>
      <c r="W75" s="76">
        <v>275</v>
      </c>
      <c r="X75" s="76">
        <v>270</v>
      </c>
      <c r="Y75" s="76">
        <v>236</v>
      </c>
      <c r="Z75" s="76">
        <v>226</v>
      </c>
      <c r="AA75" s="76">
        <v>206</v>
      </c>
      <c r="AB75" s="76">
        <v>211</v>
      </c>
      <c r="AC75" s="76">
        <v>220</v>
      </c>
      <c r="AD75" s="76">
        <v>247</v>
      </c>
      <c r="AE75" s="165">
        <v>218</v>
      </c>
    </row>
    <row r="76" spans="1:32" s="23" customFormat="1" ht="15" customHeight="1" thickBot="1" x14ac:dyDescent="0.3">
      <c r="A76" s="166"/>
      <c r="B76" s="167" t="s">
        <v>95</v>
      </c>
      <c r="C76" s="168">
        <v>12895</v>
      </c>
      <c r="D76" s="168">
        <v>13189</v>
      </c>
      <c r="E76" s="168">
        <v>13076</v>
      </c>
      <c r="F76" s="168">
        <v>12898</v>
      </c>
      <c r="G76" s="168">
        <v>12698</v>
      </c>
      <c r="H76" s="168">
        <v>12342</v>
      </c>
      <c r="I76" s="168">
        <v>11668</v>
      </c>
      <c r="J76" s="168">
        <v>12729</v>
      </c>
      <c r="K76" s="168">
        <v>14284</v>
      </c>
      <c r="L76" s="168">
        <v>15657</v>
      </c>
      <c r="M76" s="168">
        <v>16879</v>
      </c>
      <c r="N76" s="168">
        <v>17882</v>
      </c>
      <c r="O76" s="168">
        <v>18756</v>
      </c>
      <c r="P76" s="168">
        <v>18665</v>
      </c>
      <c r="Q76" s="168">
        <v>19053</v>
      </c>
      <c r="R76" s="168">
        <v>19583</v>
      </c>
      <c r="S76" s="168">
        <v>19501</v>
      </c>
      <c r="T76" s="168">
        <v>19376</v>
      </c>
      <c r="U76" s="168">
        <v>19074</v>
      </c>
      <c r="V76" s="168">
        <v>19028</v>
      </c>
      <c r="W76" s="168">
        <v>18801</v>
      </c>
      <c r="X76" s="168">
        <v>18792</v>
      </c>
      <c r="Y76" s="168">
        <v>18289</v>
      </c>
      <c r="Z76" s="168">
        <v>17764</v>
      </c>
      <c r="AA76" s="168">
        <v>17317</v>
      </c>
      <c r="AB76" s="168">
        <v>17426</v>
      </c>
      <c r="AC76" s="168">
        <v>18354</v>
      </c>
      <c r="AD76" s="168">
        <v>18785</v>
      </c>
      <c r="AE76" s="169">
        <v>18033</v>
      </c>
      <c r="AF76" s="22"/>
    </row>
    <row r="77" spans="1:32" ht="12" customHeight="1" x14ac:dyDescent="0.25">
      <c r="A77" s="7"/>
      <c r="B77" s="7"/>
      <c r="C77" s="7"/>
      <c r="D77" s="7"/>
      <c r="E77" s="24"/>
      <c r="F77" s="7"/>
      <c r="G77" s="25"/>
      <c r="H77" s="7"/>
      <c r="I77" s="7"/>
      <c r="J77" s="7"/>
      <c r="K77" s="7"/>
      <c r="L77" s="7"/>
      <c r="M77" s="7"/>
      <c r="N77" s="7"/>
      <c r="O77" s="7"/>
      <c r="P77" s="7"/>
      <c r="Q77" s="7"/>
      <c r="R77" s="7"/>
      <c r="S77" s="7"/>
      <c r="T77" s="7"/>
      <c r="U77" s="7"/>
      <c r="V77" s="7"/>
      <c r="W77" s="7"/>
      <c r="X77" s="7"/>
      <c r="Y77" s="7"/>
      <c r="Z77" s="7"/>
      <c r="AA77" s="7"/>
      <c r="AB77" s="7"/>
      <c r="AC77" s="7"/>
      <c r="AD77" s="7"/>
      <c r="AE77" s="7"/>
    </row>
    <row r="78" spans="1:32" ht="11.25" x14ac:dyDescent="0.25">
      <c r="A78" s="307" t="s">
        <v>96</v>
      </c>
      <c r="B78" s="307"/>
      <c r="C78" s="277"/>
      <c r="D78" s="277"/>
      <c r="E78" s="277"/>
      <c r="F78" s="26"/>
      <c r="G78" s="26"/>
      <c r="H78" s="7"/>
      <c r="I78" s="7"/>
      <c r="J78" s="7"/>
      <c r="K78" s="7"/>
      <c r="L78" s="7"/>
      <c r="M78" s="7"/>
      <c r="N78" s="7"/>
      <c r="O78" s="7"/>
      <c r="P78" s="7"/>
      <c r="Q78" s="7"/>
      <c r="R78" s="7"/>
      <c r="S78" s="7"/>
      <c r="T78" s="7"/>
      <c r="U78" s="7"/>
      <c r="V78" s="7"/>
      <c r="W78" s="7"/>
      <c r="X78" s="7"/>
      <c r="Y78" s="7"/>
      <c r="Z78" s="7"/>
      <c r="AA78" s="7"/>
      <c r="AB78" s="7"/>
      <c r="AC78" s="7"/>
      <c r="AD78" s="7"/>
      <c r="AE78" s="7"/>
    </row>
    <row r="79" spans="1:32" ht="26.45" customHeight="1" x14ac:dyDescent="0.25">
      <c r="A79" s="307" t="s">
        <v>381</v>
      </c>
      <c r="B79" s="307"/>
      <c r="C79" s="307"/>
      <c r="D79" s="277"/>
      <c r="E79" s="277"/>
      <c r="F79" s="277"/>
      <c r="G79" s="277"/>
      <c r="H79" s="27"/>
      <c r="I79" s="27"/>
      <c r="J79" s="27"/>
      <c r="K79" s="27"/>
      <c r="L79" s="7"/>
      <c r="M79" s="7"/>
      <c r="N79" s="7"/>
      <c r="O79" s="7"/>
      <c r="P79" s="7"/>
      <c r="Q79" s="7"/>
      <c r="R79" s="7"/>
      <c r="S79" s="7"/>
      <c r="T79" s="7"/>
      <c r="U79" s="7"/>
      <c r="V79" s="7"/>
      <c r="W79" s="7"/>
      <c r="X79" s="7"/>
      <c r="Y79" s="7"/>
      <c r="Z79" s="7"/>
      <c r="AA79" s="7"/>
      <c r="AB79" s="7"/>
      <c r="AC79" s="7"/>
      <c r="AD79" s="7"/>
      <c r="AE79" s="7"/>
    </row>
    <row r="80" spans="1:32" ht="26.45" customHeight="1" x14ac:dyDescent="0.25">
      <c r="A80" s="307" t="s">
        <v>382</v>
      </c>
      <c r="B80" s="307"/>
      <c r="C80" s="307"/>
      <c r="D80" s="277"/>
      <c r="E80" s="277"/>
      <c r="F80" s="277"/>
      <c r="G80" s="277"/>
      <c r="H80" s="27"/>
      <c r="I80" s="27"/>
      <c r="J80" s="27"/>
      <c r="K80" s="27"/>
      <c r="L80" s="7"/>
      <c r="M80" s="7"/>
      <c r="N80" s="7"/>
      <c r="O80" s="7"/>
      <c r="P80" s="7"/>
      <c r="Q80" s="7"/>
      <c r="R80" s="7"/>
      <c r="S80" s="7"/>
      <c r="T80" s="7"/>
      <c r="U80" s="7"/>
      <c r="V80" s="7"/>
      <c r="W80" s="7"/>
      <c r="X80" s="7"/>
      <c r="Y80" s="7"/>
      <c r="Z80" s="7"/>
      <c r="AA80" s="7"/>
      <c r="AB80" s="7"/>
      <c r="AC80" s="7"/>
      <c r="AD80" s="7"/>
      <c r="AE80" s="7"/>
    </row>
    <row r="81" spans="1:31" ht="26.45" customHeight="1" x14ac:dyDescent="0.25">
      <c r="A81" s="307" t="s">
        <v>151</v>
      </c>
      <c r="B81" s="307"/>
      <c r="C81" s="307"/>
      <c r="D81" s="277"/>
      <c r="E81" s="277"/>
      <c r="F81" s="277"/>
      <c r="G81" s="277"/>
      <c r="H81" s="27"/>
      <c r="I81" s="27"/>
      <c r="J81" s="27"/>
      <c r="K81" s="27"/>
      <c r="L81" s="7"/>
      <c r="M81" s="7"/>
      <c r="N81" s="7"/>
      <c r="O81" s="7"/>
      <c r="P81" s="7"/>
      <c r="Q81" s="7"/>
      <c r="R81" s="7"/>
      <c r="S81" s="7"/>
      <c r="T81" s="7"/>
      <c r="U81" s="7"/>
      <c r="V81" s="7"/>
      <c r="W81" s="7"/>
      <c r="X81" s="7"/>
      <c r="Y81" s="7"/>
      <c r="Z81" s="7"/>
      <c r="AA81" s="7"/>
      <c r="AB81" s="7"/>
      <c r="AC81" s="7"/>
      <c r="AD81" s="7"/>
      <c r="AE81" s="7"/>
    </row>
    <row r="82" spans="1:31" s="29" customFormat="1" ht="46.5" customHeight="1" x14ac:dyDescent="0.25">
      <c r="A82" s="307" t="s">
        <v>384</v>
      </c>
      <c r="B82" s="307"/>
      <c r="C82" s="307"/>
      <c r="D82" s="307"/>
      <c r="E82" s="307"/>
      <c r="F82" s="307"/>
      <c r="G82" s="307"/>
      <c r="H82" s="28"/>
      <c r="I82" s="28"/>
      <c r="J82" s="28"/>
    </row>
    <row r="83" spans="1:31" ht="19.899999999999999" customHeight="1" x14ac:dyDescent="0.25">
      <c r="A83" s="276"/>
      <c r="B83" s="276"/>
      <c r="C83" s="276"/>
      <c r="D83" s="276"/>
      <c r="E83" s="276"/>
      <c r="F83" s="276"/>
      <c r="G83" s="276"/>
      <c r="H83" s="28"/>
      <c r="I83" s="28"/>
      <c r="J83" s="28"/>
      <c r="K83" s="7"/>
      <c r="L83" s="7"/>
      <c r="M83" s="7"/>
      <c r="N83" s="7"/>
      <c r="O83" s="7"/>
      <c r="P83" s="7"/>
      <c r="Q83" s="7"/>
      <c r="R83" s="7"/>
      <c r="S83" s="7"/>
      <c r="T83" s="7"/>
      <c r="U83" s="7"/>
      <c r="V83" s="7"/>
      <c r="W83" s="7"/>
      <c r="X83" s="7"/>
      <c r="Y83" s="7"/>
      <c r="Z83" s="7"/>
      <c r="AA83" s="7"/>
      <c r="AB83" s="7"/>
      <c r="AC83" s="7"/>
      <c r="AD83" s="7"/>
      <c r="AE83" s="7"/>
    </row>
    <row r="84" spans="1:31" ht="6.75" customHeight="1" x14ac:dyDescent="0.25">
      <c r="A84" s="7"/>
      <c r="B84" s="7"/>
      <c r="C84" s="7"/>
      <c r="D84" s="7"/>
      <c r="E84" s="7"/>
      <c r="F84" s="7"/>
      <c r="G84" s="7"/>
      <c r="H84" s="7"/>
      <c r="I84" s="7"/>
      <c r="J84" s="7"/>
      <c r="K84" s="7"/>
      <c r="L84" s="7"/>
      <c r="M84" s="7"/>
      <c r="N84" s="7"/>
      <c r="O84" s="7"/>
      <c r="P84" s="7"/>
      <c r="Q84" s="7"/>
      <c r="R84" s="7"/>
      <c r="S84" s="7"/>
      <c r="T84" s="7"/>
      <c r="U84" s="7"/>
      <c r="V84" s="7"/>
      <c r="W84" s="7"/>
      <c r="X84" s="7"/>
      <c r="Y84" s="7"/>
      <c r="Z84" s="7"/>
      <c r="AA84" s="7"/>
      <c r="AB84" s="7"/>
      <c r="AC84" s="7"/>
      <c r="AD84" s="7"/>
      <c r="AE84" s="7"/>
    </row>
    <row r="85" spans="1:31" ht="0" hidden="1" customHeight="1" x14ac:dyDescent="0.25"/>
    <row r="86" spans="1:31" ht="0" hidden="1" customHeight="1" x14ac:dyDescent="0.25"/>
    <row r="87" spans="1:31" ht="0" hidden="1" customHeight="1" x14ac:dyDescent="0.25"/>
    <row r="88" spans="1:31" ht="0" hidden="1" customHeight="1" x14ac:dyDescent="0.25"/>
    <row r="89" spans="1:31" ht="0" hidden="1" customHeight="1" x14ac:dyDescent="0.25"/>
    <row r="90" spans="1:31" ht="0" hidden="1" customHeight="1" x14ac:dyDescent="0.25"/>
    <row r="91" spans="1:31" ht="0" hidden="1" customHeight="1" x14ac:dyDescent="0.25"/>
    <row r="92" spans="1:31" ht="0" hidden="1" customHeight="1" x14ac:dyDescent="0.25"/>
    <row r="93" spans="1:31" ht="0" hidden="1" customHeight="1" x14ac:dyDescent="0.25"/>
    <row r="94" spans="1:31" ht="0" hidden="1" customHeight="1" x14ac:dyDescent="0.25"/>
  </sheetData>
  <mergeCells count="37">
    <mergeCell ref="A2:C2"/>
    <mergeCell ref="B4:B5"/>
    <mergeCell ref="C4:C5"/>
    <mergeCell ref="D4:D5"/>
    <mergeCell ref="E4:E5"/>
    <mergeCell ref="A4:A5"/>
    <mergeCell ref="AE4:AE5"/>
    <mergeCell ref="O4:O5"/>
    <mergeCell ref="T4:T5"/>
    <mergeCell ref="U4:U5"/>
    <mergeCell ref="S4:S5"/>
    <mergeCell ref="AA4:AA5"/>
    <mergeCell ref="P4:P5"/>
    <mergeCell ref="W4:W5"/>
    <mergeCell ref="X4:X5"/>
    <mergeCell ref="Z4:Z5"/>
    <mergeCell ref="Y4:Y5"/>
    <mergeCell ref="Q4:Q5"/>
    <mergeCell ref="AC4:AC5"/>
    <mergeCell ref="R4:R5"/>
    <mergeCell ref="V4:V5"/>
    <mergeCell ref="A82:G82"/>
    <mergeCell ref="AD4:AD5"/>
    <mergeCell ref="A80:C80"/>
    <mergeCell ref="A81:C81"/>
    <mergeCell ref="I4:I5"/>
    <mergeCell ref="J4:J5"/>
    <mergeCell ref="F4:F5"/>
    <mergeCell ref="G4:G5"/>
    <mergeCell ref="H4:H5"/>
    <mergeCell ref="K4:K5"/>
    <mergeCell ref="AB4:AB5"/>
    <mergeCell ref="A79:C79"/>
    <mergeCell ref="A78:B78"/>
    <mergeCell ref="L4:L5"/>
    <mergeCell ref="M4:M5"/>
    <mergeCell ref="N4:N5"/>
  </mergeCells>
  <pageMargins left="0.74803149606299213" right="0.74803149606299213" top="0.98425196850393704" bottom="0.98425196850393704" header="0" footer="0"/>
  <pageSetup paperSize="9" scale="65" fitToWidth="19" orientation="portrait" r:id="rId1"/>
  <headerFooter alignWithMargins="0"/>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1"/>
  <dimension ref="A1:DW95"/>
  <sheetViews>
    <sheetView zoomScale="115" zoomScaleNormal="115" workbookViewId="0">
      <pane xSplit="2" ySplit="5" topLeftCell="C6" activePane="bottomRight" state="frozen"/>
      <selection activeCell="C6" sqref="C6"/>
      <selection pane="topRight" activeCell="C6" sqref="C6"/>
      <selection pane="bottomLeft" activeCell="C6" sqref="C6"/>
      <selection pane="bottomRight" activeCell="C6" sqref="C6"/>
    </sheetView>
  </sheetViews>
  <sheetFormatPr baseColWidth="10" defaultColWidth="0" defaultRowHeight="10.5" zeroHeight="1" x14ac:dyDescent="0.25"/>
  <cols>
    <col min="1" max="1" width="5.7109375" style="8" customWidth="1"/>
    <col min="2" max="2" width="62.7109375" style="8" customWidth="1"/>
    <col min="3" max="4" width="11.140625" style="30" customWidth="1"/>
    <col min="5" max="6" width="11.140625" style="8" customWidth="1"/>
    <col min="7" max="7" width="11.140625" style="31" customWidth="1"/>
    <col min="8" max="31" width="11.140625" style="8" customWidth="1"/>
    <col min="32" max="32" width="4.28515625" style="7" customWidth="1"/>
    <col min="33" max="127" width="0" style="8" hidden="1" customWidth="1"/>
    <col min="128" max="16384" width="11.140625" style="8" hidden="1"/>
  </cols>
  <sheetData>
    <row r="1" spans="1:32" s="5" customFormat="1" ht="25.5" customHeight="1" thickBot="1" x14ac:dyDescent="0.25">
      <c r="A1" s="1"/>
      <c r="B1" s="2"/>
      <c r="C1" s="3"/>
      <c r="D1" s="172" t="s">
        <v>0</v>
      </c>
      <c r="E1" s="171"/>
      <c r="F1" s="171"/>
      <c r="G1" s="173"/>
      <c r="H1" s="171"/>
      <c r="I1" s="171"/>
      <c r="J1" s="171"/>
      <c r="K1" s="171"/>
      <c r="L1" s="171"/>
      <c r="M1" s="171"/>
      <c r="N1" s="171"/>
      <c r="O1" s="171"/>
      <c r="P1" s="171"/>
      <c r="Q1" s="171"/>
      <c r="R1" s="171"/>
      <c r="S1" s="171"/>
      <c r="T1" s="171"/>
      <c r="U1" s="171"/>
      <c r="V1" s="171"/>
      <c r="W1" s="171"/>
      <c r="X1" s="171"/>
      <c r="Y1" s="171"/>
      <c r="Z1" s="171"/>
      <c r="AA1" s="171"/>
      <c r="AB1" s="171"/>
      <c r="AC1" s="171"/>
      <c r="AD1" s="171"/>
      <c r="AE1" s="171"/>
      <c r="AF1" s="2"/>
    </row>
    <row r="2" spans="1:32" s="7" customFormat="1" ht="22.5" customHeight="1" thickBot="1" x14ac:dyDescent="0.3">
      <c r="A2" s="303" t="s">
        <v>119</v>
      </c>
      <c r="B2" s="304"/>
      <c r="C2" s="304"/>
      <c r="D2" s="140"/>
      <c r="E2" s="140"/>
      <c r="F2" s="140"/>
      <c r="G2" s="140"/>
      <c r="H2" s="140"/>
      <c r="I2" s="140"/>
      <c r="J2" s="140"/>
      <c r="K2" s="140"/>
      <c r="L2" s="140"/>
      <c r="M2" s="140"/>
      <c r="N2" s="140"/>
      <c r="O2" s="140"/>
      <c r="P2" s="140"/>
      <c r="Q2" s="140"/>
      <c r="R2" s="140"/>
      <c r="S2" s="140"/>
      <c r="T2" s="140"/>
      <c r="U2" s="140"/>
      <c r="V2" s="140"/>
      <c r="W2" s="140"/>
      <c r="X2" s="140"/>
      <c r="Y2" s="140"/>
      <c r="Z2" s="140"/>
      <c r="AA2" s="140"/>
      <c r="AB2" s="140"/>
      <c r="AC2" s="140"/>
      <c r="AD2" s="140"/>
      <c r="AE2" s="141"/>
    </row>
    <row r="3" spans="1:32" ht="16.5" customHeight="1" thickBot="1" x14ac:dyDescent="0.25">
      <c r="A3" s="142" t="s">
        <v>299</v>
      </c>
      <c r="B3" s="57"/>
      <c r="C3" s="57"/>
      <c r="D3" s="58"/>
      <c r="E3" s="58"/>
      <c r="F3" s="58"/>
      <c r="G3" s="58"/>
      <c r="H3" s="59"/>
      <c r="I3" s="59"/>
      <c r="J3" s="59"/>
      <c r="K3" s="59"/>
      <c r="L3" s="59"/>
      <c r="M3" s="59"/>
      <c r="N3" s="59"/>
      <c r="O3" s="59"/>
      <c r="P3" s="59"/>
      <c r="Q3" s="59"/>
      <c r="R3" s="59"/>
      <c r="S3" s="59"/>
      <c r="T3" s="59"/>
      <c r="U3" s="59"/>
      <c r="V3" s="59"/>
      <c r="W3" s="59"/>
      <c r="X3" s="59"/>
      <c r="Y3" s="59"/>
      <c r="Z3" s="59"/>
      <c r="AA3" s="59"/>
      <c r="AB3" s="59"/>
      <c r="AC3" s="59"/>
      <c r="AD3" s="59"/>
      <c r="AE3" s="143"/>
    </row>
    <row r="4" spans="1:32" ht="15.75" customHeight="1" x14ac:dyDescent="0.25">
      <c r="A4" s="310"/>
      <c r="B4" s="308" t="s">
        <v>2</v>
      </c>
      <c r="C4" s="301">
        <v>1996</v>
      </c>
      <c r="D4" s="301">
        <v>1997</v>
      </c>
      <c r="E4" s="301">
        <v>1998</v>
      </c>
      <c r="F4" s="301">
        <v>1999</v>
      </c>
      <c r="G4" s="301">
        <v>2000</v>
      </c>
      <c r="H4" s="301">
        <v>2001</v>
      </c>
      <c r="I4" s="301">
        <v>2002</v>
      </c>
      <c r="J4" s="301">
        <v>2003</v>
      </c>
      <c r="K4" s="301">
        <v>2004</v>
      </c>
      <c r="L4" s="301">
        <v>2005</v>
      </c>
      <c r="M4" s="301">
        <v>2006</v>
      </c>
      <c r="N4" s="301">
        <v>2007</v>
      </c>
      <c r="O4" s="301">
        <v>2008</v>
      </c>
      <c r="P4" s="301">
        <v>2009</v>
      </c>
      <c r="Q4" s="301">
        <v>2010</v>
      </c>
      <c r="R4" s="301">
        <v>2011</v>
      </c>
      <c r="S4" s="301">
        <v>2012</v>
      </c>
      <c r="T4" s="301">
        <v>2013</v>
      </c>
      <c r="U4" s="301">
        <v>2014</v>
      </c>
      <c r="V4" s="301">
        <v>2015</v>
      </c>
      <c r="W4" s="301">
        <v>2016</v>
      </c>
      <c r="X4" s="301">
        <v>2017</v>
      </c>
      <c r="Y4" s="301">
        <v>2018</v>
      </c>
      <c r="Z4" s="301">
        <v>2019</v>
      </c>
      <c r="AA4" s="301">
        <v>2020</v>
      </c>
      <c r="AB4" s="301">
        <v>2021</v>
      </c>
      <c r="AC4" s="301">
        <v>2022</v>
      </c>
      <c r="AD4" s="301">
        <v>2023</v>
      </c>
      <c r="AE4" s="299">
        <v>2024</v>
      </c>
    </row>
    <row r="5" spans="1:32" ht="15.75" customHeight="1" thickBot="1" x14ac:dyDescent="0.3">
      <c r="A5" s="311"/>
      <c r="B5" s="309"/>
      <c r="C5" s="302"/>
      <c r="D5" s="302" t="s">
        <v>3</v>
      </c>
      <c r="E5" s="302"/>
      <c r="F5" s="302" t="s">
        <v>4</v>
      </c>
      <c r="G5" s="302"/>
      <c r="H5" s="302" t="s">
        <v>5</v>
      </c>
      <c r="I5" s="302"/>
      <c r="J5" s="302" t="s">
        <v>6</v>
      </c>
      <c r="K5" s="302"/>
      <c r="L5" s="302" t="s">
        <v>7</v>
      </c>
      <c r="M5" s="302"/>
      <c r="N5" s="302" t="s">
        <v>8</v>
      </c>
      <c r="O5" s="302"/>
      <c r="P5" s="302" t="s">
        <v>9</v>
      </c>
      <c r="Q5" s="302"/>
      <c r="R5" s="302" t="s">
        <v>10</v>
      </c>
      <c r="S5" s="302"/>
      <c r="T5" s="302"/>
      <c r="U5" s="302"/>
      <c r="V5" s="302"/>
      <c r="W5" s="302"/>
      <c r="X5" s="302"/>
      <c r="Y5" s="302"/>
      <c r="Z5" s="302"/>
      <c r="AA5" s="302"/>
      <c r="AB5" s="302"/>
      <c r="AC5" s="302"/>
      <c r="AD5" s="302"/>
      <c r="AE5" s="300"/>
    </row>
    <row r="6" spans="1:32" s="11" customFormat="1" ht="15" customHeight="1" thickBot="1" x14ac:dyDescent="0.3">
      <c r="A6" s="144" t="s">
        <v>11</v>
      </c>
      <c r="B6" s="9" t="s">
        <v>12</v>
      </c>
      <c r="C6" s="64">
        <v>386</v>
      </c>
      <c r="D6" s="64">
        <v>372</v>
      </c>
      <c r="E6" s="64">
        <v>367</v>
      </c>
      <c r="F6" s="64">
        <v>413</v>
      </c>
      <c r="G6" s="64">
        <v>528</v>
      </c>
      <c r="H6" s="64">
        <v>434</v>
      </c>
      <c r="I6" s="64">
        <v>383</v>
      </c>
      <c r="J6" s="64">
        <v>358</v>
      </c>
      <c r="K6" s="64">
        <v>359</v>
      </c>
      <c r="L6" s="64">
        <v>401</v>
      </c>
      <c r="M6" s="64">
        <v>421</v>
      </c>
      <c r="N6" s="64">
        <v>444</v>
      </c>
      <c r="O6" s="64">
        <v>481</v>
      </c>
      <c r="P6" s="64">
        <v>469</v>
      </c>
      <c r="Q6" s="64">
        <v>463</v>
      </c>
      <c r="R6" s="64">
        <v>467</v>
      </c>
      <c r="S6" s="64">
        <v>476</v>
      </c>
      <c r="T6" s="64">
        <v>459</v>
      </c>
      <c r="U6" s="64">
        <v>459</v>
      </c>
      <c r="V6" s="64">
        <v>445</v>
      </c>
      <c r="W6" s="64">
        <v>453</v>
      </c>
      <c r="X6" s="64">
        <v>444</v>
      </c>
      <c r="Y6" s="64">
        <v>424</v>
      </c>
      <c r="Z6" s="64">
        <v>420</v>
      </c>
      <c r="AA6" s="64">
        <v>406</v>
      </c>
      <c r="AB6" s="64">
        <v>408</v>
      </c>
      <c r="AC6" s="64">
        <v>395</v>
      </c>
      <c r="AD6" s="64">
        <v>385</v>
      </c>
      <c r="AE6" s="145">
        <v>368</v>
      </c>
      <c r="AF6" s="10"/>
    </row>
    <row r="7" spans="1:32" ht="15" customHeight="1" x14ac:dyDescent="0.25">
      <c r="A7" s="146">
        <v>1</v>
      </c>
      <c r="B7" s="12" t="s">
        <v>13</v>
      </c>
      <c r="C7" s="68" t="s">
        <v>383</v>
      </c>
      <c r="D7" s="68" t="s">
        <v>383</v>
      </c>
      <c r="E7" s="68" t="s">
        <v>383</v>
      </c>
      <c r="F7" s="68">
        <v>409</v>
      </c>
      <c r="G7" s="68">
        <v>523</v>
      </c>
      <c r="H7" s="68">
        <v>430</v>
      </c>
      <c r="I7" s="68">
        <v>379</v>
      </c>
      <c r="J7" s="68">
        <v>354</v>
      </c>
      <c r="K7" s="68">
        <v>354</v>
      </c>
      <c r="L7" s="68">
        <v>393</v>
      </c>
      <c r="M7" s="68">
        <v>415</v>
      </c>
      <c r="N7" s="68">
        <v>434</v>
      </c>
      <c r="O7" s="68">
        <v>472</v>
      </c>
      <c r="P7" s="68">
        <v>460</v>
      </c>
      <c r="Q7" s="68">
        <v>452</v>
      </c>
      <c r="R7" s="68">
        <v>457</v>
      </c>
      <c r="S7" s="68">
        <v>467</v>
      </c>
      <c r="T7" s="68">
        <v>451</v>
      </c>
      <c r="U7" s="68">
        <v>449</v>
      </c>
      <c r="V7" s="68">
        <v>438</v>
      </c>
      <c r="W7" s="68">
        <v>447</v>
      </c>
      <c r="X7" s="68">
        <v>439</v>
      </c>
      <c r="Y7" s="68">
        <v>419</v>
      </c>
      <c r="Z7" s="68">
        <v>415</v>
      </c>
      <c r="AA7" s="68">
        <v>401</v>
      </c>
      <c r="AB7" s="68">
        <v>402</v>
      </c>
      <c r="AC7" s="68">
        <v>390</v>
      </c>
      <c r="AD7" s="68">
        <v>380</v>
      </c>
      <c r="AE7" s="147" t="s">
        <v>383</v>
      </c>
    </row>
    <row r="8" spans="1:32" ht="15" customHeight="1" thickBot="1" x14ac:dyDescent="0.3">
      <c r="A8" s="148">
        <v>2</v>
      </c>
      <c r="B8" s="13" t="s">
        <v>14</v>
      </c>
      <c r="C8" s="69" t="s">
        <v>383</v>
      </c>
      <c r="D8" s="69" t="s">
        <v>383</v>
      </c>
      <c r="E8" s="69" t="s">
        <v>383</v>
      </c>
      <c r="F8" s="69">
        <v>4</v>
      </c>
      <c r="G8" s="69">
        <v>5</v>
      </c>
      <c r="H8" s="69">
        <v>4</v>
      </c>
      <c r="I8" s="69">
        <v>4</v>
      </c>
      <c r="J8" s="69">
        <v>4</v>
      </c>
      <c r="K8" s="69">
        <v>5</v>
      </c>
      <c r="L8" s="69">
        <v>8</v>
      </c>
      <c r="M8" s="69">
        <v>6</v>
      </c>
      <c r="N8" s="69">
        <v>10</v>
      </c>
      <c r="O8" s="69">
        <v>9</v>
      </c>
      <c r="P8" s="69">
        <v>9</v>
      </c>
      <c r="Q8" s="69">
        <v>11</v>
      </c>
      <c r="R8" s="69">
        <v>10</v>
      </c>
      <c r="S8" s="69">
        <v>9</v>
      </c>
      <c r="T8" s="69">
        <v>8</v>
      </c>
      <c r="U8" s="69">
        <v>10</v>
      </c>
      <c r="V8" s="69">
        <v>7</v>
      </c>
      <c r="W8" s="69">
        <v>6</v>
      </c>
      <c r="X8" s="69">
        <v>5</v>
      </c>
      <c r="Y8" s="69">
        <v>5</v>
      </c>
      <c r="Z8" s="69">
        <v>5</v>
      </c>
      <c r="AA8" s="69">
        <v>5</v>
      </c>
      <c r="AB8" s="69">
        <v>6</v>
      </c>
      <c r="AC8" s="69">
        <v>5</v>
      </c>
      <c r="AD8" s="69">
        <v>5</v>
      </c>
      <c r="AE8" s="149" t="s">
        <v>383</v>
      </c>
    </row>
    <row r="9" spans="1:32" s="11" customFormat="1" ht="15" customHeight="1" thickBot="1" x14ac:dyDescent="0.3">
      <c r="A9" s="144" t="s">
        <v>15</v>
      </c>
      <c r="B9" s="9" t="s">
        <v>16</v>
      </c>
      <c r="C9" s="64" t="s">
        <v>383</v>
      </c>
      <c r="D9" s="64" t="s">
        <v>383</v>
      </c>
      <c r="E9" s="64" t="s">
        <v>383</v>
      </c>
      <c r="F9" s="64" t="s">
        <v>383</v>
      </c>
      <c r="G9" s="64" t="s">
        <v>383</v>
      </c>
      <c r="H9" s="64" t="s">
        <v>383</v>
      </c>
      <c r="I9" s="64" t="s">
        <v>383</v>
      </c>
      <c r="J9" s="64" t="s">
        <v>383</v>
      </c>
      <c r="K9" s="64" t="s">
        <v>383</v>
      </c>
      <c r="L9" s="64" t="s">
        <v>383</v>
      </c>
      <c r="M9" s="64" t="s">
        <v>383</v>
      </c>
      <c r="N9" s="64" t="s">
        <v>383</v>
      </c>
      <c r="O9" s="64">
        <v>4</v>
      </c>
      <c r="P9" s="64" t="s">
        <v>383</v>
      </c>
      <c r="Q9" s="64" t="s">
        <v>383</v>
      </c>
      <c r="R9" s="64" t="s">
        <v>383</v>
      </c>
      <c r="S9" s="64">
        <v>4</v>
      </c>
      <c r="T9" s="64">
        <v>4</v>
      </c>
      <c r="U9" s="64" t="s">
        <v>383</v>
      </c>
      <c r="V9" s="64" t="s">
        <v>383</v>
      </c>
      <c r="W9" s="64" t="s">
        <v>383</v>
      </c>
      <c r="X9" s="64" t="s">
        <v>383</v>
      </c>
      <c r="Y9" s="64" t="s">
        <v>383</v>
      </c>
      <c r="Z9" s="64" t="s">
        <v>383</v>
      </c>
      <c r="AA9" s="64" t="s">
        <v>383</v>
      </c>
      <c r="AB9" s="64" t="s">
        <v>383</v>
      </c>
      <c r="AC9" s="64" t="s">
        <v>383</v>
      </c>
      <c r="AD9" s="64" t="s">
        <v>383</v>
      </c>
      <c r="AE9" s="145" t="s">
        <v>383</v>
      </c>
      <c r="AF9" s="10"/>
    </row>
    <row r="10" spans="1:32" ht="15" customHeight="1" thickBot="1" x14ac:dyDescent="0.3">
      <c r="A10" s="150">
        <v>5</v>
      </c>
      <c r="B10" s="14" t="s">
        <v>17</v>
      </c>
      <c r="C10" s="67" t="s">
        <v>383</v>
      </c>
      <c r="D10" s="67" t="s">
        <v>383</v>
      </c>
      <c r="E10" s="67" t="s">
        <v>383</v>
      </c>
      <c r="F10" s="67" t="s">
        <v>383</v>
      </c>
      <c r="G10" s="67" t="s">
        <v>383</v>
      </c>
      <c r="H10" s="67" t="s">
        <v>383</v>
      </c>
      <c r="I10" s="67" t="s">
        <v>383</v>
      </c>
      <c r="J10" s="67" t="s">
        <v>383</v>
      </c>
      <c r="K10" s="67" t="s">
        <v>383</v>
      </c>
      <c r="L10" s="67" t="s">
        <v>383</v>
      </c>
      <c r="M10" s="67" t="s">
        <v>383</v>
      </c>
      <c r="N10" s="67" t="s">
        <v>383</v>
      </c>
      <c r="O10" s="67">
        <v>4</v>
      </c>
      <c r="P10" s="67" t="s">
        <v>383</v>
      </c>
      <c r="Q10" s="67" t="s">
        <v>383</v>
      </c>
      <c r="R10" s="67" t="s">
        <v>383</v>
      </c>
      <c r="S10" s="67">
        <v>4</v>
      </c>
      <c r="T10" s="67">
        <v>4</v>
      </c>
      <c r="U10" s="67" t="s">
        <v>383</v>
      </c>
      <c r="V10" s="67" t="s">
        <v>383</v>
      </c>
      <c r="W10" s="67" t="s">
        <v>383</v>
      </c>
      <c r="X10" s="67" t="s">
        <v>383</v>
      </c>
      <c r="Y10" s="67" t="s">
        <v>383</v>
      </c>
      <c r="Z10" s="67" t="s">
        <v>383</v>
      </c>
      <c r="AA10" s="67" t="s">
        <v>383</v>
      </c>
      <c r="AB10" s="67" t="s">
        <v>383</v>
      </c>
      <c r="AC10" s="67" t="s">
        <v>383</v>
      </c>
      <c r="AD10" s="67" t="s">
        <v>383</v>
      </c>
      <c r="AE10" s="151" t="s">
        <v>383</v>
      </c>
    </row>
    <row r="11" spans="1:32" s="11" customFormat="1" ht="15" customHeight="1" thickBot="1" x14ac:dyDescent="0.3">
      <c r="A11" s="144" t="s">
        <v>18</v>
      </c>
      <c r="B11" s="9" t="s">
        <v>19</v>
      </c>
      <c r="C11" s="64">
        <v>7</v>
      </c>
      <c r="D11" s="64">
        <v>4</v>
      </c>
      <c r="E11" s="64">
        <v>7</v>
      </c>
      <c r="F11" s="64">
        <v>8</v>
      </c>
      <c r="G11" s="64">
        <v>7</v>
      </c>
      <c r="H11" s="64">
        <v>12</v>
      </c>
      <c r="I11" s="64">
        <v>7</v>
      </c>
      <c r="J11" s="64">
        <v>5</v>
      </c>
      <c r="K11" s="64">
        <v>7</v>
      </c>
      <c r="L11" s="64">
        <v>7</v>
      </c>
      <c r="M11" s="64">
        <v>8</v>
      </c>
      <c r="N11" s="64">
        <v>8</v>
      </c>
      <c r="O11" s="64">
        <v>4</v>
      </c>
      <c r="P11" s="64">
        <v>5</v>
      </c>
      <c r="Q11" s="64">
        <v>5</v>
      </c>
      <c r="R11" s="64">
        <v>5</v>
      </c>
      <c r="S11" s="64">
        <v>5</v>
      </c>
      <c r="T11" s="64">
        <v>7</v>
      </c>
      <c r="U11" s="64">
        <v>6</v>
      </c>
      <c r="V11" s="64">
        <v>7</v>
      </c>
      <c r="W11" s="64">
        <v>6</v>
      </c>
      <c r="X11" s="64">
        <v>4</v>
      </c>
      <c r="Y11" s="64">
        <v>4</v>
      </c>
      <c r="Z11" s="64">
        <v>5</v>
      </c>
      <c r="AA11" s="64">
        <v>6</v>
      </c>
      <c r="AB11" s="64">
        <v>5</v>
      </c>
      <c r="AC11" s="64">
        <v>6</v>
      </c>
      <c r="AD11" s="64">
        <v>7</v>
      </c>
      <c r="AE11" s="145">
        <v>6</v>
      </c>
      <c r="AF11" s="10"/>
    </row>
    <row r="12" spans="1:32" ht="15" customHeight="1" x14ac:dyDescent="0.25">
      <c r="A12" s="152">
        <v>11</v>
      </c>
      <c r="B12" s="15" t="s">
        <v>20</v>
      </c>
      <c r="C12" s="68" t="s">
        <v>383</v>
      </c>
      <c r="D12" s="68" t="s">
        <v>383</v>
      </c>
      <c r="E12" s="68" t="s">
        <v>383</v>
      </c>
      <c r="F12" s="68" t="s">
        <v>383</v>
      </c>
      <c r="G12" s="68" t="s">
        <v>383</v>
      </c>
      <c r="H12" s="68" t="s">
        <v>383</v>
      </c>
      <c r="I12" s="68" t="s">
        <v>383</v>
      </c>
      <c r="J12" s="68" t="s">
        <v>383</v>
      </c>
      <c r="K12" s="68" t="s">
        <v>383</v>
      </c>
      <c r="L12" s="68" t="s">
        <v>383</v>
      </c>
      <c r="M12" s="68" t="s">
        <v>383</v>
      </c>
      <c r="N12" s="68" t="s">
        <v>383</v>
      </c>
      <c r="O12" s="68" t="s">
        <v>383</v>
      </c>
      <c r="P12" s="68" t="s">
        <v>383</v>
      </c>
      <c r="Q12" s="68" t="s">
        <v>383</v>
      </c>
      <c r="R12" s="68" t="s">
        <v>383</v>
      </c>
      <c r="S12" s="68" t="s">
        <v>383</v>
      </c>
      <c r="T12" s="68" t="s">
        <v>383</v>
      </c>
      <c r="U12" s="68" t="s">
        <v>383</v>
      </c>
      <c r="V12" s="68" t="s">
        <v>383</v>
      </c>
      <c r="W12" s="68" t="s">
        <v>383</v>
      </c>
      <c r="X12" s="68" t="s">
        <v>383</v>
      </c>
      <c r="Y12" s="68" t="s">
        <v>383</v>
      </c>
      <c r="Z12" s="68" t="s">
        <v>383</v>
      </c>
      <c r="AA12" s="68" t="s">
        <v>383</v>
      </c>
      <c r="AB12" s="68" t="s">
        <v>383</v>
      </c>
      <c r="AC12" s="68" t="s">
        <v>383</v>
      </c>
      <c r="AD12" s="68" t="s">
        <v>383</v>
      </c>
      <c r="AE12" s="153" t="s">
        <v>383</v>
      </c>
    </row>
    <row r="13" spans="1:32" ht="15" customHeight="1" x14ac:dyDescent="0.25">
      <c r="A13" s="154">
        <v>13</v>
      </c>
      <c r="B13" s="16" t="s">
        <v>21</v>
      </c>
      <c r="C13" s="69">
        <v>0</v>
      </c>
      <c r="D13" s="69">
        <v>0</v>
      </c>
      <c r="E13" s="69">
        <v>0</v>
      </c>
      <c r="F13" s="69">
        <v>0</v>
      </c>
      <c r="G13" s="69">
        <v>0</v>
      </c>
      <c r="H13" s="69">
        <v>0</v>
      </c>
      <c r="I13" s="69">
        <v>0</v>
      </c>
      <c r="J13" s="69">
        <v>0</v>
      </c>
      <c r="K13" s="69">
        <v>0</v>
      </c>
      <c r="L13" s="69">
        <v>0</v>
      </c>
      <c r="M13" s="69">
        <v>0</v>
      </c>
      <c r="N13" s="69">
        <v>0</v>
      </c>
      <c r="O13" s="69">
        <v>0</v>
      </c>
      <c r="P13" s="69">
        <v>0</v>
      </c>
      <c r="Q13" s="69">
        <v>0</v>
      </c>
      <c r="R13" s="69">
        <v>0</v>
      </c>
      <c r="S13" s="69">
        <v>0</v>
      </c>
      <c r="T13" s="69">
        <v>0</v>
      </c>
      <c r="U13" s="69">
        <v>0</v>
      </c>
      <c r="V13" s="69">
        <v>0</v>
      </c>
      <c r="W13" s="69">
        <v>0</v>
      </c>
      <c r="X13" s="69">
        <v>0</v>
      </c>
      <c r="Y13" s="69">
        <v>0</v>
      </c>
      <c r="Z13" s="69">
        <v>0</v>
      </c>
      <c r="AA13" s="69">
        <v>0</v>
      </c>
      <c r="AB13" s="69">
        <v>0</v>
      </c>
      <c r="AC13" s="69">
        <v>0</v>
      </c>
      <c r="AD13" s="69">
        <v>0</v>
      </c>
      <c r="AE13" s="155">
        <v>0</v>
      </c>
    </row>
    <row r="14" spans="1:32" ht="15" customHeight="1" thickBot="1" x14ac:dyDescent="0.3">
      <c r="A14" s="152">
        <v>14</v>
      </c>
      <c r="B14" s="15" t="s">
        <v>22</v>
      </c>
      <c r="C14" s="68" t="s">
        <v>383</v>
      </c>
      <c r="D14" s="68" t="s">
        <v>383</v>
      </c>
      <c r="E14" s="68" t="s">
        <v>383</v>
      </c>
      <c r="F14" s="68" t="s">
        <v>383</v>
      </c>
      <c r="G14" s="68" t="s">
        <v>383</v>
      </c>
      <c r="H14" s="68" t="s">
        <v>383</v>
      </c>
      <c r="I14" s="68" t="s">
        <v>383</v>
      </c>
      <c r="J14" s="68" t="s">
        <v>383</v>
      </c>
      <c r="K14" s="68" t="s">
        <v>383</v>
      </c>
      <c r="L14" s="68" t="s">
        <v>383</v>
      </c>
      <c r="M14" s="68" t="s">
        <v>383</v>
      </c>
      <c r="N14" s="68" t="s">
        <v>383</v>
      </c>
      <c r="O14" s="68" t="s">
        <v>383</v>
      </c>
      <c r="P14" s="68" t="s">
        <v>383</v>
      </c>
      <c r="Q14" s="68" t="s">
        <v>383</v>
      </c>
      <c r="R14" s="68" t="s">
        <v>383</v>
      </c>
      <c r="S14" s="68" t="s">
        <v>383</v>
      </c>
      <c r="T14" s="68" t="s">
        <v>383</v>
      </c>
      <c r="U14" s="68" t="s">
        <v>383</v>
      </c>
      <c r="V14" s="68" t="s">
        <v>383</v>
      </c>
      <c r="W14" s="68" t="s">
        <v>383</v>
      </c>
      <c r="X14" s="68" t="s">
        <v>383</v>
      </c>
      <c r="Y14" s="68" t="s">
        <v>383</v>
      </c>
      <c r="Z14" s="68" t="s">
        <v>383</v>
      </c>
      <c r="AA14" s="68" t="s">
        <v>383</v>
      </c>
      <c r="AB14" s="68" t="s">
        <v>383</v>
      </c>
      <c r="AC14" s="68" t="s">
        <v>383</v>
      </c>
      <c r="AD14" s="68" t="s">
        <v>383</v>
      </c>
      <c r="AE14" s="153" t="s">
        <v>383</v>
      </c>
    </row>
    <row r="15" spans="1:32" s="11" customFormat="1" ht="15" customHeight="1" thickBot="1" x14ac:dyDescent="0.3">
      <c r="A15" s="144" t="s">
        <v>23</v>
      </c>
      <c r="B15" s="9" t="s">
        <v>24</v>
      </c>
      <c r="C15" s="64">
        <v>141</v>
      </c>
      <c r="D15" s="64">
        <v>137</v>
      </c>
      <c r="E15" s="64">
        <v>138</v>
      </c>
      <c r="F15" s="64">
        <v>132</v>
      </c>
      <c r="G15" s="64">
        <v>121</v>
      </c>
      <c r="H15" s="64">
        <v>122</v>
      </c>
      <c r="I15" s="64">
        <v>116</v>
      </c>
      <c r="J15" s="64">
        <v>130</v>
      </c>
      <c r="K15" s="64">
        <v>134</v>
      </c>
      <c r="L15" s="64">
        <v>155</v>
      </c>
      <c r="M15" s="64">
        <v>171</v>
      </c>
      <c r="N15" s="64">
        <v>166</v>
      </c>
      <c r="O15" s="64">
        <v>171</v>
      </c>
      <c r="P15" s="64">
        <v>174</v>
      </c>
      <c r="Q15" s="64">
        <v>175</v>
      </c>
      <c r="R15" s="64">
        <v>179</v>
      </c>
      <c r="S15" s="64">
        <v>177</v>
      </c>
      <c r="T15" s="64">
        <v>163</v>
      </c>
      <c r="U15" s="64">
        <v>170</v>
      </c>
      <c r="V15" s="64">
        <v>175</v>
      </c>
      <c r="W15" s="64">
        <v>172</v>
      </c>
      <c r="X15" s="64">
        <v>169</v>
      </c>
      <c r="Y15" s="64">
        <v>165</v>
      </c>
      <c r="Z15" s="64">
        <v>154</v>
      </c>
      <c r="AA15" s="64">
        <v>153</v>
      </c>
      <c r="AB15" s="64">
        <v>155</v>
      </c>
      <c r="AC15" s="64">
        <v>162</v>
      </c>
      <c r="AD15" s="64">
        <v>154</v>
      </c>
      <c r="AE15" s="145">
        <v>146</v>
      </c>
      <c r="AF15" s="10"/>
    </row>
    <row r="16" spans="1:32" ht="15" customHeight="1" x14ac:dyDescent="0.25">
      <c r="A16" s="152">
        <v>15</v>
      </c>
      <c r="B16" s="15" t="s">
        <v>25</v>
      </c>
      <c r="C16" s="68">
        <v>59</v>
      </c>
      <c r="D16" s="68">
        <v>58</v>
      </c>
      <c r="E16" s="68">
        <v>57</v>
      </c>
      <c r="F16" s="68">
        <v>54</v>
      </c>
      <c r="G16" s="68">
        <v>51</v>
      </c>
      <c r="H16" s="68">
        <v>51</v>
      </c>
      <c r="I16" s="68">
        <v>50</v>
      </c>
      <c r="J16" s="68">
        <v>52</v>
      </c>
      <c r="K16" s="68">
        <v>49</v>
      </c>
      <c r="L16" s="68">
        <v>53</v>
      </c>
      <c r="M16" s="68">
        <v>55</v>
      </c>
      <c r="N16" s="68">
        <v>56</v>
      </c>
      <c r="O16" s="68">
        <v>60</v>
      </c>
      <c r="P16" s="68">
        <v>64</v>
      </c>
      <c r="Q16" s="68">
        <v>68</v>
      </c>
      <c r="R16" s="68">
        <v>71</v>
      </c>
      <c r="S16" s="68">
        <v>72</v>
      </c>
      <c r="T16" s="68">
        <v>65</v>
      </c>
      <c r="U16" s="68">
        <v>68</v>
      </c>
      <c r="V16" s="68">
        <v>75</v>
      </c>
      <c r="W16" s="68">
        <v>77</v>
      </c>
      <c r="X16" s="68">
        <v>72</v>
      </c>
      <c r="Y16" s="68">
        <v>66</v>
      </c>
      <c r="Z16" s="68">
        <v>65</v>
      </c>
      <c r="AA16" s="68">
        <v>64</v>
      </c>
      <c r="AB16" s="68">
        <v>66</v>
      </c>
      <c r="AC16" s="68">
        <v>67</v>
      </c>
      <c r="AD16" s="68">
        <v>67</v>
      </c>
      <c r="AE16" s="153">
        <v>63</v>
      </c>
    </row>
    <row r="17" spans="1:31" ht="15" customHeight="1" x14ac:dyDescent="0.25">
      <c r="A17" s="156">
        <v>16</v>
      </c>
      <c r="B17" s="17" t="s">
        <v>26</v>
      </c>
      <c r="C17" s="70">
        <v>0</v>
      </c>
      <c r="D17" s="70">
        <v>0</v>
      </c>
      <c r="E17" s="70">
        <v>0</v>
      </c>
      <c r="F17" s="70">
        <v>0</v>
      </c>
      <c r="G17" s="70">
        <v>0</v>
      </c>
      <c r="H17" s="70">
        <v>0</v>
      </c>
      <c r="I17" s="70">
        <v>0</v>
      </c>
      <c r="J17" s="70">
        <v>0</v>
      </c>
      <c r="K17" s="70">
        <v>0</v>
      </c>
      <c r="L17" s="70">
        <v>0</v>
      </c>
      <c r="M17" s="70">
        <v>0</v>
      </c>
      <c r="N17" s="70">
        <v>0</v>
      </c>
      <c r="O17" s="70">
        <v>0</v>
      </c>
      <c r="P17" s="70">
        <v>0</v>
      </c>
      <c r="Q17" s="70">
        <v>0</v>
      </c>
      <c r="R17" s="70">
        <v>0</v>
      </c>
      <c r="S17" s="70">
        <v>0</v>
      </c>
      <c r="T17" s="70">
        <v>0</v>
      </c>
      <c r="U17" s="70">
        <v>0</v>
      </c>
      <c r="V17" s="70">
        <v>0</v>
      </c>
      <c r="W17" s="70">
        <v>0</v>
      </c>
      <c r="X17" s="70">
        <v>0</v>
      </c>
      <c r="Y17" s="70">
        <v>0</v>
      </c>
      <c r="Z17" s="70">
        <v>0</v>
      </c>
      <c r="AA17" s="70">
        <v>0</v>
      </c>
      <c r="AB17" s="70">
        <v>0</v>
      </c>
      <c r="AC17" s="70">
        <v>0</v>
      </c>
      <c r="AD17" s="70">
        <v>0</v>
      </c>
      <c r="AE17" s="157">
        <v>0</v>
      </c>
    </row>
    <row r="18" spans="1:31" ht="15" customHeight="1" x14ac:dyDescent="0.25">
      <c r="A18" s="156">
        <v>17</v>
      </c>
      <c r="B18" s="17" t="s">
        <v>27</v>
      </c>
      <c r="C18" s="70">
        <v>5</v>
      </c>
      <c r="D18" s="70">
        <v>5</v>
      </c>
      <c r="E18" s="70">
        <v>4</v>
      </c>
      <c r="F18" s="70" t="s">
        <v>383</v>
      </c>
      <c r="G18" s="70" t="s">
        <v>383</v>
      </c>
      <c r="H18" s="70" t="s">
        <v>383</v>
      </c>
      <c r="I18" s="70" t="s">
        <v>383</v>
      </c>
      <c r="J18" s="70" t="s">
        <v>383</v>
      </c>
      <c r="K18" s="70" t="s">
        <v>383</v>
      </c>
      <c r="L18" s="70" t="s">
        <v>383</v>
      </c>
      <c r="M18" s="70">
        <v>4</v>
      </c>
      <c r="N18" s="70" t="s">
        <v>383</v>
      </c>
      <c r="O18" s="70" t="s">
        <v>383</v>
      </c>
      <c r="P18" s="70" t="s">
        <v>383</v>
      </c>
      <c r="Q18" s="70" t="s">
        <v>383</v>
      </c>
      <c r="R18" s="70" t="s">
        <v>383</v>
      </c>
      <c r="S18" s="70" t="s">
        <v>383</v>
      </c>
      <c r="T18" s="70" t="s">
        <v>383</v>
      </c>
      <c r="U18" s="70" t="s">
        <v>383</v>
      </c>
      <c r="V18" s="70" t="s">
        <v>383</v>
      </c>
      <c r="W18" s="70" t="s">
        <v>383</v>
      </c>
      <c r="X18" s="70" t="s">
        <v>383</v>
      </c>
      <c r="Y18" s="70" t="s">
        <v>383</v>
      </c>
      <c r="Z18" s="70" t="s">
        <v>383</v>
      </c>
      <c r="AA18" s="70" t="s">
        <v>383</v>
      </c>
      <c r="AB18" s="70">
        <v>4</v>
      </c>
      <c r="AC18" s="70">
        <v>6</v>
      </c>
      <c r="AD18" s="70">
        <v>4</v>
      </c>
      <c r="AE18" s="157">
        <v>4</v>
      </c>
    </row>
    <row r="19" spans="1:31" ht="15" customHeight="1" x14ac:dyDescent="0.25">
      <c r="A19" s="156">
        <v>18</v>
      </c>
      <c r="B19" s="17" t="s">
        <v>28</v>
      </c>
      <c r="C19" s="70" t="s">
        <v>383</v>
      </c>
      <c r="D19" s="70" t="s">
        <v>383</v>
      </c>
      <c r="E19" s="70" t="s">
        <v>383</v>
      </c>
      <c r="F19" s="70">
        <v>4</v>
      </c>
      <c r="G19" s="70" t="s">
        <v>383</v>
      </c>
      <c r="H19" s="70">
        <v>6</v>
      </c>
      <c r="I19" s="70">
        <v>4</v>
      </c>
      <c r="J19" s="70" t="s">
        <v>383</v>
      </c>
      <c r="K19" s="70" t="s">
        <v>383</v>
      </c>
      <c r="L19" s="70" t="s">
        <v>383</v>
      </c>
      <c r="M19" s="70">
        <v>4</v>
      </c>
      <c r="N19" s="70" t="s">
        <v>383</v>
      </c>
      <c r="O19" s="70" t="s">
        <v>383</v>
      </c>
      <c r="P19" s="70" t="s">
        <v>383</v>
      </c>
      <c r="Q19" s="70" t="s">
        <v>383</v>
      </c>
      <c r="R19" s="70" t="s">
        <v>383</v>
      </c>
      <c r="S19" s="70">
        <v>4</v>
      </c>
      <c r="T19" s="70" t="s">
        <v>383</v>
      </c>
      <c r="U19" s="70" t="s">
        <v>383</v>
      </c>
      <c r="V19" s="70">
        <v>4</v>
      </c>
      <c r="W19" s="70">
        <v>5</v>
      </c>
      <c r="X19" s="70">
        <v>4</v>
      </c>
      <c r="Y19" s="70">
        <v>4</v>
      </c>
      <c r="Z19" s="70" t="s">
        <v>383</v>
      </c>
      <c r="AA19" s="70" t="s">
        <v>383</v>
      </c>
      <c r="AB19" s="70">
        <v>4</v>
      </c>
      <c r="AC19" s="70">
        <v>6</v>
      </c>
      <c r="AD19" s="70">
        <v>6</v>
      </c>
      <c r="AE19" s="157">
        <v>5</v>
      </c>
    </row>
    <row r="20" spans="1:31" ht="15" customHeight="1" x14ac:dyDescent="0.25">
      <c r="A20" s="156">
        <v>19</v>
      </c>
      <c r="B20" s="17" t="s">
        <v>115</v>
      </c>
      <c r="C20" s="70">
        <v>4</v>
      </c>
      <c r="D20" s="70">
        <v>5</v>
      </c>
      <c r="E20" s="70">
        <v>5</v>
      </c>
      <c r="F20" s="70" t="s">
        <v>383</v>
      </c>
      <c r="G20" s="70" t="s">
        <v>383</v>
      </c>
      <c r="H20" s="70" t="s">
        <v>383</v>
      </c>
      <c r="I20" s="70">
        <v>5</v>
      </c>
      <c r="J20" s="70">
        <v>4</v>
      </c>
      <c r="K20" s="70">
        <v>4</v>
      </c>
      <c r="L20" s="70" t="s">
        <v>383</v>
      </c>
      <c r="M20" s="70" t="s">
        <v>383</v>
      </c>
      <c r="N20" s="70">
        <v>4</v>
      </c>
      <c r="O20" s="70">
        <v>4</v>
      </c>
      <c r="P20" s="70">
        <v>5</v>
      </c>
      <c r="Q20" s="70">
        <v>5</v>
      </c>
      <c r="R20" s="70">
        <v>4</v>
      </c>
      <c r="S20" s="70">
        <v>4</v>
      </c>
      <c r="T20" s="70" t="s">
        <v>383</v>
      </c>
      <c r="U20" s="70" t="s">
        <v>383</v>
      </c>
      <c r="V20" s="70" t="s">
        <v>383</v>
      </c>
      <c r="W20" s="70" t="s">
        <v>383</v>
      </c>
      <c r="X20" s="70" t="s">
        <v>383</v>
      </c>
      <c r="Y20" s="70" t="s">
        <v>383</v>
      </c>
      <c r="Z20" s="70" t="s">
        <v>383</v>
      </c>
      <c r="AA20" s="70" t="s">
        <v>383</v>
      </c>
      <c r="AB20" s="70" t="s">
        <v>383</v>
      </c>
      <c r="AC20" s="70" t="s">
        <v>383</v>
      </c>
      <c r="AD20" s="70" t="s">
        <v>383</v>
      </c>
      <c r="AE20" s="157" t="s">
        <v>383</v>
      </c>
    </row>
    <row r="21" spans="1:31" ht="15" customHeight="1" x14ac:dyDescent="0.25">
      <c r="A21" s="156">
        <v>20</v>
      </c>
      <c r="B21" s="17" t="s">
        <v>30</v>
      </c>
      <c r="C21" s="70">
        <v>17</v>
      </c>
      <c r="D21" s="70">
        <v>14</v>
      </c>
      <c r="E21" s="70">
        <v>13</v>
      </c>
      <c r="F21" s="70">
        <v>11</v>
      </c>
      <c r="G21" s="70">
        <v>12</v>
      </c>
      <c r="H21" s="70">
        <v>9</v>
      </c>
      <c r="I21" s="70">
        <v>9</v>
      </c>
      <c r="J21" s="70">
        <v>10</v>
      </c>
      <c r="K21" s="70">
        <v>16</v>
      </c>
      <c r="L21" s="70">
        <v>24</v>
      </c>
      <c r="M21" s="70">
        <v>29</v>
      </c>
      <c r="N21" s="70">
        <v>28</v>
      </c>
      <c r="O21" s="70">
        <v>28</v>
      </c>
      <c r="P21" s="70">
        <v>27</v>
      </c>
      <c r="Q21" s="70">
        <v>27</v>
      </c>
      <c r="R21" s="70">
        <v>26</v>
      </c>
      <c r="S21" s="70">
        <v>22</v>
      </c>
      <c r="T21" s="70">
        <v>21</v>
      </c>
      <c r="U21" s="70">
        <v>25</v>
      </c>
      <c r="V21" s="70">
        <v>19</v>
      </c>
      <c r="W21" s="70">
        <v>17</v>
      </c>
      <c r="X21" s="70">
        <v>16</v>
      </c>
      <c r="Y21" s="70">
        <v>13</v>
      </c>
      <c r="Z21" s="70">
        <v>7</v>
      </c>
      <c r="AA21" s="70">
        <v>8</v>
      </c>
      <c r="AB21" s="70">
        <v>9</v>
      </c>
      <c r="AC21" s="70">
        <v>10</v>
      </c>
      <c r="AD21" s="70">
        <v>12</v>
      </c>
      <c r="AE21" s="157">
        <v>13</v>
      </c>
    </row>
    <row r="22" spans="1:31" ht="15" customHeight="1" x14ac:dyDescent="0.25">
      <c r="A22" s="156">
        <v>21</v>
      </c>
      <c r="B22" s="17" t="s">
        <v>31</v>
      </c>
      <c r="C22" s="70" t="s">
        <v>383</v>
      </c>
      <c r="D22" s="70" t="s">
        <v>383</v>
      </c>
      <c r="E22" s="70" t="s">
        <v>383</v>
      </c>
      <c r="F22" s="70" t="s">
        <v>383</v>
      </c>
      <c r="G22" s="70" t="s">
        <v>383</v>
      </c>
      <c r="H22" s="70" t="s">
        <v>383</v>
      </c>
      <c r="I22" s="70" t="s">
        <v>383</v>
      </c>
      <c r="J22" s="70" t="s">
        <v>383</v>
      </c>
      <c r="K22" s="70" t="s">
        <v>383</v>
      </c>
      <c r="L22" s="70" t="s">
        <v>383</v>
      </c>
      <c r="M22" s="70" t="s">
        <v>383</v>
      </c>
      <c r="N22" s="70" t="s">
        <v>383</v>
      </c>
      <c r="O22" s="70" t="s">
        <v>383</v>
      </c>
      <c r="P22" s="70" t="s">
        <v>383</v>
      </c>
      <c r="Q22" s="70" t="s">
        <v>383</v>
      </c>
      <c r="R22" s="70" t="s">
        <v>383</v>
      </c>
      <c r="S22" s="70" t="s">
        <v>383</v>
      </c>
      <c r="T22" s="70" t="s">
        <v>383</v>
      </c>
      <c r="U22" s="70" t="s">
        <v>383</v>
      </c>
      <c r="V22" s="70" t="s">
        <v>383</v>
      </c>
      <c r="W22" s="70" t="s">
        <v>383</v>
      </c>
      <c r="X22" s="70" t="s">
        <v>383</v>
      </c>
      <c r="Y22" s="70" t="s">
        <v>383</v>
      </c>
      <c r="Z22" s="70" t="s">
        <v>383</v>
      </c>
      <c r="AA22" s="70" t="s">
        <v>383</v>
      </c>
      <c r="AB22" s="70" t="s">
        <v>383</v>
      </c>
      <c r="AC22" s="70" t="s">
        <v>383</v>
      </c>
      <c r="AD22" s="70" t="s">
        <v>383</v>
      </c>
      <c r="AE22" s="157" t="s">
        <v>383</v>
      </c>
    </row>
    <row r="23" spans="1:31" ht="15" customHeight="1" x14ac:dyDescent="0.25">
      <c r="A23" s="156">
        <v>22</v>
      </c>
      <c r="B23" s="17" t="s">
        <v>98</v>
      </c>
      <c r="C23" s="70">
        <v>15</v>
      </c>
      <c r="D23" s="70">
        <v>17</v>
      </c>
      <c r="E23" s="70">
        <v>20</v>
      </c>
      <c r="F23" s="70">
        <v>20</v>
      </c>
      <c r="G23" s="70">
        <v>20</v>
      </c>
      <c r="H23" s="70">
        <v>20</v>
      </c>
      <c r="I23" s="70">
        <v>16</v>
      </c>
      <c r="J23" s="70">
        <v>19</v>
      </c>
      <c r="K23" s="70">
        <v>14</v>
      </c>
      <c r="L23" s="70">
        <v>17</v>
      </c>
      <c r="M23" s="70">
        <v>20</v>
      </c>
      <c r="N23" s="70">
        <v>16</v>
      </c>
      <c r="O23" s="70">
        <v>15</v>
      </c>
      <c r="P23" s="70">
        <v>13</v>
      </c>
      <c r="Q23" s="70">
        <v>15</v>
      </c>
      <c r="R23" s="70">
        <v>15</v>
      </c>
      <c r="S23" s="70">
        <v>14</v>
      </c>
      <c r="T23" s="70">
        <v>15</v>
      </c>
      <c r="U23" s="70">
        <v>18</v>
      </c>
      <c r="V23" s="70">
        <v>18</v>
      </c>
      <c r="W23" s="70">
        <v>17</v>
      </c>
      <c r="X23" s="70">
        <v>18</v>
      </c>
      <c r="Y23" s="70">
        <v>18</v>
      </c>
      <c r="Z23" s="70">
        <v>18</v>
      </c>
      <c r="AA23" s="70">
        <v>17</v>
      </c>
      <c r="AB23" s="70">
        <v>14</v>
      </c>
      <c r="AC23" s="70">
        <v>13</v>
      </c>
      <c r="AD23" s="70">
        <v>11</v>
      </c>
      <c r="AE23" s="157">
        <v>11</v>
      </c>
    </row>
    <row r="24" spans="1:31" ht="15" customHeight="1" x14ac:dyDescent="0.25">
      <c r="A24" s="156">
        <v>23</v>
      </c>
      <c r="B24" s="17" t="s">
        <v>33</v>
      </c>
      <c r="C24" s="70" t="s">
        <v>383</v>
      </c>
      <c r="D24" s="70" t="s">
        <v>383</v>
      </c>
      <c r="E24" s="70" t="s">
        <v>383</v>
      </c>
      <c r="F24" s="70" t="s">
        <v>383</v>
      </c>
      <c r="G24" s="70" t="s">
        <v>383</v>
      </c>
      <c r="H24" s="70" t="s">
        <v>383</v>
      </c>
      <c r="I24" s="70" t="s">
        <v>383</v>
      </c>
      <c r="J24" s="70" t="s">
        <v>383</v>
      </c>
      <c r="K24" s="70" t="s">
        <v>383</v>
      </c>
      <c r="L24" s="70" t="s">
        <v>383</v>
      </c>
      <c r="M24" s="70" t="s">
        <v>383</v>
      </c>
      <c r="N24" s="70" t="s">
        <v>383</v>
      </c>
      <c r="O24" s="70" t="s">
        <v>383</v>
      </c>
      <c r="P24" s="70" t="s">
        <v>383</v>
      </c>
      <c r="Q24" s="70" t="s">
        <v>383</v>
      </c>
      <c r="R24" s="70" t="s">
        <v>383</v>
      </c>
      <c r="S24" s="70" t="s">
        <v>383</v>
      </c>
      <c r="T24" s="70" t="s">
        <v>383</v>
      </c>
      <c r="U24" s="70" t="s">
        <v>383</v>
      </c>
      <c r="V24" s="70" t="s">
        <v>383</v>
      </c>
      <c r="W24" s="70" t="s">
        <v>383</v>
      </c>
      <c r="X24" s="70" t="s">
        <v>383</v>
      </c>
      <c r="Y24" s="70" t="s">
        <v>383</v>
      </c>
      <c r="Z24" s="70" t="s">
        <v>383</v>
      </c>
      <c r="AA24" s="70" t="s">
        <v>383</v>
      </c>
      <c r="AB24" s="70" t="s">
        <v>383</v>
      </c>
      <c r="AC24" s="70" t="s">
        <v>383</v>
      </c>
      <c r="AD24" s="70" t="s">
        <v>383</v>
      </c>
      <c r="AE24" s="157" t="s">
        <v>383</v>
      </c>
    </row>
    <row r="25" spans="1:31" ht="15" customHeight="1" x14ac:dyDescent="0.25">
      <c r="A25" s="156">
        <v>24</v>
      </c>
      <c r="B25" s="17" t="s">
        <v>34</v>
      </c>
      <c r="C25" s="70">
        <v>11</v>
      </c>
      <c r="D25" s="70">
        <v>8</v>
      </c>
      <c r="E25" s="70">
        <v>8</v>
      </c>
      <c r="F25" s="70">
        <v>9</v>
      </c>
      <c r="G25" s="70">
        <v>5</v>
      </c>
      <c r="H25" s="70">
        <v>11</v>
      </c>
      <c r="I25" s="70">
        <v>8</v>
      </c>
      <c r="J25" s="70">
        <v>10</v>
      </c>
      <c r="K25" s="70">
        <v>10</v>
      </c>
      <c r="L25" s="70">
        <v>12</v>
      </c>
      <c r="M25" s="70">
        <v>13</v>
      </c>
      <c r="N25" s="70">
        <v>14</v>
      </c>
      <c r="O25" s="70">
        <v>11</v>
      </c>
      <c r="P25" s="70">
        <v>11</v>
      </c>
      <c r="Q25" s="70">
        <v>12</v>
      </c>
      <c r="R25" s="70">
        <v>14</v>
      </c>
      <c r="S25" s="70">
        <v>13</v>
      </c>
      <c r="T25" s="70">
        <v>13</v>
      </c>
      <c r="U25" s="70">
        <v>13</v>
      </c>
      <c r="V25" s="70">
        <v>13</v>
      </c>
      <c r="W25" s="70">
        <v>13</v>
      </c>
      <c r="X25" s="70">
        <v>13</v>
      </c>
      <c r="Y25" s="70">
        <v>13</v>
      </c>
      <c r="Z25" s="70">
        <v>15</v>
      </c>
      <c r="AA25" s="70">
        <v>16</v>
      </c>
      <c r="AB25" s="70">
        <v>17</v>
      </c>
      <c r="AC25" s="70">
        <v>13</v>
      </c>
      <c r="AD25" s="70">
        <v>9</v>
      </c>
      <c r="AE25" s="157">
        <v>11</v>
      </c>
    </row>
    <row r="26" spans="1:31" ht="15" customHeight="1" x14ac:dyDescent="0.25">
      <c r="A26" s="156">
        <v>25</v>
      </c>
      <c r="B26" s="17" t="s">
        <v>35</v>
      </c>
      <c r="C26" s="70" t="s">
        <v>383</v>
      </c>
      <c r="D26" s="70" t="s">
        <v>383</v>
      </c>
      <c r="E26" s="70" t="s">
        <v>383</v>
      </c>
      <c r="F26" s="70" t="s">
        <v>383</v>
      </c>
      <c r="G26" s="70" t="s">
        <v>383</v>
      </c>
      <c r="H26" s="70" t="s">
        <v>383</v>
      </c>
      <c r="I26" s="70" t="s">
        <v>383</v>
      </c>
      <c r="J26" s="70" t="s">
        <v>383</v>
      </c>
      <c r="K26" s="70" t="s">
        <v>383</v>
      </c>
      <c r="L26" s="70" t="s">
        <v>383</v>
      </c>
      <c r="M26" s="70" t="s">
        <v>383</v>
      </c>
      <c r="N26" s="70" t="s">
        <v>383</v>
      </c>
      <c r="O26" s="70" t="s">
        <v>383</v>
      </c>
      <c r="P26" s="70" t="s">
        <v>383</v>
      </c>
      <c r="Q26" s="70" t="s">
        <v>383</v>
      </c>
      <c r="R26" s="70" t="s">
        <v>383</v>
      </c>
      <c r="S26" s="70" t="s">
        <v>383</v>
      </c>
      <c r="T26" s="70" t="s">
        <v>383</v>
      </c>
      <c r="U26" s="70" t="s">
        <v>383</v>
      </c>
      <c r="V26" s="70" t="s">
        <v>383</v>
      </c>
      <c r="W26" s="70" t="s">
        <v>383</v>
      </c>
      <c r="X26" s="70" t="s">
        <v>383</v>
      </c>
      <c r="Y26" s="70" t="s">
        <v>383</v>
      </c>
      <c r="Z26" s="70" t="s">
        <v>383</v>
      </c>
      <c r="AA26" s="70" t="s">
        <v>383</v>
      </c>
      <c r="AB26" s="70" t="s">
        <v>383</v>
      </c>
      <c r="AC26" s="70" t="s">
        <v>383</v>
      </c>
      <c r="AD26" s="70" t="s">
        <v>383</v>
      </c>
      <c r="AE26" s="157" t="s">
        <v>383</v>
      </c>
    </row>
    <row r="27" spans="1:31" ht="15" customHeight="1" x14ac:dyDescent="0.25">
      <c r="A27" s="156">
        <v>26</v>
      </c>
      <c r="B27" s="17" t="s">
        <v>36</v>
      </c>
      <c r="C27" s="70">
        <v>4</v>
      </c>
      <c r="D27" s="70">
        <v>4</v>
      </c>
      <c r="E27" s="70">
        <v>6</v>
      </c>
      <c r="F27" s="70">
        <v>7</v>
      </c>
      <c r="G27" s="70">
        <v>7</v>
      </c>
      <c r="H27" s="70">
        <v>4</v>
      </c>
      <c r="I27" s="70">
        <v>4</v>
      </c>
      <c r="J27" s="70">
        <v>4</v>
      </c>
      <c r="K27" s="70">
        <v>4</v>
      </c>
      <c r="L27" s="70">
        <v>6</v>
      </c>
      <c r="M27" s="70">
        <v>7</v>
      </c>
      <c r="N27" s="70">
        <v>7</v>
      </c>
      <c r="O27" s="70">
        <v>8</v>
      </c>
      <c r="P27" s="70">
        <v>7</v>
      </c>
      <c r="Q27" s="70">
        <v>7</v>
      </c>
      <c r="R27" s="70">
        <v>10</v>
      </c>
      <c r="S27" s="70">
        <v>8</v>
      </c>
      <c r="T27" s="70">
        <v>8</v>
      </c>
      <c r="U27" s="70">
        <v>7</v>
      </c>
      <c r="V27" s="70">
        <v>7</v>
      </c>
      <c r="W27" s="70">
        <v>7</v>
      </c>
      <c r="X27" s="70">
        <v>10</v>
      </c>
      <c r="Y27" s="70">
        <v>9</v>
      </c>
      <c r="Z27" s="70">
        <v>6</v>
      </c>
      <c r="AA27" s="70">
        <v>6</v>
      </c>
      <c r="AB27" s="70">
        <v>7</v>
      </c>
      <c r="AC27" s="70">
        <v>9</v>
      </c>
      <c r="AD27" s="70">
        <v>9</v>
      </c>
      <c r="AE27" s="157">
        <v>9</v>
      </c>
    </row>
    <row r="28" spans="1:31" ht="15" customHeight="1" x14ac:dyDescent="0.25">
      <c r="A28" s="156">
        <v>27</v>
      </c>
      <c r="B28" s="17" t="s">
        <v>37</v>
      </c>
      <c r="C28" s="70" t="s">
        <v>383</v>
      </c>
      <c r="D28" s="70" t="s">
        <v>383</v>
      </c>
      <c r="E28" s="70" t="s">
        <v>383</v>
      </c>
      <c r="F28" s="70" t="s">
        <v>383</v>
      </c>
      <c r="G28" s="70" t="s">
        <v>383</v>
      </c>
      <c r="H28" s="70" t="s">
        <v>383</v>
      </c>
      <c r="I28" s="70" t="s">
        <v>383</v>
      </c>
      <c r="J28" s="70" t="s">
        <v>383</v>
      </c>
      <c r="K28" s="70" t="s">
        <v>383</v>
      </c>
      <c r="L28" s="70" t="s">
        <v>383</v>
      </c>
      <c r="M28" s="70" t="s">
        <v>383</v>
      </c>
      <c r="N28" s="70" t="s">
        <v>383</v>
      </c>
      <c r="O28" s="70" t="s">
        <v>383</v>
      </c>
      <c r="P28" s="70" t="s">
        <v>383</v>
      </c>
      <c r="Q28" s="70" t="s">
        <v>383</v>
      </c>
      <c r="R28" s="70" t="s">
        <v>383</v>
      </c>
      <c r="S28" s="70" t="s">
        <v>383</v>
      </c>
      <c r="T28" s="70" t="s">
        <v>383</v>
      </c>
      <c r="U28" s="70" t="s">
        <v>383</v>
      </c>
      <c r="V28" s="70" t="s">
        <v>383</v>
      </c>
      <c r="W28" s="70" t="s">
        <v>383</v>
      </c>
      <c r="X28" s="70" t="s">
        <v>383</v>
      </c>
      <c r="Y28" s="70" t="s">
        <v>383</v>
      </c>
      <c r="Z28" s="70" t="s">
        <v>383</v>
      </c>
      <c r="AA28" s="70" t="s">
        <v>383</v>
      </c>
      <c r="AB28" s="70" t="s">
        <v>383</v>
      </c>
      <c r="AC28" s="70" t="s">
        <v>383</v>
      </c>
      <c r="AD28" s="70" t="s">
        <v>383</v>
      </c>
      <c r="AE28" s="157" t="s">
        <v>383</v>
      </c>
    </row>
    <row r="29" spans="1:31" ht="15" customHeight="1" x14ac:dyDescent="0.25">
      <c r="A29" s="156">
        <v>28</v>
      </c>
      <c r="B29" s="17" t="s">
        <v>38</v>
      </c>
      <c r="C29" s="70">
        <v>4</v>
      </c>
      <c r="D29" s="70">
        <v>4</v>
      </c>
      <c r="E29" s="70">
        <v>5</v>
      </c>
      <c r="F29" s="70" t="s">
        <v>383</v>
      </c>
      <c r="G29" s="70" t="s">
        <v>383</v>
      </c>
      <c r="H29" s="70" t="s">
        <v>383</v>
      </c>
      <c r="I29" s="70" t="s">
        <v>383</v>
      </c>
      <c r="J29" s="70" t="s">
        <v>383</v>
      </c>
      <c r="K29" s="70" t="s">
        <v>383</v>
      </c>
      <c r="L29" s="70" t="s">
        <v>383</v>
      </c>
      <c r="M29" s="70" t="s">
        <v>383</v>
      </c>
      <c r="N29" s="70">
        <v>5</v>
      </c>
      <c r="O29" s="70">
        <v>7</v>
      </c>
      <c r="P29" s="70">
        <v>7</v>
      </c>
      <c r="Q29" s="70">
        <v>5</v>
      </c>
      <c r="R29" s="70">
        <v>6</v>
      </c>
      <c r="S29" s="70">
        <v>10</v>
      </c>
      <c r="T29" s="70">
        <v>9</v>
      </c>
      <c r="U29" s="70">
        <v>10</v>
      </c>
      <c r="V29" s="70">
        <v>10</v>
      </c>
      <c r="W29" s="70">
        <v>9</v>
      </c>
      <c r="X29" s="70">
        <v>10</v>
      </c>
      <c r="Y29" s="70">
        <v>13</v>
      </c>
      <c r="Z29" s="70">
        <v>10</v>
      </c>
      <c r="AA29" s="70">
        <v>10</v>
      </c>
      <c r="AB29" s="70">
        <v>10</v>
      </c>
      <c r="AC29" s="70">
        <v>12</v>
      </c>
      <c r="AD29" s="70">
        <v>12</v>
      </c>
      <c r="AE29" s="157">
        <v>9</v>
      </c>
    </row>
    <row r="30" spans="1:31" ht="15" customHeight="1" x14ac:dyDescent="0.25">
      <c r="A30" s="156">
        <v>29</v>
      </c>
      <c r="B30" s="17" t="s">
        <v>39</v>
      </c>
      <c r="C30" s="70">
        <v>4</v>
      </c>
      <c r="D30" s="70" t="s">
        <v>383</v>
      </c>
      <c r="E30" s="70" t="s">
        <v>383</v>
      </c>
      <c r="F30" s="70" t="s">
        <v>383</v>
      </c>
      <c r="G30" s="70" t="s">
        <v>383</v>
      </c>
      <c r="H30" s="70" t="s">
        <v>383</v>
      </c>
      <c r="I30" s="70" t="s">
        <v>383</v>
      </c>
      <c r="J30" s="70" t="s">
        <v>383</v>
      </c>
      <c r="K30" s="70" t="s">
        <v>383</v>
      </c>
      <c r="L30" s="70" t="s">
        <v>383</v>
      </c>
      <c r="M30" s="70" t="s">
        <v>383</v>
      </c>
      <c r="N30" s="70" t="s">
        <v>383</v>
      </c>
      <c r="O30" s="70" t="s">
        <v>383</v>
      </c>
      <c r="P30" s="70" t="s">
        <v>383</v>
      </c>
      <c r="Q30" s="70" t="s">
        <v>383</v>
      </c>
      <c r="R30" s="70" t="s">
        <v>383</v>
      </c>
      <c r="S30" s="70" t="s">
        <v>383</v>
      </c>
      <c r="T30" s="70" t="s">
        <v>383</v>
      </c>
      <c r="U30" s="70" t="s">
        <v>383</v>
      </c>
      <c r="V30" s="70" t="s">
        <v>383</v>
      </c>
      <c r="W30" s="70" t="s">
        <v>383</v>
      </c>
      <c r="X30" s="70" t="s">
        <v>383</v>
      </c>
      <c r="Y30" s="70" t="s">
        <v>383</v>
      </c>
      <c r="Z30" s="70" t="s">
        <v>383</v>
      </c>
      <c r="AA30" s="70" t="s">
        <v>383</v>
      </c>
      <c r="AB30" s="70" t="s">
        <v>383</v>
      </c>
      <c r="AC30" s="70" t="s">
        <v>383</v>
      </c>
      <c r="AD30" s="70" t="s">
        <v>383</v>
      </c>
      <c r="AE30" s="157" t="s">
        <v>383</v>
      </c>
    </row>
    <row r="31" spans="1:31" ht="15" customHeight="1" x14ac:dyDescent="0.25">
      <c r="A31" s="156">
        <v>30</v>
      </c>
      <c r="B31" s="17" t="s">
        <v>40</v>
      </c>
      <c r="C31" s="70">
        <v>0</v>
      </c>
      <c r="D31" s="70">
        <v>0</v>
      </c>
      <c r="E31" s="70">
        <v>0</v>
      </c>
      <c r="F31" s="70">
        <v>0</v>
      </c>
      <c r="G31" s="70">
        <v>0</v>
      </c>
      <c r="H31" s="70">
        <v>0</v>
      </c>
      <c r="I31" s="70">
        <v>0</v>
      </c>
      <c r="J31" s="70">
        <v>0</v>
      </c>
      <c r="K31" s="70">
        <v>0</v>
      </c>
      <c r="L31" s="70">
        <v>0</v>
      </c>
      <c r="M31" s="70">
        <v>0</v>
      </c>
      <c r="N31" s="70">
        <v>0</v>
      </c>
      <c r="O31" s="70">
        <v>0</v>
      </c>
      <c r="P31" s="70">
        <v>0</v>
      </c>
      <c r="Q31" s="70">
        <v>0</v>
      </c>
      <c r="R31" s="70">
        <v>0</v>
      </c>
      <c r="S31" s="70">
        <v>0</v>
      </c>
      <c r="T31" s="70">
        <v>0</v>
      </c>
      <c r="U31" s="70">
        <v>0</v>
      </c>
      <c r="V31" s="70">
        <v>0</v>
      </c>
      <c r="W31" s="70">
        <v>0</v>
      </c>
      <c r="X31" s="70">
        <v>0</v>
      </c>
      <c r="Y31" s="70">
        <v>0</v>
      </c>
      <c r="Z31" s="70">
        <v>0</v>
      </c>
      <c r="AA31" s="70">
        <v>0</v>
      </c>
      <c r="AB31" s="70">
        <v>0</v>
      </c>
      <c r="AC31" s="70">
        <v>0</v>
      </c>
      <c r="AD31" s="70">
        <v>0</v>
      </c>
      <c r="AE31" s="157">
        <v>0</v>
      </c>
    </row>
    <row r="32" spans="1:31" ht="15" customHeight="1" x14ac:dyDescent="0.25">
      <c r="A32" s="156">
        <v>31</v>
      </c>
      <c r="B32" s="17" t="s">
        <v>41</v>
      </c>
      <c r="C32" s="70" t="s">
        <v>383</v>
      </c>
      <c r="D32" s="70" t="s">
        <v>383</v>
      </c>
      <c r="E32" s="70" t="s">
        <v>383</v>
      </c>
      <c r="F32" s="70" t="s">
        <v>383</v>
      </c>
      <c r="G32" s="70" t="s">
        <v>383</v>
      </c>
      <c r="H32" s="70" t="s">
        <v>383</v>
      </c>
      <c r="I32" s="70" t="s">
        <v>383</v>
      </c>
      <c r="J32" s="70" t="s">
        <v>383</v>
      </c>
      <c r="K32" s="70" t="s">
        <v>383</v>
      </c>
      <c r="L32" s="70" t="s">
        <v>383</v>
      </c>
      <c r="M32" s="70" t="s">
        <v>383</v>
      </c>
      <c r="N32" s="70" t="s">
        <v>383</v>
      </c>
      <c r="O32" s="70" t="s">
        <v>383</v>
      </c>
      <c r="P32" s="70" t="s">
        <v>383</v>
      </c>
      <c r="Q32" s="70" t="s">
        <v>383</v>
      </c>
      <c r="R32" s="70" t="s">
        <v>383</v>
      </c>
      <c r="S32" s="70" t="s">
        <v>383</v>
      </c>
      <c r="T32" s="70" t="s">
        <v>383</v>
      </c>
      <c r="U32" s="70" t="s">
        <v>383</v>
      </c>
      <c r="V32" s="70" t="s">
        <v>383</v>
      </c>
      <c r="W32" s="70" t="s">
        <v>383</v>
      </c>
      <c r="X32" s="70" t="s">
        <v>383</v>
      </c>
      <c r="Y32" s="70" t="s">
        <v>383</v>
      </c>
      <c r="Z32" s="70" t="s">
        <v>383</v>
      </c>
      <c r="AA32" s="70" t="s">
        <v>383</v>
      </c>
      <c r="AB32" s="70" t="s">
        <v>383</v>
      </c>
      <c r="AC32" s="70" t="s">
        <v>383</v>
      </c>
      <c r="AD32" s="70" t="s">
        <v>383</v>
      </c>
      <c r="AE32" s="157" t="s">
        <v>383</v>
      </c>
    </row>
    <row r="33" spans="1:32" ht="15" customHeight="1" x14ac:dyDescent="0.25">
      <c r="A33" s="156">
        <v>32</v>
      </c>
      <c r="B33" s="17" t="s">
        <v>42</v>
      </c>
      <c r="C33" s="70" t="s">
        <v>383</v>
      </c>
      <c r="D33" s="70" t="s">
        <v>383</v>
      </c>
      <c r="E33" s="70" t="s">
        <v>383</v>
      </c>
      <c r="F33" s="70" t="s">
        <v>383</v>
      </c>
      <c r="G33" s="70" t="s">
        <v>383</v>
      </c>
      <c r="H33" s="70" t="s">
        <v>383</v>
      </c>
      <c r="I33" s="70" t="s">
        <v>383</v>
      </c>
      <c r="J33" s="70" t="s">
        <v>383</v>
      </c>
      <c r="K33" s="70" t="s">
        <v>383</v>
      </c>
      <c r="L33" s="70" t="s">
        <v>383</v>
      </c>
      <c r="M33" s="70" t="s">
        <v>383</v>
      </c>
      <c r="N33" s="70" t="s">
        <v>383</v>
      </c>
      <c r="O33" s="70" t="s">
        <v>383</v>
      </c>
      <c r="P33" s="70" t="s">
        <v>383</v>
      </c>
      <c r="Q33" s="70" t="s">
        <v>383</v>
      </c>
      <c r="R33" s="70" t="s">
        <v>383</v>
      </c>
      <c r="S33" s="70" t="s">
        <v>383</v>
      </c>
      <c r="T33" s="70" t="s">
        <v>383</v>
      </c>
      <c r="U33" s="70" t="s">
        <v>383</v>
      </c>
      <c r="V33" s="70" t="s">
        <v>383</v>
      </c>
      <c r="W33" s="70" t="s">
        <v>383</v>
      </c>
      <c r="X33" s="70" t="s">
        <v>383</v>
      </c>
      <c r="Y33" s="70" t="s">
        <v>383</v>
      </c>
      <c r="Z33" s="70" t="s">
        <v>383</v>
      </c>
      <c r="AA33" s="70" t="s">
        <v>383</v>
      </c>
      <c r="AB33" s="70" t="s">
        <v>383</v>
      </c>
      <c r="AC33" s="70" t="s">
        <v>383</v>
      </c>
      <c r="AD33" s="70" t="s">
        <v>383</v>
      </c>
      <c r="AE33" s="157" t="s">
        <v>383</v>
      </c>
    </row>
    <row r="34" spans="1:32" ht="15" customHeight="1" x14ac:dyDescent="0.25">
      <c r="A34" s="156">
        <v>33</v>
      </c>
      <c r="B34" s="17" t="s">
        <v>43</v>
      </c>
      <c r="C34" s="70" t="s">
        <v>383</v>
      </c>
      <c r="D34" s="70" t="s">
        <v>383</v>
      </c>
      <c r="E34" s="70" t="s">
        <v>383</v>
      </c>
      <c r="F34" s="70" t="s">
        <v>383</v>
      </c>
      <c r="G34" s="70" t="s">
        <v>383</v>
      </c>
      <c r="H34" s="70" t="s">
        <v>383</v>
      </c>
      <c r="I34" s="70" t="s">
        <v>383</v>
      </c>
      <c r="J34" s="70" t="s">
        <v>383</v>
      </c>
      <c r="K34" s="70" t="s">
        <v>383</v>
      </c>
      <c r="L34" s="70" t="s">
        <v>383</v>
      </c>
      <c r="M34" s="70" t="s">
        <v>383</v>
      </c>
      <c r="N34" s="70" t="s">
        <v>383</v>
      </c>
      <c r="O34" s="70" t="s">
        <v>383</v>
      </c>
      <c r="P34" s="70" t="s">
        <v>383</v>
      </c>
      <c r="Q34" s="70" t="s">
        <v>383</v>
      </c>
      <c r="R34" s="70" t="s">
        <v>383</v>
      </c>
      <c r="S34" s="70" t="s">
        <v>383</v>
      </c>
      <c r="T34" s="70" t="s">
        <v>383</v>
      </c>
      <c r="U34" s="70" t="s">
        <v>383</v>
      </c>
      <c r="V34" s="70" t="s">
        <v>383</v>
      </c>
      <c r="W34" s="70" t="s">
        <v>383</v>
      </c>
      <c r="X34" s="70" t="s">
        <v>383</v>
      </c>
      <c r="Y34" s="70" t="s">
        <v>383</v>
      </c>
      <c r="Z34" s="70" t="s">
        <v>383</v>
      </c>
      <c r="AA34" s="70" t="s">
        <v>383</v>
      </c>
      <c r="AB34" s="70" t="s">
        <v>383</v>
      </c>
      <c r="AC34" s="70" t="s">
        <v>383</v>
      </c>
      <c r="AD34" s="70" t="s">
        <v>383</v>
      </c>
      <c r="AE34" s="157" t="s">
        <v>383</v>
      </c>
    </row>
    <row r="35" spans="1:32" ht="15" customHeight="1" x14ac:dyDescent="0.25">
      <c r="A35" s="156">
        <v>34</v>
      </c>
      <c r="B35" s="17" t="s">
        <v>44</v>
      </c>
      <c r="C35" s="70" t="s">
        <v>383</v>
      </c>
      <c r="D35" s="70" t="s">
        <v>383</v>
      </c>
      <c r="E35" s="70" t="s">
        <v>383</v>
      </c>
      <c r="F35" s="70" t="s">
        <v>383</v>
      </c>
      <c r="G35" s="70" t="s">
        <v>383</v>
      </c>
      <c r="H35" s="70" t="s">
        <v>383</v>
      </c>
      <c r="I35" s="70" t="s">
        <v>383</v>
      </c>
      <c r="J35" s="70" t="s">
        <v>383</v>
      </c>
      <c r="K35" s="70" t="s">
        <v>383</v>
      </c>
      <c r="L35" s="70" t="s">
        <v>383</v>
      </c>
      <c r="M35" s="70" t="s">
        <v>383</v>
      </c>
      <c r="N35" s="70" t="s">
        <v>383</v>
      </c>
      <c r="O35" s="70" t="s">
        <v>383</v>
      </c>
      <c r="P35" s="70" t="s">
        <v>383</v>
      </c>
      <c r="Q35" s="70" t="s">
        <v>383</v>
      </c>
      <c r="R35" s="70" t="s">
        <v>383</v>
      </c>
      <c r="S35" s="70" t="s">
        <v>383</v>
      </c>
      <c r="T35" s="70" t="s">
        <v>383</v>
      </c>
      <c r="U35" s="70" t="s">
        <v>383</v>
      </c>
      <c r="V35" s="70" t="s">
        <v>383</v>
      </c>
      <c r="W35" s="70" t="s">
        <v>383</v>
      </c>
      <c r="X35" s="70" t="s">
        <v>383</v>
      </c>
      <c r="Y35" s="70" t="s">
        <v>383</v>
      </c>
      <c r="Z35" s="70" t="s">
        <v>383</v>
      </c>
      <c r="AA35" s="70" t="s">
        <v>383</v>
      </c>
      <c r="AB35" s="70" t="s">
        <v>383</v>
      </c>
      <c r="AC35" s="70" t="s">
        <v>383</v>
      </c>
      <c r="AD35" s="70" t="s">
        <v>383</v>
      </c>
      <c r="AE35" s="157" t="s">
        <v>383</v>
      </c>
    </row>
    <row r="36" spans="1:32" ht="15" customHeight="1" x14ac:dyDescent="0.25">
      <c r="A36" s="156">
        <v>35</v>
      </c>
      <c r="B36" s="17" t="s">
        <v>45</v>
      </c>
      <c r="C36" s="70" t="s">
        <v>383</v>
      </c>
      <c r="D36" s="70" t="s">
        <v>383</v>
      </c>
      <c r="E36" s="70" t="s">
        <v>383</v>
      </c>
      <c r="F36" s="70" t="s">
        <v>383</v>
      </c>
      <c r="G36" s="70" t="s">
        <v>383</v>
      </c>
      <c r="H36" s="70" t="s">
        <v>383</v>
      </c>
      <c r="I36" s="70" t="s">
        <v>383</v>
      </c>
      <c r="J36" s="70" t="s">
        <v>383</v>
      </c>
      <c r="K36" s="70" t="s">
        <v>383</v>
      </c>
      <c r="L36" s="70" t="s">
        <v>383</v>
      </c>
      <c r="M36" s="70" t="s">
        <v>383</v>
      </c>
      <c r="N36" s="70" t="s">
        <v>383</v>
      </c>
      <c r="O36" s="70" t="s">
        <v>383</v>
      </c>
      <c r="P36" s="70" t="s">
        <v>383</v>
      </c>
      <c r="Q36" s="70" t="s">
        <v>383</v>
      </c>
      <c r="R36" s="70" t="s">
        <v>383</v>
      </c>
      <c r="S36" s="70" t="s">
        <v>383</v>
      </c>
      <c r="T36" s="70" t="s">
        <v>383</v>
      </c>
      <c r="U36" s="70" t="s">
        <v>383</v>
      </c>
      <c r="V36" s="70" t="s">
        <v>383</v>
      </c>
      <c r="W36" s="70" t="s">
        <v>383</v>
      </c>
      <c r="X36" s="70" t="s">
        <v>383</v>
      </c>
      <c r="Y36" s="70" t="s">
        <v>383</v>
      </c>
      <c r="Z36" s="70" t="s">
        <v>383</v>
      </c>
      <c r="AA36" s="70" t="s">
        <v>383</v>
      </c>
      <c r="AB36" s="70" t="s">
        <v>383</v>
      </c>
      <c r="AC36" s="70" t="s">
        <v>383</v>
      </c>
      <c r="AD36" s="70" t="s">
        <v>383</v>
      </c>
      <c r="AE36" s="157" t="s">
        <v>383</v>
      </c>
    </row>
    <row r="37" spans="1:32" ht="15" customHeight="1" x14ac:dyDescent="0.25">
      <c r="A37" s="156">
        <v>36</v>
      </c>
      <c r="B37" s="17" t="s">
        <v>46</v>
      </c>
      <c r="C37" s="70">
        <v>10</v>
      </c>
      <c r="D37" s="70">
        <v>12</v>
      </c>
      <c r="E37" s="70">
        <v>11</v>
      </c>
      <c r="F37" s="70">
        <v>9</v>
      </c>
      <c r="G37" s="70">
        <v>9</v>
      </c>
      <c r="H37" s="70">
        <v>9</v>
      </c>
      <c r="I37" s="70">
        <v>11</v>
      </c>
      <c r="J37" s="70">
        <v>20</v>
      </c>
      <c r="K37" s="70">
        <v>24</v>
      </c>
      <c r="L37" s="70">
        <v>29</v>
      </c>
      <c r="M37" s="70">
        <v>32</v>
      </c>
      <c r="N37" s="70">
        <v>27</v>
      </c>
      <c r="O37" s="70">
        <v>29</v>
      </c>
      <c r="P37" s="70">
        <v>30</v>
      </c>
      <c r="Q37" s="70">
        <v>24</v>
      </c>
      <c r="R37" s="70">
        <v>22</v>
      </c>
      <c r="S37" s="70">
        <v>20</v>
      </c>
      <c r="T37" s="70">
        <v>19</v>
      </c>
      <c r="U37" s="70">
        <v>17</v>
      </c>
      <c r="V37" s="70">
        <v>18</v>
      </c>
      <c r="W37" s="70">
        <v>16</v>
      </c>
      <c r="X37" s="70">
        <v>15</v>
      </c>
      <c r="Y37" s="70">
        <v>17</v>
      </c>
      <c r="Z37" s="70">
        <v>15</v>
      </c>
      <c r="AA37" s="70">
        <v>12</v>
      </c>
      <c r="AB37" s="70">
        <v>12</v>
      </c>
      <c r="AC37" s="70">
        <v>13</v>
      </c>
      <c r="AD37" s="70">
        <v>13</v>
      </c>
      <c r="AE37" s="157">
        <v>10</v>
      </c>
    </row>
    <row r="38" spans="1:32" ht="15" customHeight="1" thickBot="1" x14ac:dyDescent="0.3">
      <c r="A38" s="152">
        <v>37</v>
      </c>
      <c r="B38" s="15" t="s">
        <v>47</v>
      </c>
      <c r="C38" s="68" t="s">
        <v>383</v>
      </c>
      <c r="D38" s="68" t="s">
        <v>383</v>
      </c>
      <c r="E38" s="68" t="s">
        <v>383</v>
      </c>
      <c r="F38" s="68" t="s">
        <v>383</v>
      </c>
      <c r="G38" s="68" t="s">
        <v>383</v>
      </c>
      <c r="H38" s="68" t="s">
        <v>383</v>
      </c>
      <c r="I38" s="68" t="s">
        <v>383</v>
      </c>
      <c r="J38" s="68" t="s">
        <v>383</v>
      </c>
      <c r="K38" s="68" t="s">
        <v>383</v>
      </c>
      <c r="L38" s="68" t="s">
        <v>383</v>
      </c>
      <c r="M38" s="68" t="s">
        <v>383</v>
      </c>
      <c r="N38" s="68" t="s">
        <v>383</v>
      </c>
      <c r="O38" s="68" t="s">
        <v>383</v>
      </c>
      <c r="P38" s="68" t="s">
        <v>383</v>
      </c>
      <c r="Q38" s="68" t="s">
        <v>383</v>
      </c>
      <c r="R38" s="68" t="s">
        <v>383</v>
      </c>
      <c r="S38" s="68" t="s">
        <v>383</v>
      </c>
      <c r="T38" s="68" t="s">
        <v>383</v>
      </c>
      <c r="U38" s="68" t="s">
        <v>383</v>
      </c>
      <c r="V38" s="68" t="s">
        <v>383</v>
      </c>
      <c r="W38" s="68" t="s">
        <v>383</v>
      </c>
      <c r="X38" s="68" t="s">
        <v>383</v>
      </c>
      <c r="Y38" s="68" t="s">
        <v>383</v>
      </c>
      <c r="Z38" s="68" t="s">
        <v>383</v>
      </c>
      <c r="AA38" s="68" t="s">
        <v>383</v>
      </c>
      <c r="AB38" s="68" t="s">
        <v>383</v>
      </c>
      <c r="AC38" s="68" t="s">
        <v>383</v>
      </c>
      <c r="AD38" s="68" t="s">
        <v>383</v>
      </c>
      <c r="AE38" s="153" t="s">
        <v>383</v>
      </c>
    </row>
    <row r="39" spans="1:32" s="11" customFormat="1" ht="15" customHeight="1" thickBot="1" x14ac:dyDescent="0.3">
      <c r="A39" s="144" t="s">
        <v>48</v>
      </c>
      <c r="B39" s="9" t="s">
        <v>49</v>
      </c>
      <c r="C39" s="64">
        <v>17</v>
      </c>
      <c r="D39" s="64">
        <v>19</v>
      </c>
      <c r="E39" s="64">
        <v>21</v>
      </c>
      <c r="F39" s="64">
        <v>24</v>
      </c>
      <c r="G39" s="64">
        <v>21</v>
      </c>
      <c r="H39" s="64">
        <v>22</v>
      </c>
      <c r="I39" s="64">
        <v>23</v>
      </c>
      <c r="J39" s="64">
        <v>21</v>
      </c>
      <c r="K39" s="64">
        <v>20</v>
      </c>
      <c r="L39" s="64">
        <v>18</v>
      </c>
      <c r="M39" s="64">
        <v>14</v>
      </c>
      <c r="N39" s="64">
        <v>12</v>
      </c>
      <c r="O39" s="64">
        <v>15</v>
      </c>
      <c r="P39" s="64">
        <v>13</v>
      </c>
      <c r="Q39" s="64">
        <v>12</v>
      </c>
      <c r="R39" s="64">
        <v>10</v>
      </c>
      <c r="S39" s="64">
        <v>11</v>
      </c>
      <c r="T39" s="64">
        <v>11</v>
      </c>
      <c r="U39" s="64">
        <v>11</v>
      </c>
      <c r="V39" s="64">
        <v>11</v>
      </c>
      <c r="W39" s="64">
        <v>10</v>
      </c>
      <c r="X39" s="64">
        <v>10</v>
      </c>
      <c r="Y39" s="64">
        <v>9</v>
      </c>
      <c r="Z39" s="64">
        <v>8</v>
      </c>
      <c r="AA39" s="64">
        <v>7</v>
      </c>
      <c r="AB39" s="64">
        <v>7</v>
      </c>
      <c r="AC39" s="64">
        <v>8</v>
      </c>
      <c r="AD39" s="64">
        <v>7</v>
      </c>
      <c r="AE39" s="145">
        <v>7</v>
      </c>
      <c r="AF39" s="10"/>
    </row>
    <row r="40" spans="1:32" ht="15" customHeight="1" x14ac:dyDescent="0.25">
      <c r="A40" s="146">
        <v>40</v>
      </c>
      <c r="B40" s="12" t="s">
        <v>50</v>
      </c>
      <c r="C40" s="65">
        <v>4</v>
      </c>
      <c r="D40" s="65">
        <v>5</v>
      </c>
      <c r="E40" s="65">
        <v>5</v>
      </c>
      <c r="F40" s="65">
        <v>7</v>
      </c>
      <c r="G40" s="65">
        <v>6</v>
      </c>
      <c r="H40" s="65">
        <v>6</v>
      </c>
      <c r="I40" s="65">
        <v>7</v>
      </c>
      <c r="J40" s="65">
        <v>6</v>
      </c>
      <c r="K40" s="65">
        <v>6</v>
      </c>
      <c r="L40" s="65">
        <v>4</v>
      </c>
      <c r="M40" s="65" t="s">
        <v>383</v>
      </c>
      <c r="N40" s="65" t="s">
        <v>383</v>
      </c>
      <c r="O40" s="65">
        <v>6</v>
      </c>
      <c r="P40" s="65">
        <v>6</v>
      </c>
      <c r="Q40" s="65">
        <v>4</v>
      </c>
      <c r="R40" s="65" t="s">
        <v>383</v>
      </c>
      <c r="S40" s="65">
        <v>6</v>
      </c>
      <c r="T40" s="65">
        <v>5</v>
      </c>
      <c r="U40" s="65">
        <v>5</v>
      </c>
      <c r="V40" s="65">
        <v>5</v>
      </c>
      <c r="W40" s="65">
        <v>4</v>
      </c>
      <c r="X40" s="65">
        <v>5</v>
      </c>
      <c r="Y40" s="65">
        <v>5</v>
      </c>
      <c r="Z40" s="65">
        <v>4</v>
      </c>
      <c r="AA40" s="65" t="s">
        <v>383</v>
      </c>
      <c r="AB40" s="65" t="s">
        <v>383</v>
      </c>
      <c r="AC40" s="65" t="s">
        <v>383</v>
      </c>
      <c r="AD40" s="65" t="s">
        <v>383</v>
      </c>
      <c r="AE40" s="147" t="s">
        <v>383</v>
      </c>
    </row>
    <row r="41" spans="1:32" ht="15" customHeight="1" thickBot="1" x14ac:dyDescent="0.3">
      <c r="A41" s="158">
        <v>41</v>
      </c>
      <c r="B41" s="18" t="s">
        <v>51</v>
      </c>
      <c r="C41" s="71">
        <v>13</v>
      </c>
      <c r="D41" s="71">
        <v>14</v>
      </c>
      <c r="E41" s="71">
        <v>16</v>
      </c>
      <c r="F41" s="71">
        <v>17</v>
      </c>
      <c r="G41" s="71">
        <v>15</v>
      </c>
      <c r="H41" s="71">
        <v>16</v>
      </c>
      <c r="I41" s="71">
        <v>16</v>
      </c>
      <c r="J41" s="71">
        <v>15</v>
      </c>
      <c r="K41" s="71">
        <v>14</v>
      </c>
      <c r="L41" s="71">
        <v>14</v>
      </c>
      <c r="M41" s="71" t="s">
        <v>383</v>
      </c>
      <c r="N41" s="71" t="s">
        <v>383</v>
      </c>
      <c r="O41" s="71">
        <v>9</v>
      </c>
      <c r="P41" s="71">
        <v>7</v>
      </c>
      <c r="Q41" s="71">
        <v>8</v>
      </c>
      <c r="R41" s="71" t="s">
        <v>383</v>
      </c>
      <c r="S41" s="71">
        <v>5</v>
      </c>
      <c r="T41" s="71">
        <v>6</v>
      </c>
      <c r="U41" s="71">
        <v>6</v>
      </c>
      <c r="V41" s="71">
        <v>6</v>
      </c>
      <c r="W41" s="71">
        <v>6</v>
      </c>
      <c r="X41" s="71">
        <v>5</v>
      </c>
      <c r="Y41" s="71">
        <v>4</v>
      </c>
      <c r="Z41" s="71">
        <v>4</v>
      </c>
      <c r="AA41" s="71" t="s">
        <v>383</v>
      </c>
      <c r="AB41" s="71" t="s">
        <v>383</v>
      </c>
      <c r="AC41" s="71" t="s">
        <v>383</v>
      </c>
      <c r="AD41" s="71" t="s">
        <v>383</v>
      </c>
      <c r="AE41" s="159" t="s">
        <v>383</v>
      </c>
    </row>
    <row r="42" spans="1:32" s="11" customFormat="1" ht="15" customHeight="1" thickBot="1" x14ac:dyDescent="0.3">
      <c r="A42" s="160" t="s">
        <v>52</v>
      </c>
      <c r="B42" s="19" t="s">
        <v>53</v>
      </c>
      <c r="C42" s="64">
        <v>89</v>
      </c>
      <c r="D42" s="64">
        <v>98</v>
      </c>
      <c r="E42" s="64">
        <v>102</v>
      </c>
      <c r="F42" s="64">
        <v>99</v>
      </c>
      <c r="G42" s="64">
        <v>91</v>
      </c>
      <c r="H42" s="64">
        <v>74</v>
      </c>
      <c r="I42" s="64">
        <v>63</v>
      </c>
      <c r="J42" s="64">
        <v>65</v>
      </c>
      <c r="K42" s="64">
        <v>88</v>
      </c>
      <c r="L42" s="64">
        <v>101</v>
      </c>
      <c r="M42" s="64">
        <v>136</v>
      </c>
      <c r="N42" s="64">
        <v>158</v>
      </c>
      <c r="O42" s="64">
        <v>156</v>
      </c>
      <c r="P42" s="64">
        <v>158</v>
      </c>
      <c r="Q42" s="64">
        <v>189</v>
      </c>
      <c r="R42" s="64">
        <v>200</v>
      </c>
      <c r="S42" s="64">
        <v>189</v>
      </c>
      <c r="T42" s="64">
        <v>206</v>
      </c>
      <c r="U42" s="64">
        <v>203</v>
      </c>
      <c r="V42" s="64">
        <v>211</v>
      </c>
      <c r="W42" s="64">
        <v>208</v>
      </c>
      <c r="X42" s="64">
        <v>205</v>
      </c>
      <c r="Y42" s="64">
        <v>191</v>
      </c>
      <c r="Z42" s="64">
        <v>181</v>
      </c>
      <c r="AA42" s="64">
        <v>186</v>
      </c>
      <c r="AB42" s="64">
        <v>195</v>
      </c>
      <c r="AC42" s="64">
        <v>218</v>
      </c>
      <c r="AD42" s="64">
        <v>198</v>
      </c>
      <c r="AE42" s="145">
        <v>175</v>
      </c>
      <c r="AF42" s="10"/>
    </row>
    <row r="43" spans="1:32" ht="15" customHeight="1" thickBot="1" x14ac:dyDescent="0.3">
      <c r="A43" s="150">
        <v>45</v>
      </c>
      <c r="B43" s="14" t="s">
        <v>54</v>
      </c>
      <c r="C43" s="67">
        <v>89</v>
      </c>
      <c r="D43" s="67">
        <v>98</v>
      </c>
      <c r="E43" s="67">
        <v>102</v>
      </c>
      <c r="F43" s="67">
        <v>99</v>
      </c>
      <c r="G43" s="67">
        <v>91</v>
      </c>
      <c r="H43" s="67">
        <v>74</v>
      </c>
      <c r="I43" s="67">
        <v>63</v>
      </c>
      <c r="J43" s="67">
        <v>65</v>
      </c>
      <c r="K43" s="67">
        <v>88</v>
      </c>
      <c r="L43" s="67">
        <v>101</v>
      </c>
      <c r="M43" s="67">
        <v>136</v>
      </c>
      <c r="N43" s="67">
        <v>158</v>
      </c>
      <c r="O43" s="67">
        <v>156</v>
      </c>
      <c r="P43" s="67">
        <v>158</v>
      </c>
      <c r="Q43" s="67">
        <v>189</v>
      </c>
      <c r="R43" s="67">
        <v>200</v>
      </c>
      <c r="S43" s="67">
        <v>189</v>
      </c>
      <c r="T43" s="67">
        <v>206</v>
      </c>
      <c r="U43" s="67">
        <v>203</v>
      </c>
      <c r="V43" s="67">
        <v>211</v>
      </c>
      <c r="W43" s="67">
        <v>208</v>
      </c>
      <c r="X43" s="67">
        <v>205</v>
      </c>
      <c r="Y43" s="67">
        <v>191</v>
      </c>
      <c r="Z43" s="67">
        <v>181</v>
      </c>
      <c r="AA43" s="67">
        <v>186</v>
      </c>
      <c r="AB43" s="67">
        <v>195</v>
      </c>
      <c r="AC43" s="67">
        <v>218</v>
      </c>
      <c r="AD43" s="67">
        <v>198</v>
      </c>
      <c r="AE43" s="151">
        <v>175</v>
      </c>
    </row>
    <row r="44" spans="1:32" s="11" customFormat="1" ht="15" customHeight="1" thickBot="1" x14ac:dyDescent="0.3">
      <c r="A44" s="144" t="s">
        <v>55</v>
      </c>
      <c r="B44" s="9" t="s">
        <v>56</v>
      </c>
      <c r="C44" s="64">
        <v>559</v>
      </c>
      <c r="D44" s="64">
        <v>559</v>
      </c>
      <c r="E44" s="64">
        <v>540</v>
      </c>
      <c r="F44" s="64">
        <v>543</v>
      </c>
      <c r="G44" s="64">
        <v>577</v>
      </c>
      <c r="H44" s="64">
        <v>521</v>
      </c>
      <c r="I44" s="64">
        <v>519</v>
      </c>
      <c r="J44" s="64">
        <v>566</v>
      </c>
      <c r="K44" s="64">
        <v>610</v>
      </c>
      <c r="L44" s="64">
        <v>658</v>
      </c>
      <c r="M44" s="64">
        <v>721</v>
      </c>
      <c r="N44" s="64">
        <v>763</v>
      </c>
      <c r="O44" s="64">
        <v>853</v>
      </c>
      <c r="P44" s="64">
        <v>896</v>
      </c>
      <c r="Q44" s="64">
        <v>929</v>
      </c>
      <c r="R44" s="64">
        <v>1004</v>
      </c>
      <c r="S44" s="64">
        <v>1031</v>
      </c>
      <c r="T44" s="64">
        <v>1080</v>
      </c>
      <c r="U44" s="64">
        <v>1078</v>
      </c>
      <c r="V44" s="64">
        <v>1095</v>
      </c>
      <c r="W44" s="64">
        <v>1106</v>
      </c>
      <c r="X44" s="64">
        <v>1123</v>
      </c>
      <c r="Y44" s="64">
        <v>1085</v>
      </c>
      <c r="Z44" s="64">
        <v>1036</v>
      </c>
      <c r="AA44" s="64">
        <v>1018</v>
      </c>
      <c r="AB44" s="64">
        <v>1039</v>
      </c>
      <c r="AC44" s="64">
        <v>1109</v>
      </c>
      <c r="AD44" s="64">
        <v>1123</v>
      </c>
      <c r="AE44" s="145">
        <v>1119</v>
      </c>
      <c r="AF44" s="10"/>
    </row>
    <row r="45" spans="1:32" ht="15" customHeight="1" x14ac:dyDescent="0.25">
      <c r="A45" s="146">
        <v>50</v>
      </c>
      <c r="B45" s="12" t="s">
        <v>57</v>
      </c>
      <c r="C45" s="65">
        <v>92</v>
      </c>
      <c r="D45" s="65">
        <v>102</v>
      </c>
      <c r="E45" s="65">
        <v>98</v>
      </c>
      <c r="F45" s="65">
        <v>94</v>
      </c>
      <c r="G45" s="65">
        <v>96</v>
      </c>
      <c r="H45" s="65">
        <v>83</v>
      </c>
      <c r="I45" s="65">
        <v>73</v>
      </c>
      <c r="J45" s="65">
        <v>84</v>
      </c>
      <c r="K45" s="65">
        <v>92</v>
      </c>
      <c r="L45" s="65">
        <v>101</v>
      </c>
      <c r="M45" s="65">
        <v>108</v>
      </c>
      <c r="N45" s="65">
        <v>104</v>
      </c>
      <c r="O45" s="65">
        <v>120</v>
      </c>
      <c r="P45" s="65">
        <v>120</v>
      </c>
      <c r="Q45" s="65">
        <v>122</v>
      </c>
      <c r="R45" s="65">
        <v>134</v>
      </c>
      <c r="S45" s="65">
        <v>140</v>
      </c>
      <c r="T45" s="65">
        <v>142</v>
      </c>
      <c r="U45" s="65">
        <v>141</v>
      </c>
      <c r="V45" s="65">
        <v>150</v>
      </c>
      <c r="W45" s="65">
        <v>154</v>
      </c>
      <c r="X45" s="65">
        <v>160</v>
      </c>
      <c r="Y45" s="65">
        <v>156</v>
      </c>
      <c r="Z45" s="65">
        <v>150</v>
      </c>
      <c r="AA45" s="65">
        <v>141</v>
      </c>
      <c r="AB45" s="65">
        <v>140</v>
      </c>
      <c r="AC45" s="65">
        <v>141</v>
      </c>
      <c r="AD45" s="65">
        <v>143</v>
      </c>
      <c r="AE45" s="147">
        <v>147</v>
      </c>
    </row>
    <row r="46" spans="1:32" ht="15" customHeight="1" x14ac:dyDescent="0.25">
      <c r="A46" s="156">
        <v>51</v>
      </c>
      <c r="B46" s="17" t="s">
        <v>58</v>
      </c>
      <c r="C46" s="70">
        <v>97</v>
      </c>
      <c r="D46" s="70">
        <v>102</v>
      </c>
      <c r="E46" s="70">
        <v>96</v>
      </c>
      <c r="F46" s="70">
        <v>97</v>
      </c>
      <c r="G46" s="70">
        <v>95</v>
      </c>
      <c r="H46" s="70">
        <v>89</v>
      </c>
      <c r="I46" s="70">
        <v>91</v>
      </c>
      <c r="J46" s="70">
        <v>95</v>
      </c>
      <c r="K46" s="70">
        <v>97</v>
      </c>
      <c r="L46" s="70">
        <v>106</v>
      </c>
      <c r="M46" s="70">
        <v>119</v>
      </c>
      <c r="N46" s="70">
        <v>128</v>
      </c>
      <c r="O46" s="70">
        <v>139</v>
      </c>
      <c r="P46" s="70">
        <v>138</v>
      </c>
      <c r="Q46" s="70">
        <v>144</v>
      </c>
      <c r="R46" s="70">
        <v>164</v>
      </c>
      <c r="S46" s="70">
        <v>161</v>
      </c>
      <c r="T46" s="70">
        <v>176</v>
      </c>
      <c r="U46" s="70">
        <v>178</v>
      </c>
      <c r="V46" s="70">
        <v>175</v>
      </c>
      <c r="W46" s="70">
        <v>172</v>
      </c>
      <c r="X46" s="70">
        <v>169</v>
      </c>
      <c r="Y46" s="70">
        <v>161</v>
      </c>
      <c r="Z46" s="70">
        <v>165</v>
      </c>
      <c r="AA46" s="70">
        <v>166</v>
      </c>
      <c r="AB46" s="70">
        <v>170</v>
      </c>
      <c r="AC46" s="70">
        <v>186</v>
      </c>
      <c r="AD46" s="70">
        <v>191</v>
      </c>
      <c r="AE46" s="157">
        <v>203</v>
      </c>
    </row>
    <row r="47" spans="1:32" ht="15" customHeight="1" thickBot="1" x14ac:dyDescent="0.3">
      <c r="A47" s="158">
        <v>52</v>
      </c>
      <c r="B47" s="18" t="s">
        <v>59</v>
      </c>
      <c r="C47" s="71">
        <v>370</v>
      </c>
      <c r="D47" s="71">
        <v>355</v>
      </c>
      <c r="E47" s="71">
        <v>346</v>
      </c>
      <c r="F47" s="71">
        <v>352</v>
      </c>
      <c r="G47" s="71">
        <v>386</v>
      </c>
      <c r="H47" s="71">
        <v>349</v>
      </c>
      <c r="I47" s="71">
        <v>355</v>
      </c>
      <c r="J47" s="71">
        <v>387</v>
      </c>
      <c r="K47" s="71">
        <v>421</v>
      </c>
      <c r="L47" s="71">
        <v>451</v>
      </c>
      <c r="M47" s="71">
        <v>494</v>
      </c>
      <c r="N47" s="71">
        <v>531</v>
      </c>
      <c r="O47" s="71">
        <v>594</v>
      </c>
      <c r="P47" s="71">
        <v>638</v>
      </c>
      <c r="Q47" s="71">
        <v>663</v>
      </c>
      <c r="R47" s="71">
        <v>706</v>
      </c>
      <c r="S47" s="71">
        <v>730</v>
      </c>
      <c r="T47" s="71">
        <v>762</v>
      </c>
      <c r="U47" s="71">
        <v>759</v>
      </c>
      <c r="V47" s="71">
        <v>770</v>
      </c>
      <c r="W47" s="71">
        <v>780</v>
      </c>
      <c r="X47" s="71">
        <v>794</v>
      </c>
      <c r="Y47" s="71">
        <v>768</v>
      </c>
      <c r="Z47" s="71">
        <v>721</v>
      </c>
      <c r="AA47" s="71">
        <v>711</v>
      </c>
      <c r="AB47" s="71">
        <v>729</v>
      </c>
      <c r="AC47" s="71">
        <v>782</v>
      </c>
      <c r="AD47" s="71">
        <v>789</v>
      </c>
      <c r="AE47" s="159">
        <v>769</v>
      </c>
    </row>
    <row r="48" spans="1:32" s="11" customFormat="1" ht="15" customHeight="1" thickBot="1" x14ac:dyDescent="0.3">
      <c r="A48" s="160" t="s">
        <v>60</v>
      </c>
      <c r="B48" s="19" t="s">
        <v>61</v>
      </c>
      <c r="C48" s="64">
        <v>49</v>
      </c>
      <c r="D48" s="64">
        <v>52</v>
      </c>
      <c r="E48" s="64">
        <v>56</v>
      </c>
      <c r="F48" s="64">
        <v>58</v>
      </c>
      <c r="G48" s="64">
        <v>61</v>
      </c>
      <c r="H48" s="64">
        <v>53</v>
      </c>
      <c r="I48" s="64">
        <v>49</v>
      </c>
      <c r="J48" s="64">
        <v>53</v>
      </c>
      <c r="K48" s="64">
        <v>55</v>
      </c>
      <c r="L48" s="64">
        <v>57</v>
      </c>
      <c r="M48" s="64">
        <v>61</v>
      </c>
      <c r="N48" s="64">
        <v>75</v>
      </c>
      <c r="O48" s="64">
        <v>83</v>
      </c>
      <c r="P48" s="64">
        <v>86</v>
      </c>
      <c r="Q48" s="64">
        <v>100</v>
      </c>
      <c r="R48" s="64">
        <v>98</v>
      </c>
      <c r="S48" s="64">
        <v>107</v>
      </c>
      <c r="T48" s="64">
        <v>101</v>
      </c>
      <c r="U48" s="64">
        <v>110</v>
      </c>
      <c r="V48" s="64">
        <v>115</v>
      </c>
      <c r="W48" s="64">
        <v>114</v>
      </c>
      <c r="X48" s="64">
        <v>102</v>
      </c>
      <c r="Y48" s="64">
        <v>106</v>
      </c>
      <c r="Z48" s="64">
        <v>109</v>
      </c>
      <c r="AA48" s="64">
        <v>95</v>
      </c>
      <c r="AB48" s="64">
        <v>98</v>
      </c>
      <c r="AC48" s="64">
        <v>114</v>
      </c>
      <c r="AD48" s="64">
        <v>111</v>
      </c>
      <c r="AE48" s="145">
        <v>100</v>
      </c>
      <c r="AF48" s="10"/>
    </row>
    <row r="49" spans="1:32" ht="15" customHeight="1" thickBot="1" x14ac:dyDescent="0.3">
      <c r="A49" s="150">
        <v>55</v>
      </c>
      <c r="B49" s="14" t="s">
        <v>62</v>
      </c>
      <c r="C49" s="67">
        <v>49</v>
      </c>
      <c r="D49" s="67">
        <v>52</v>
      </c>
      <c r="E49" s="67">
        <v>56</v>
      </c>
      <c r="F49" s="67">
        <v>58</v>
      </c>
      <c r="G49" s="67">
        <v>61</v>
      </c>
      <c r="H49" s="67">
        <v>53</v>
      </c>
      <c r="I49" s="67">
        <v>49</v>
      </c>
      <c r="J49" s="67">
        <v>53</v>
      </c>
      <c r="K49" s="67">
        <v>55</v>
      </c>
      <c r="L49" s="67">
        <v>57</v>
      </c>
      <c r="M49" s="67">
        <v>61</v>
      </c>
      <c r="N49" s="67">
        <v>75</v>
      </c>
      <c r="O49" s="67">
        <v>83</v>
      </c>
      <c r="P49" s="67">
        <v>86</v>
      </c>
      <c r="Q49" s="67">
        <v>100</v>
      </c>
      <c r="R49" s="67">
        <v>98</v>
      </c>
      <c r="S49" s="67">
        <v>107</v>
      </c>
      <c r="T49" s="67">
        <v>101</v>
      </c>
      <c r="U49" s="67">
        <v>110</v>
      </c>
      <c r="V49" s="67">
        <v>115</v>
      </c>
      <c r="W49" s="67">
        <v>114</v>
      </c>
      <c r="X49" s="67">
        <v>102</v>
      </c>
      <c r="Y49" s="67">
        <v>106</v>
      </c>
      <c r="Z49" s="67">
        <v>109</v>
      </c>
      <c r="AA49" s="67">
        <v>95</v>
      </c>
      <c r="AB49" s="67">
        <v>98</v>
      </c>
      <c r="AC49" s="67">
        <v>114</v>
      </c>
      <c r="AD49" s="67">
        <v>111</v>
      </c>
      <c r="AE49" s="151">
        <v>100</v>
      </c>
    </row>
    <row r="50" spans="1:32" s="11" customFormat="1" ht="15" customHeight="1" thickBot="1" x14ac:dyDescent="0.3">
      <c r="A50" s="144" t="s">
        <v>63</v>
      </c>
      <c r="B50" s="9" t="s">
        <v>64</v>
      </c>
      <c r="C50" s="64">
        <v>83</v>
      </c>
      <c r="D50" s="64">
        <v>85</v>
      </c>
      <c r="E50" s="64">
        <v>83</v>
      </c>
      <c r="F50" s="64">
        <v>97</v>
      </c>
      <c r="G50" s="64">
        <v>103</v>
      </c>
      <c r="H50" s="64">
        <v>93</v>
      </c>
      <c r="I50" s="64">
        <v>92</v>
      </c>
      <c r="J50" s="64">
        <v>93</v>
      </c>
      <c r="K50" s="64">
        <v>91</v>
      </c>
      <c r="L50" s="64">
        <v>118</v>
      </c>
      <c r="M50" s="64">
        <v>128</v>
      </c>
      <c r="N50" s="64">
        <v>140</v>
      </c>
      <c r="O50" s="64">
        <v>154</v>
      </c>
      <c r="P50" s="64">
        <v>157</v>
      </c>
      <c r="Q50" s="64">
        <v>176</v>
      </c>
      <c r="R50" s="64">
        <v>166</v>
      </c>
      <c r="S50" s="64">
        <v>162</v>
      </c>
      <c r="T50" s="64">
        <v>166</v>
      </c>
      <c r="U50" s="64">
        <v>172</v>
      </c>
      <c r="V50" s="64">
        <v>166</v>
      </c>
      <c r="W50" s="64">
        <v>168</v>
      </c>
      <c r="X50" s="64">
        <v>172</v>
      </c>
      <c r="Y50" s="64">
        <v>164</v>
      </c>
      <c r="Z50" s="64">
        <v>158</v>
      </c>
      <c r="AA50" s="64">
        <v>149</v>
      </c>
      <c r="AB50" s="64">
        <v>146</v>
      </c>
      <c r="AC50" s="64">
        <v>152</v>
      </c>
      <c r="AD50" s="64">
        <v>140</v>
      </c>
      <c r="AE50" s="145">
        <v>134</v>
      </c>
      <c r="AF50" s="10"/>
    </row>
    <row r="51" spans="1:32" ht="15" customHeight="1" x14ac:dyDescent="0.25">
      <c r="A51" s="152">
        <v>60</v>
      </c>
      <c r="B51" s="15" t="s">
        <v>65</v>
      </c>
      <c r="C51" s="68">
        <v>50</v>
      </c>
      <c r="D51" s="68">
        <v>46</v>
      </c>
      <c r="E51" s="68">
        <v>42</v>
      </c>
      <c r="F51" s="68">
        <v>49</v>
      </c>
      <c r="G51" s="68">
        <v>55</v>
      </c>
      <c r="H51" s="68">
        <v>40</v>
      </c>
      <c r="I51" s="68">
        <v>40</v>
      </c>
      <c r="J51" s="68">
        <v>40</v>
      </c>
      <c r="K51" s="68">
        <v>43</v>
      </c>
      <c r="L51" s="68">
        <v>61</v>
      </c>
      <c r="M51" s="68">
        <v>74</v>
      </c>
      <c r="N51" s="68">
        <v>78</v>
      </c>
      <c r="O51" s="68">
        <v>89</v>
      </c>
      <c r="P51" s="68">
        <v>98</v>
      </c>
      <c r="Q51" s="68">
        <v>112</v>
      </c>
      <c r="R51" s="68">
        <v>103</v>
      </c>
      <c r="S51" s="68">
        <v>97</v>
      </c>
      <c r="T51" s="68">
        <v>99</v>
      </c>
      <c r="U51" s="68">
        <v>106</v>
      </c>
      <c r="V51" s="68">
        <v>97</v>
      </c>
      <c r="W51" s="68">
        <v>92</v>
      </c>
      <c r="X51" s="68">
        <v>93</v>
      </c>
      <c r="Y51" s="68">
        <v>89</v>
      </c>
      <c r="Z51" s="68">
        <v>86</v>
      </c>
      <c r="AA51" s="68">
        <v>79</v>
      </c>
      <c r="AB51" s="68">
        <v>77</v>
      </c>
      <c r="AC51" s="68">
        <v>84</v>
      </c>
      <c r="AD51" s="68">
        <v>77</v>
      </c>
      <c r="AE51" s="153">
        <v>74</v>
      </c>
    </row>
    <row r="52" spans="1:32" ht="15" customHeight="1" x14ac:dyDescent="0.25">
      <c r="A52" s="161">
        <v>61</v>
      </c>
      <c r="B52" s="20" t="s">
        <v>66</v>
      </c>
      <c r="C52" s="73" t="s">
        <v>383</v>
      </c>
      <c r="D52" s="73" t="s">
        <v>383</v>
      </c>
      <c r="E52" s="73" t="s">
        <v>383</v>
      </c>
      <c r="F52" s="73" t="s">
        <v>383</v>
      </c>
      <c r="G52" s="73" t="s">
        <v>383</v>
      </c>
      <c r="H52" s="73" t="s">
        <v>383</v>
      </c>
      <c r="I52" s="73" t="s">
        <v>383</v>
      </c>
      <c r="J52" s="73" t="s">
        <v>383</v>
      </c>
      <c r="K52" s="73" t="s">
        <v>383</v>
      </c>
      <c r="L52" s="73" t="s">
        <v>383</v>
      </c>
      <c r="M52" s="73" t="s">
        <v>383</v>
      </c>
      <c r="N52" s="73" t="s">
        <v>383</v>
      </c>
      <c r="O52" s="73" t="s">
        <v>383</v>
      </c>
      <c r="P52" s="73" t="s">
        <v>383</v>
      </c>
      <c r="Q52" s="73" t="s">
        <v>383</v>
      </c>
      <c r="R52" s="73" t="s">
        <v>383</v>
      </c>
      <c r="S52" s="73" t="s">
        <v>383</v>
      </c>
      <c r="T52" s="73" t="s">
        <v>383</v>
      </c>
      <c r="U52" s="73" t="s">
        <v>383</v>
      </c>
      <c r="V52" s="73" t="s">
        <v>383</v>
      </c>
      <c r="W52" s="73" t="s">
        <v>383</v>
      </c>
      <c r="X52" s="73" t="s">
        <v>383</v>
      </c>
      <c r="Y52" s="73" t="s">
        <v>383</v>
      </c>
      <c r="Z52" s="73" t="s">
        <v>383</v>
      </c>
      <c r="AA52" s="73" t="s">
        <v>383</v>
      </c>
      <c r="AB52" s="73" t="s">
        <v>383</v>
      </c>
      <c r="AC52" s="73" t="s">
        <v>383</v>
      </c>
      <c r="AD52" s="73" t="s">
        <v>383</v>
      </c>
      <c r="AE52" s="162" t="s">
        <v>383</v>
      </c>
    </row>
    <row r="53" spans="1:32" ht="15" customHeight="1" x14ac:dyDescent="0.25">
      <c r="A53" s="152">
        <v>62</v>
      </c>
      <c r="B53" s="15" t="s">
        <v>67</v>
      </c>
      <c r="C53" s="68" t="s">
        <v>383</v>
      </c>
      <c r="D53" s="68" t="s">
        <v>383</v>
      </c>
      <c r="E53" s="68" t="s">
        <v>383</v>
      </c>
      <c r="F53" s="68" t="s">
        <v>383</v>
      </c>
      <c r="G53" s="68" t="s">
        <v>383</v>
      </c>
      <c r="H53" s="68" t="s">
        <v>383</v>
      </c>
      <c r="I53" s="68" t="s">
        <v>383</v>
      </c>
      <c r="J53" s="68" t="s">
        <v>383</v>
      </c>
      <c r="K53" s="68" t="s">
        <v>383</v>
      </c>
      <c r="L53" s="68" t="s">
        <v>383</v>
      </c>
      <c r="M53" s="68" t="s">
        <v>383</v>
      </c>
      <c r="N53" s="68" t="s">
        <v>383</v>
      </c>
      <c r="O53" s="68" t="s">
        <v>383</v>
      </c>
      <c r="P53" s="68" t="s">
        <v>383</v>
      </c>
      <c r="Q53" s="68" t="s">
        <v>383</v>
      </c>
      <c r="R53" s="68" t="s">
        <v>383</v>
      </c>
      <c r="S53" s="68" t="s">
        <v>383</v>
      </c>
      <c r="T53" s="68" t="s">
        <v>383</v>
      </c>
      <c r="U53" s="68" t="s">
        <v>383</v>
      </c>
      <c r="V53" s="68" t="s">
        <v>383</v>
      </c>
      <c r="W53" s="68" t="s">
        <v>383</v>
      </c>
      <c r="X53" s="68" t="s">
        <v>383</v>
      </c>
      <c r="Y53" s="68" t="s">
        <v>383</v>
      </c>
      <c r="Z53" s="68" t="s">
        <v>383</v>
      </c>
      <c r="AA53" s="68" t="s">
        <v>383</v>
      </c>
      <c r="AB53" s="68" t="s">
        <v>383</v>
      </c>
      <c r="AC53" s="68" t="s">
        <v>383</v>
      </c>
      <c r="AD53" s="68" t="s">
        <v>383</v>
      </c>
      <c r="AE53" s="153" t="s">
        <v>383</v>
      </c>
    </row>
    <row r="54" spans="1:32" ht="15" customHeight="1" x14ac:dyDescent="0.25">
      <c r="A54" s="163">
        <v>63</v>
      </c>
      <c r="B54" s="21" t="s">
        <v>68</v>
      </c>
      <c r="C54" s="74">
        <v>10</v>
      </c>
      <c r="D54" s="74">
        <v>12</v>
      </c>
      <c r="E54" s="74">
        <v>12</v>
      </c>
      <c r="F54" s="74">
        <v>12</v>
      </c>
      <c r="G54" s="74">
        <v>14</v>
      </c>
      <c r="H54" s="74">
        <v>17</v>
      </c>
      <c r="I54" s="74">
        <v>15</v>
      </c>
      <c r="J54" s="74">
        <v>17</v>
      </c>
      <c r="K54" s="74">
        <v>17</v>
      </c>
      <c r="L54" s="74">
        <v>23</v>
      </c>
      <c r="M54" s="74">
        <v>19</v>
      </c>
      <c r="N54" s="74">
        <v>23</v>
      </c>
      <c r="O54" s="74">
        <v>26</v>
      </c>
      <c r="P54" s="74">
        <v>25</v>
      </c>
      <c r="Q54" s="74">
        <v>30</v>
      </c>
      <c r="R54" s="74">
        <v>31</v>
      </c>
      <c r="S54" s="74">
        <v>33</v>
      </c>
      <c r="T54" s="74">
        <v>34</v>
      </c>
      <c r="U54" s="74">
        <v>32</v>
      </c>
      <c r="V54" s="74">
        <v>34</v>
      </c>
      <c r="W54" s="74">
        <v>38</v>
      </c>
      <c r="X54" s="74">
        <v>38</v>
      </c>
      <c r="Y54" s="74">
        <v>37</v>
      </c>
      <c r="Z54" s="74">
        <v>35</v>
      </c>
      <c r="AA54" s="74">
        <v>32</v>
      </c>
      <c r="AB54" s="74">
        <v>30</v>
      </c>
      <c r="AC54" s="74">
        <v>33</v>
      </c>
      <c r="AD54" s="74">
        <v>28</v>
      </c>
      <c r="AE54" s="164">
        <v>27</v>
      </c>
    </row>
    <row r="55" spans="1:32" ht="15" customHeight="1" thickBot="1" x14ac:dyDescent="0.3">
      <c r="A55" s="152">
        <v>64</v>
      </c>
      <c r="B55" s="15" t="s">
        <v>99</v>
      </c>
      <c r="C55" s="68">
        <v>19</v>
      </c>
      <c r="D55" s="68">
        <v>24</v>
      </c>
      <c r="E55" s="68">
        <v>26</v>
      </c>
      <c r="F55" s="68">
        <v>33</v>
      </c>
      <c r="G55" s="68">
        <v>32</v>
      </c>
      <c r="H55" s="68">
        <v>34</v>
      </c>
      <c r="I55" s="68">
        <v>34</v>
      </c>
      <c r="J55" s="68">
        <v>33</v>
      </c>
      <c r="K55" s="68">
        <v>28</v>
      </c>
      <c r="L55" s="68">
        <v>28</v>
      </c>
      <c r="M55" s="68">
        <v>31</v>
      </c>
      <c r="N55" s="68">
        <v>36</v>
      </c>
      <c r="O55" s="68">
        <v>36</v>
      </c>
      <c r="P55" s="68">
        <v>32</v>
      </c>
      <c r="Q55" s="68">
        <v>31</v>
      </c>
      <c r="R55" s="68">
        <v>28</v>
      </c>
      <c r="S55" s="68">
        <v>29</v>
      </c>
      <c r="T55" s="68">
        <v>29</v>
      </c>
      <c r="U55" s="68">
        <v>29</v>
      </c>
      <c r="V55" s="68">
        <v>29</v>
      </c>
      <c r="W55" s="68">
        <v>32</v>
      </c>
      <c r="X55" s="68">
        <v>35</v>
      </c>
      <c r="Y55" s="68">
        <v>33</v>
      </c>
      <c r="Z55" s="68">
        <v>32</v>
      </c>
      <c r="AA55" s="68">
        <v>33</v>
      </c>
      <c r="AB55" s="68">
        <v>35</v>
      </c>
      <c r="AC55" s="68">
        <v>31</v>
      </c>
      <c r="AD55" s="68">
        <v>32</v>
      </c>
      <c r="AE55" s="153">
        <v>30</v>
      </c>
    </row>
    <row r="56" spans="1:32" s="11" customFormat="1" ht="15" customHeight="1" thickBot="1" x14ac:dyDescent="0.3">
      <c r="A56" s="144" t="s">
        <v>70</v>
      </c>
      <c r="B56" s="9" t="s">
        <v>71</v>
      </c>
      <c r="C56" s="64">
        <v>35</v>
      </c>
      <c r="D56" s="64">
        <v>35</v>
      </c>
      <c r="E56" s="64">
        <v>46</v>
      </c>
      <c r="F56" s="64">
        <v>47</v>
      </c>
      <c r="G56" s="64">
        <v>47</v>
      </c>
      <c r="H56" s="64">
        <v>46</v>
      </c>
      <c r="I56" s="64">
        <v>40</v>
      </c>
      <c r="J56" s="64">
        <v>46</v>
      </c>
      <c r="K56" s="64">
        <v>44</v>
      </c>
      <c r="L56" s="64">
        <v>49</v>
      </c>
      <c r="M56" s="64">
        <v>49</v>
      </c>
      <c r="N56" s="64">
        <v>57</v>
      </c>
      <c r="O56" s="64">
        <v>59</v>
      </c>
      <c r="P56" s="64">
        <v>54</v>
      </c>
      <c r="Q56" s="64">
        <v>56</v>
      </c>
      <c r="R56" s="64">
        <v>55</v>
      </c>
      <c r="S56" s="64">
        <v>58</v>
      </c>
      <c r="T56" s="64">
        <v>58</v>
      </c>
      <c r="U56" s="64">
        <v>51</v>
      </c>
      <c r="V56" s="64">
        <v>55</v>
      </c>
      <c r="W56" s="64">
        <v>60</v>
      </c>
      <c r="X56" s="64">
        <v>59</v>
      </c>
      <c r="Y56" s="64">
        <v>56</v>
      </c>
      <c r="Z56" s="64">
        <v>59</v>
      </c>
      <c r="AA56" s="64">
        <v>59</v>
      </c>
      <c r="AB56" s="64">
        <v>55</v>
      </c>
      <c r="AC56" s="64">
        <v>55</v>
      </c>
      <c r="AD56" s="64">
        <v>55</v>
      </c>
      <c r="AE56" s="145">
        <v>53</v>
      </c>
      <c r="AF56" s="10"/>
    </row>
    <row r="57" spans="1:32" ht="15" customHeight="1" x14ac:dyDescent="0.25">
      <c r="A57" s="152">
        <v>65</v>
      </c>
      <c r="B57" s="15" t="s">
        <v>72</v>
      </c>
      <c r="C57" s="68">
        <v>15</v>
      </c>
      <c r="D57" s="68">
        <v>17</v>
      </c>
      <c r="E57" s="68">
        <v>22</v>
      </c>
      <c r="F57" s="68">
        <v>20</v>
      </c>
      <c r="G57" s="68">
        <v>22</v>
      </c>
      <c r="H57" s="68">
        <v>18</v>
      </c>
      <c r="I57" s="68">
        <v>16</v>
      </c>
      <c r="J57" s="68">
        <v>19</v>
      </c>
      <c r="K57" s="68">
        <v>17</v>
      </c>
      <c r="L57" s="68">
        <v>18</v>
      </c>
      <c r="M57" s="68">
        <v>19</v>
      </c>
      <c r="N57" s="68">
        <v>23</v>
      </c>
      <c r="O57" s="68">
        <v>29</v>
      </c>
      <c r="P57" s="68">
        <v>24</v>
      </c>
      <c r="Q57" s="68">
        <v>22</v>
      </c>
      <c r="R57" s="68">
        <v>24</v>
      </c>
      <c r="S57" s="68">
        <v>29</v>
      </c>
      <c r="T57" s="68">
        <v>29</v>
      </c>
      <c r="U57" s="68">
        <v>26</v>
      </c>
      <c r="V57" s="68">
        <v>26</v>
      </c>
      <c r="W57" s="68">
        <v>27</v>
      </c>
      <c r="X57" s="68">
        <v>25</v>
      </c>
      <c r="Y57" s="68">
        <v>23</v>
      </c>
      <c r="Z57" s="68">
        <v>23</v>
      </c>
      <c r="AA57" s="68">
        <v>21</v>
      </c>
      <c r="AB57" s="68">
        <v>21</v>
      </c>
      <c r="AC57" s="68">
        <v>20</v>
      </c>
      <c r="AD57" s="68">
        <v>19</v>
      </c>
      <c r="AE57" s="153">
        <v>20</v>
      </c>
    </row>
    <row r="58" spans="1:32" ht="15" customHeight="1" x14ac:dyDescent="0.25">
      <c r="A58" s="156">
        <v>66</v>
      </c>
      <c r="B58" s="17" t="s">
        <v>100</v>
      </c>
      <c r="C58" s="70">
        <v>12</v>
      </c>
      <c r="D58" s="70">
        <v>13</v>
      </c>
      <c r="E58" s="70">
        <v>18</v>
      </c>
      <c r="F58" s="70">
        <v>22</v>
      </c>
      <c r="G58" s="70" t="s">
        <v>383</v>
      </c>
      <c r="H58" s="70">
        <v>23</v>
      </c>
      <c r="I58" s="70">
        <v>19</v>
      </c>
      <c r="J58" s="70">
        <v>22</v>
      </c>
      <c r="K58" s="70">
        <v>21</v>
      </c>
      <c r="L58" s="70">
        <v>25</v>
      </c>
      <c r="M58" s="70">
        <v>25</v>
      </c>
      <c r="N58" s="70">
        <v>27</v>
      </c>
      <c r="O58" s="70">
        <v>23</v>
      </c>
      <c r="P58" s="70">
        <v>16</v>
      </c>
      <c r="Q58" s="70">
        <v>17</v>
      </c>
      <c r="R58" s="70">
        <v>16</v>
      </c>
      <c r="S58" s="70">
        <v>15</v>
      </c>
      <c r="T58" s="70">
        <v>16</v>
      </c>
      <c r="U58" s="70">
        <v>14</v>
      </c>
      <c r="V58" s="70">
        <v>15</v>
      </c>
      <c r="W58" s="70">
        <v>17</v>
      </c>
      <c r="X58" s="70">
        <v>16</v>
      </c>
      <c r="Y58" s="70">
        <v>17</v>
      </c>
      <c r="Z58" s="70">
        <v>16</v>
      </c>
      <c r="AA58" s="70">
        <v>18</v>
      </c>
      <c r="AB58" s="70">
        <v>16</v>
      </c>
      <c r="AC58" s="70">
        <v>15</v>
      </c>
      <c r="AD58" s="70">
        <v>16</v>
      </c>
      <c r="AE58" s="157">
        <v>15</v>
      </c>
    </row>
    <row r="59" spans="1:32" ht="15" customHeight="1" thickBot="1" x14ac:dyDescent="0.3">
      <c r="A59" s="152">
        <v>67</v>
      </c>
      <c r="B59" s="15" t="s">
        <v>74</v>
      </c>
      <c r="C59" s="68">
        <v>8</v>
      </c>
      <c r="D59" s="68">
        <v>5</v>
      </c>
      <c r="E59" s="68">
        <v>6</v>
      </c>
      <c r="F59" s="68">
        <v>5</v>
      </c>
      <c r="G59" s="68" t="s">
        <v>383</v>
      </c>
      <c r="H59" s="68">
        <v>5</v>
      </c>
      <c r="I59" s="68">
        <v>5</v>
      </c>
      <c r="J59" s="68">
        <v>5</v>
      </c>
      <c r="K59" s="68">
        <v>6</v>
      </c>
      <c r="L59" s="68">
        <v>6</v>
      </c>
      <c r="M59" s="68">
        <v>5</v>
      </c>
      <c r="N59" s="68">
        <v>7</v>
      </c>
      <c r="O59" s="68">
        <v>7</v>
      </c>
      <c r="P59" s="68">
        <v>14</v>
      </c>
      <c r="Q59" s="68">
        <v>17</v>
      </c>
      <c r="R59" s="68">
        <v>15</v>
      </c>
      <c r="S59" s="68">
        <v>14</v>
      </c>
      <c r="T59" s="68">
        <v>13</v>
      </c>
      <c r="U59" s="68">
        <v>11</v>
      </c>
      <c r="V59" s="68">
        <v>14</v>
      </c>
      <c r="W59" s="68">
        <v>16</v>
      </c>
      <c r="X59" s="68">
        <v>18</v>
      </c>
      <c r="Y59" s="68">
        <v>16</v>
      </c>
      <c r="Z59" s="68">
        <v>20</v>
      </c>
      <c r="AA59" s="68">
        <v>20</v>
      </c>
      <c r="AB59" s="68">
        <v>18</v>
      </c>
      <c r="AC59" s="68">
        <v>20</v>
      </c>
      <c r="AD59" s="68">
        <v>20</v>
      </c>
      <c r="AE59" s="153">
        <v>18</v>
      </c>
    </row>
    <row r="60" spans="1:32" s="11" customFormat="1" ht="15" customHeight="1" thickBot="1" x14ac:dyDescent="0.3">
      <c r="A60" s="144" t="s">
        <v>75</v>
      </c>
      <c r="B60" s="9" t="s">
        <v>76</v>
      </c>
      <c r="C60" s="64">
        <v>260</v>
      </c>
      <c r="D60" s="64">
        <v>238</v>
      </c>
      <c r="E60" s="64">
        <v>246</v>
      </c>
      <c r="F60" s="64">
        <v>270</v>
      </c>
      <c r="G60" s="64">
        <v>288</v>
      </c>
      <c r="H60" s="64">
        <v>290</v>
      </c>
      <c r="I60" s="64">
        <v>265</v>
      </c>
      <c r="J60" s="64">
        <v>292</v>
      </c>
      <c r="K60" s="64">
        <v>304</v>
      </c>
      <c r="L60" s="64">
        <v>330</v>
      </c>
      <c r="M60" s="64">
        <v>350</v>
      </c>
      <c r="N60" s="64">
        <v>357</v>
      </c>
      <c r="O60" s="64">
        <v>358</v>
      </c>
      <c r="P60" s="64">
        <v>351</v>
      </c>
      <c r="Q60" s="64">
        <v>369</v>
      </c>
      <c r="R60" s="64">
        <v>351</v>
      </c>
      <c r="S60" s="64">
        <v>328</v>
      </c>
      <c r="T60" s="64">
        <v>320</v>
      </c>
      <c r="U60" s="64">
        <v>328</v>
      </c>
      <c r="V60" s="64">
        <v>322</v>
      </c>
      <c r="W60" s="64">
        <v>318</v>
      </c>
      <c r="X60" s="64">
        <v>307</v>
      </c>
      <c r="Y60" s="64">
        <v>287</v>
      </c>
      <c r="Z60" s="64">
        <v>265</v>
      </c>
      <c r="AA60" s="64">
        <v>251</v>
      </c>
      <c r="AB60" s="64">
        <v>251</v>
      </c>
      <c r="AC60" s="64">
        <v>264</v>
      </c>
      <c r="AD60" s="64">
        <v>268</v>
      </c>
      <c r="AE60" s="145">
        <v>251</v>
      </c>
      <c r="AF60" s="10"/>
    </row>
    <row r="61" spans="1:32" ht="15" customHeight="1" x14ac:dyDescent="0.25">
      <c r="A61" s="146">
        <v>70</v>
      </c>
      <c r="B61" s="12" t="s">
        <v>77</v>
      </c>
      <c r="C61" s="65">
        <v>100</v>
      </c>
      <c r="D61" s="65">
        <v>86</v>
      </c>
      <c r="E61" s="65">
        <v>85</v>
      </c>
      <c r="F61" s="65">
        <v>100</v>
      </c>
      <c r="G61" s="65">
        <v>107</v>
      </c>
      <c r="H61" s="65">
        <v>102</v>
      </c>
      <c r="I61" s="65">
        <v>97</v>
      </c>
      <c r="J61" s="65">
        <v>105</v>
      </c>
      <c r="K61" s="65">
        <v>105</v>
      </c>
      <c r="L61" s="65">
        <v>111</v>
      </c>
      <c r="M61" s="65">
        <v>117</v>
      </c>
      <c r="N61" s="65">
        <v>117</v>
      </c>
      <c r="O61" s="65">
        <v>114</v>
      </c>
      <c r="P61" s="65">
        <v>114</v>
      </c>
      <c r="Q61" s="65">
        <v>109</v>
      </c>
      <c r="R61" s="65">
        <v>107</v>
      </c>
      <c r="S61" s="65">
        <v>99</v>
      </c>
      <c r="T61" s="65">
        <v>94</v>
      </c>
      <c r="U61" s="65">
        <v>93</v>
      </c>
      <c r="V61" s="65">
        <v>88</v>
      </c>
      <c r="W61" s="65">
        <v>88</v>
      </c>
      <c r="X61" s="65">
        <v>94</v>
      </c>
      <c r="Y61" s="65">
        <v>86</v>
      </c>
      <c r="Z61" s="65">
        <v>76</v>
      </c>
      <c r="AA61" s="65">
        <v>71</v>
      </c>
      <c r="AB61" s="65">
        <v>66</v>
      </c>
      <c r="AC61" s="65">
        <v>65</v>
      </c>
      <c r="AD61" s="65">
        <v>65</v>
      </c>
      <c r="AE61" s="147">
        <v>60</v>
      </c>
    </row>
    <row r="62" spans="1:32" ht="15" customHeight="1" x14ac:dyDescent="0.25">
      <c r="A62" s="156">
        <v>71</v>
      </c>
      <c r="B62" s="17" t="s">
        <v>78</v>
      </c>
      <c r="C62" s="70">
        <v>11</v>
      </c>
      <c r="D62" s="70">
        <v>7</v>
      </c>
      <c r="E62" s="70">
        <v>7</v>
      </c>
      <c r="F62" s="70">
        <v>7</v>
      </c>
      <c r="G62" s="70">
        <v>9</v>
      </c>
      <c r="H62" s="70">
        <v>10</v>
      </c>
      <c r="I62" s="70">
        <v>9</v>
      </c>
      <c r="J62" s="70">
        <v>11</v>
      </c>
      <c r="K62" s="70">
        <v>8</v>
      </c>
      <c r="L62" s="70">
        <v>8</v>
      </c>
      <c r="M62" s="70">
        <v>10</v>
      </c>
      <c r="N62" s="70">
        <v>13</v>
      </c>
      <c r="O62" s="70">
        <v>13</v>
      </c>
      <c r="P62" s="70">
        <v>12</v>
      </c>
      <c r="Q62" s="70" t="s">
        <v>383</v>
      </c>
      <c r="R62" s="70" t="s">
        <v>383</v>
      </c>
      <c r="S62" s="70">
        <v>13</v>
      </c>
      <c r="T62" s="70">
        <v>12</v>
      </c>
      <c r="U62" s="70">
        <v>12</v>
      </c>
      <c r="V62" s="70">
        <v>12</v>
      </c>
      <c r="W62" s="70">
        <v>10</v>
      </c>
      <c r="X62" s="70">
        <v>8</v>
      </c>
      <c r="Y62" s="70">
        <v>7</v>
      </c>
      <c r="Z62" s="70" t="s">
        <v>383</v>
      </c>
      <c r="AA62" s="70" t="s">
        <v>383</v>
      </c>
      <c r="AB62" s="70" t="s">
        <v>383</v>
      </c>
      <c r="AC62" s="70" t="s">
        <v>383</v>
      </c>
      <c r="AD62" s="70" t="s">
        <v>383</v>
      </c>
      <c r="AE62" s="157" t="s">
        <v>383</v>
      </c>
    </row>
    <row r="63" spans="1:32" ht="15" customHeight="1" x14ac:dyDescent="0.25">
      <c r="A63" s="156">
        <v>72</v>
      </c>
      <c r="B63" s="17" t="s">
        <v>79</v>
      </c>
      <c r="C63" s="70" t="s">
        <v>383</v>
      </c>
      <c r="D63" s="70" t="s">
        <v>383</v>
      </c>
      <c r="E63" s="70" t="s">
        <v>383</v>
      </c>
      <c r="F63" s="70" t="s">
        <v>383</v>
      </c>
      <c r="G63" s="70">
        <v>8</v>
      </c>
      <c r="H63" s="70" t="s">
        <v>383</v>
      </c>
      <c r="I63" s="70" t="s">
        <v>383</v>
      </c>
      <c r="J63" s="70" t="s">
        <v>383</v>
      </c>
      <c r="K63" s="70" t="s">
        <v>383</v>
      </c>
      <c r="L63" s="70" t="s">
        <v>383</v>
      </c>
      <c r="M63" s="70" t="s">
        <v>383</v>
      </c>
      <c r="N63" s="70" t="s">
        <v>383</v>
      </c>
      <c r="O63" s="70" t="s">
        <v>383</v>
      </c>
      <c r="P63" s="70" t="s">
        <v>383</v>
      </c>
      <c r="Q63" s="70">
        <v>11</v>
      </c>
      <c r="R63" s="70">
        <v>12</v>
      </c>
      <c r="S63" s="70" t="s">
        <v>383</v>
      </c>
      <c r="T63" s="70" t="s">
        <v>383</v>
      </c>
      <c r="U63" s="70" t="s">
        <v>383</v>
      </c>
      <c r="V63" s="70" t="s">
        <v>383</v>
      </c>
      <c r="W63" s="70" t="s">
        <v>383</v>
      </c>
      <c r="X63" s="70" t="s">
        <v>383</v>
      </c>
      <c r="Y63" s="70" t="s">
        <v>383</v>
      </c>
      <c r="Z63" s="70">
        <v>7</v>
      </c>
      <c r="AA63" s="70">
        <v>9</v>
      </c>
      <c r="AB63" s="70">
        <v>14</v>
      </c>
      <c r="AC63" s="70">
        <v>18</v>
      </c>
      <c r="AD63" s="70">
        <v>20</v>
      </c>
      <c r="AE63" s="157">
        <v>20</v>
      </c>
    </row>
    <row r="64" spans="1:32" ht="15" customHeight="1" x14ac:dyDescent="0.25">
      <c r="A64" s="156">
        <v>73</v>
      </c>
      <c r="B64" s="17" t="s">
        <v>80</v>
      </c>
      <c r="C64" s="70" t="s">
        <v>383</v>
      </c>
      <c r="D64" s="70" t="s">
        <v>383</v>
      </c>
      <c r="E64" s="70" t="s">
        <v>383</v>
      </c>
      <c r="F64" s="70" t="s">
        <v>383</v>
      </c>
      <c r="G64" s="70" t="s">
        <v>383</v>
      </c>
      <c r="H64" s="70" t="s">
        <v>383</v>
      </c>
      <c r="I64" s="70" t="s">
        <v>383</v>
      </c>
      <c r="J64" s="70" t="s">
        <v>383</v>
      </c>
      <c r="K64" s="70" t="s">
        <v>383</v>
      </c>
      <c r="L64" s="70" t="s">
        <v>383</v>
      </c>
      <c r="M64" s="70" t="s">
        <v>383</v>
      </c>
      <c r="N64" s="70" t="s">
        <v>383</v>
      </c>
      <c r="O64" s="70" t="s">
        <v>383</v>
      </c>
      <c r="P64" s="70" t="s">
        <v>383</v>
      </c>
      <c r="Q64" s="70" t="s">
        <v>383</v>
      </c>
      <c r="R64" s="70" t="s">
        <v>383</v>
      </c>
      <c r="S64" s="70" t="s">
        <v>383</v>
      </c>
      <c r="T64" s="70" t="s">
        <v>383</v>
      </c>
      <c r="U64" s="70" t="s">
        <v>383</v>
      </c>
      <c r="V64" s="70" t="s">
        <v>383</v>
      </c>
      <c r="W64" s="70" t="s">
        <v>383</v>
      </c>
      <c r="X64" s="70" t="s">
        <v>383</v>
      </c>
      <c r="Y64" s="70" t="s">
        <v>383</v>
      </c>
      <c r="Z64" s="70" t="s">
        <v>383</v>
      </c>
      <c r="AA64" s="70" t="s">
        <v>383</v>
      </c>
      <c r="AB64" s="70" t="s">
        <v>383</v>
      </c>
      <c r="AC64" s="70" t="s">
        <v>383</v>
      </c>
      <c r="AD64" s="70" t="s">
        <v>383</v>
      </c>
      <c r="AE64" s="157" t="s">
        <v>383</v>
      </c>
    </row>
    <row r="65" spans="1:32" ht="15" customHeight="1" x14ac:dyDescent="0.25">
      <c r="A65" s="156">
        <v>74</v>
      </c>
      <c r="B65" s="17" t="s">
        <v>81</v>
      </c>
      <c r="C65" s="70">
        <v>147</v>
      </c>
      <c r="D65" s="70">
        <v>141</v>
      </c>
      <c r="E65" s="70">
        <v>150</v>
      </c>
      <c r="F65" s="70">
        <v>153</v>
      </c>
      <c r="G65" s="70">
        <v>157</v>
      </c>
      <c r="H65" s="70">
        <v>165</v>
      </c>
      <c r="I65" s="70">
        <v>146</v>
      </c>
      <c r="J65" s="70">
        <v>160</v>
      </c>
      <c r="K65" s="70">
        <v>176</v>
      </c>
      <c r="L65" s="70">
        <v>196</v>
      </c>
      <c r="M65" s="70">
        <v>206</v>
      </c>
      <c r="N65" s="70">
        <v>208</v>
      </c>
      <c r="O65" s="70">
        <v>210</v>
      </c>
      <c r="P65" s="70">
        <v>204</v>
      </c>
      <c r="Q65" s="70">
        <v>222</v>
      </c>
      <c r="R65" s="70">
        <v>206</v>
      </c>
      <c r="S65" s="70">
        <v>195</v>
      </c>
      <c r="T65" s="70">
        <v>193</v>
      </c>
      <c r="U65" s="70">
        <v>202</v>
      </c>
      <c r="V65" s="70">
        <v>203</v>
      </c>
      <c r="W65" s="70">
        <v>203</v>
      </c>
      <c r="X65" s="70">
        <v>190</v>
      </c>
      <c r="Y65" s="70">
        <v>179</v>
      </c>
      <c r="Z65" s="70">
        <v>169</v>
      </c>
      <c r="AA65" s="70">
        <v>159</v>
      </c>
      <c r="AB65" s="70">
        <v>160</v>
      </c>
      <c r="AC65" s="70">
        <v>171</v>
      </c>
      <c r="AD65" s="70">
        <v>171</v>
      </c>
      <c r="AE65" s="157">
        <v>158</v>
      </c>
    </row>
    <row r="66" spans="1:32" ht="15" customHeight="1" thickBot="1" x14ac:dyDescent="0.3">
      <c r="A66" s="158">
        <v>75</v>
      </c>
      <c r="B66" s="18" t="s">
        <v>185</v>
      </c>
      <c r="C66" s="71" t="s">
        <v>383</v>
      </c>
      <c r="D66" s="71" t="s">
        <v>383</v>
      </c>
      <c r="E66" s="71" t="s">
        <v>383</v>
      </c>
      <c r="F66" s="71">
        <v>5</v>
      </c>
      <c r="G66" s="71" t="s">
        <v>383</v>
      </c>
      <c r="H66" s="71">
        <v>8</v>
      </c>
      <c r="I66" s="71">
        <v>6</v>
      </c>
      <c r="J66" s="71">
        <v>7</v>
      </c>
      <c r="K66" s="71">
        <v>7</v>
      </c>
      <c r="L66" s="71">
        <v>7</v>
      </c>
      <c r="M66" s="71">
        <v>8</v>
      </c>
      <c r="N66" s="71">
        <v>10</v>
      </c>
      <c r="O66" s="71">
        <v>9</v>
      </c>
      <c r="P66" s="71">
        <v>7</v>
      </c>
      <c r="Q66" s="71">
        <v>9</v>
      </c>
      <c r="R66" s="71">
        <v>10</v>
      </c>
      <c r="S66" s="71">
        <v>9</v>
      </c>
      <c r="T66" s="71">
        <v>7</v>
      </c>
      <c r="U66" s="71">
        <v>8</v>
      </c>
      <c r="V66" s="71">
        <v>6</v>
      </c>
      <c r="W66" s="71">
        <v>7</v>
      </c>
      <c r="X66" s="71">
        <v>6</v>
      </c>
      <c r="Y66" s="71">
        <v>5</v>
      </c>
      <c r="Z66" s="71">
        <v>6</v>
      </c>
      <c r="AA66" s="71">
        <v>5</v>
      </c>
      <c r="AB66" s="71">
        <v>6</v>
      </c>
      <c r="AC66" s="71">
        <v>5</v>
      </c>
      <c r="AD66" s="71">
        <v>5</v>
      </c>
      <c r="AE66" s="159">
        <v>4</v>
      </c>
    </row>
    <row r="67" spans="1:32" s="11" customFormat="1" ht="15" customHeight="1" thickBot="1" x14ac:dyDescent="0.3">
      <c r="A67" s="160" t="s">
        <v>83</v>
      </c>
      <c r="B67" s="19" t="s">
        <v>84</v>
      </c>
      <c r="C67" s="64">
        <v>28</v>
      </c>
      <c r="D67" s="64">
        <v>27</v>
      </c>
      <c r="E67" s="64">
        <v>26</v>
      </c>
      <c r="F67" s="64">
        <v>28</v>
      </c>
      <c r="G67" s="64">
        <v>25</v>
      </c>
      <c r="H67" s="64">
        <v>24</v>
      </c>
      <c r="I67" s="64">
        <v>26</v>
      </c>
      <c r="J67" s="64">
        <v>26</v>
      </c>
      <c r="K67" s="64">
        <v>27</v>
      </c>
      <c r="L67" s="64">
        <v>25</v>
      </c>
      <c r="M67" s="64">
        <v>26</v>
      </c>
      <c r="N67" s="64">
        <v>30</v>
      </c>
      <c r="O67" s="64">
        <v>30</v>
      </c>
      <c r="P67" s="64">
        <v>31</v>
      </c>
      <c r="Q67" s="64">
        <v>35</v>
      </c>
      <c r="R67" s="64">
        <v>39</v>
      </c>
      <c r="S67" s="64">
        <v>41</v>
      </c>
      <c r="T67" s="64">
        <v>38</v>
      </c>
      <c r="U67" s="64">
        <v>40</v>
      </c>
      <c r="V67" s="64">
        <v>39</v>
      </c>
      <c r="W67" s="64">
        <v>36</v>
      </c>
      <c r="X67" s="64">
        <v>40</v>
      </c>
      <c r="Y67" s="64">
        <v>43</v>
      </c>
      <c r="Z67" s="64">
        <v>42</v>
      </c>
      <c r="AA67" s="64">
        <v>37</v>
      </c>
      <c r="AB67" s="64">
        <v>37</v>
      </c>
      <c r="AC67" s="64">
        <v>42</v>
      </c>
      <c r="AD67" s="64">
        <v>45</v>
      </c>
      <c r="AE67" s="145">
        <v>43</v>
      </c>
      <c r="AF67" s="10"/>
    </row>
    <row r="68" spans="1:32" ht="15" customHeight="1" thickBot="1" x14ac:dyDescent="0.3">
      <c r="A68" s="150">
        <v>80</v>
      </c>
      <c r="B68" s="14" t="s">
        <v>85</v>
      </c>
      <c r="C68" s="70">
        <v>28</v>
      </c>
      <c r="D68" s="67">
        <v>27</v>
      </c>
      <c r="E68" s="67">
        <v>26</v>
      </c>
      <c r="F68" s="67">
        <v>28</v>
      </c>
      <c r="G68" s="67">
        <v>25</v>
      </c>
      <c r="H68" s="67">
        <v>24</v>
      </c>
      <c r="I68" s="67">
        <v>26</v>
      </c>
      <c r="J68" s="67">
        <v>26</v>
      </c>
      <c r="K68" s="67">
        <v>27</v>
      </c>
      <c r="L68" s="67">
        <v>25</v>
      </c>
      <c r="M68" s="67">
        <v>26</v>
      </c>
      <c r="N68" s="67">
        <v>30</v>
      </c>
      <c r="O68" s="67">
        <v>30</v>
      </c>
      <c r="P68" s="67">
        <v>31</v>
      </c>
      <c r="Q68" s="67">
        <v>35</v>
      </c>
      <c r="R68" s="67">
        <v>39</v>
      </c>
      <c r="S68" s="67">
        <v>41</v>
      </c>
      <c r="T68" s="67">
        <v>38</v>
      </c>
      <c r="U68" s="67">
        <v>40</v>
      </c>
      <c r="V68" s="67">
        <v>39</v>
      </c>
      <c r="W68" s="67">
        <v>36</v>
      </c>
      <c r="X68" s="67">
        <v>40</v>
      </c>
      <c r="Y68" s="67">
        <v>43</v>
      </c>
      <c r="Z68" s="67">
        <v>42</v>
      </c>
      <c r="AA68" s="67">
        <v>37</v>
      </c>
      <c r="AB68" s="67">
        <v>37</v>
      </c>
      <c r="AC68" s="67">
        <v>42</v>
      </c>
      <c r="AD68" s="67">
        <v>45</v>
      </c>
      <c r="AE68" s="151">
        <v>43</v>
      </c>
    </row>
    <row r="69" spans="1:32" s="11" customFormat="1" ht="15" customHeight="1" thickBot="1" x14ac:dyDescent="0.3">
      <c r="A69" s="144" t="s">
        <v>86</v>
      </c>
      <c r="B69" s="9" t="s">
        <v>87</v>
      </c>
      <c r="C69" s="64">
        <v>118</v>
      </c>
      <c r="D69" s="64">
        <v>125</v>
      </c>
      <c r="E69" s="64">
        <v>126</v>
      </c>
      <c r="F69" s="64">
        <v>119</v>
      </c>
      <c r="G69" s="64">
        <v>129</v>
      </c>
      <c r="H69" s="64">
        <v>135</v>
      </c>
      <c r="I69" s="64">
        <v>127</v>
      </c>
      <c r="J69" s="64">
        <v>133</v>
      </c>
      <c r="K69" s="64">
        <v>134</v>
      </c>
      <c r="L69" s="64">
        <v>140</v>
      </c>
      <c r="M69" s="64">
        <v>146</v>
      </c>
      <c r="N69" s="64">
        <v>149</v>
      </c>
      <c r="O69" s="64">
        <v>156</v>
      </c>
      <c r="P69" s="64">
        <v>158</v>
      </c>
      <c r="Q69" s="64">
        <v>157</v>
      </c>
      <c r="R69" s="64">
        <v>170</v>
      </c>
      <c r="S69" s="64">
        <v>169</v>
      </c>
      <c r="T69" s="64">
        <v>172</v>
      </c>
      <c r="U69" s="64">
        <v>177</v>
      </c>
      <c r="V69" s="64">
        <v>189</v>
      </c>
      <c r="W69" s="64">
        <v>193</v>
      </c>
      <c r="X69" s="64">
        <v>207</v>
      </c>
      <c r="Y69" s="64">
        <v>207</v>
      </c>
      <c r="Z69" s="64">
        <v>209</v>
      </c>
      <c r="AA69" s="64">
        <v>196</v>
      </c>
      <c r="AB69" s="64">
        <v>189</v>
      </c>
      <c r="AC69" s="64">
        <v>209</v>
      </c>
      <c r="AD69" s="64">
        <v>205</v>
      </c>
      <c r="AE69" s="145">
        <v>188</v>
      </c>
      <c r="AF69" s="10"/>
    </row>
    <row r="70" spans="1:32" ht="15" customHeight="1" thickBot="1" x14ac:dyDescent="0.3">
      <c r="A70" s="150">
        <v>85</v>
      </c>
      <c r="B70" s="14" t="s">
        <v>88</v>
      </c>
      <c r="C70" s="67">
        <v>118</v>
      </c>
      <c r="D70" s="67">
        <v>125</v>
      </c>
      <c r="E70" s="67">
        <v>126</v>
      </c>
      <c r="F70" s="67">
        <v>119</v>
      </c>
      <c r="G70" s="67">
        <v>129</v>
      </c>
      <c r="H70" s="67">
        <v>135</v>
      </c>
      <c r="I70" s="67">
        <v>127</v>
      </c>
      <c r="J70" s="67">
        <v>133</v>
      </c>
      <c r="K70" s="67">
        <v>134</v>
      </c>
      <c r="L70" s="67">
        <v>140</v>
      </c>
      <c r="M70" s="67">
        <v>146</v>
      </c>
      <c r="N70" s="67">
        <v>149</v>
      </c>
      <c r="O70" s="67">
        <v>156</v>
      </c>
      <c r="P70" s="67">
        <v>158</v>
      </c>
      <c r="Q70" s="67">
        <v>157</v>
      </c>
      <c r="R70" s="67">
        <v>170</v>
      </c>
      <c r="S70" s="67">
        <v>169</v>
      </c>
      <c r="T70" s="67">
        <v>172</v>
      </c>
      <c r="U70" s="67">
        <v>177</v>
      </c>
      <c r="V70" s="67">
        <v>189</v>
      </c>
      <c r="W70" s="67">
        <v>193</v>
      </c>
      <c r="X70" s="67">
        <v>207</v>
      </c>
      <c r="Y70" s="67">
        <v>207</v>
      </c>
      <c r="Z70" s="67">
        <v>209</v>
      </c>
      <c r="AA70" s="67">
        <v>196</v>
      </c>
      <c r="AB70" s="67">
        <v>189</v>
      </c>
      <c r="AC70" s="67">
        <v>209</v>
      </c>
      <c r="AD70" s="67">
        <v>205</v>
      </c>
      <c r="AE70" s="151">
        <v>188</v>
      </c>
    </row>
    <row r="71" spans="1:32" s="11" customFormat="1" ht="15" customHeight="1" thickBot="1" x14ac:dyDescent="0.3">
      <c r="A71" s="144" t="s">
        <v>89</v>
      </c>
      <c r="B71" s="9" t="s">
        <v>90</v>
      </c>
      <c r="C71" s="64">
        <v>204</v>
      </c>
      <c r="D71" s="64">
        <v>196</v>
      </c>
      <c r="E71" s="64">
        <v>193</v>
      </c>
      <c r="F71" s="64">
        <v>185</v>
      </c>
      <c r="G71" s="64">
        <v>205</v>
      </c>
      <c r="H71" s="64">
        <v>185</v>
      </c>
      <c r="I71" s="64">
        <v>173</v>
      </c>
      <c r="J71" s="64">
        <v>176</v>
      </c>
      <c r="K71" s="64">
        <v>185</v>
      </c>
      <c r="L71" s="64">
        <v>205</v>
      </c>
      <c r="M71" s="64">
        <v>220</v>
      </c>
      <c r="N71" s="64">
        <v>233</v>
      </c>
      <c r="O71" s="64">
        <v>245</v>
      </c>
      <c r="P71" s="64">
        <v>252</v>
      </c>
      <c r="Q71" s="64">
        <v>252</v>
      </c>
      <c r="R71" s="64">
        <v>260</v>
      </c>
      <c r="S71" s="64">
        <v>250</v>
      </c>
      <c r="T71" s="64">
        <v>255</v>
      </c>
      <c r="U71" s="64">
        <v>243</v>
      </c>
      <c r="V71" s="64">
        <v>243</v>
      </c>
      <c r="W71" s="64">
        <v>253</v>
      </c>
      <c r="X71" s="64">
        <v>244</v>
      </c>
      <c r="Y71" s="64">
        <v>249</v>
      </c>
      <c r="Z71" s="64">
        <v>240</v>
      </c>
      <c r="AA71" s="64">
        <v>230</v>
      </c>
      <c r="AB71" s="64">
        <v>214</v>
      </c>
      <c r="AC71" s="64">
        <v>227</v>
      </c>
      <c r="AD71" s="64">
        <v>228</v>
      </c>
      <c r="AE71" s="145">
        <v>217</v>
      </c>
      <c r="AF71" s="10"/>
    </row>
    <row r="72" spans="1:32" ht="15" customHeight="1" x14ac:dyDescent="0.25">
      <c r="A72" s="146">
        <v>90</v>
      </c>
      <c r="B72" s="12" t="s">
        <v>91</v>
      </c>
      <c r="C72" s="65" t="s">
        <v>383</v>
      </c>
      <c r="D72" s="65" t="s">
        <v>383</v>
      </c>
      <c r="E72" s="65">
        <v>4</v>
      </c>
      <c r="F72" s="65" t="s">
        <v>383</v>
      </c>
      <c r="G72" s="65" t="s">
        <v>383</v>
      </c>
      <c r="H72" s="65" t="s">
        <v>383</v>
      </c>
      <c r="I72" s="65" t="s">
        <v>383</v>
      </c>
      <c r="J72" s="65" t="s">
        <v>383</v>
      </c>
      <c r="K72" s="65">
        <v>4</v>
      </c>
      <c r="L72" s="65" t="s">
        <v>383</v>
      </c>
      <c r="M72" s="65" t="s">
        <v>383</v>
      </c>
      <c r="N72" s="65" t="s">
        <v>383</v>
      </c>
      <c r="O72" s="65" t="s">
        <v>383</v>
      </c>
      <c r="P72" s="65" t="s">
        <v>383</v>
      </c>
      <c r="Q72" s="65" t="s">
        <v>383</v>
      </c>
      <c r="R72" s="65" t="s">
        <v>383</v>
      </c>
      <c r="S72" s="65" t="s">
        <v>383</v>
      </c>
      <c r="T72" s="65" t="s">
        <v>383</v>
      </c>
      <c r="U72" s="65" t="s">
        <v>383</v>
      </c>
      <c r="V72" s="65" t="s">
        <v>383</v>
      </c>
      <c r="W72" s="65" t="s">
        <v>383</v>
      </c>
      <c r="X72" s="65" t="s">
        <v>383</v>
      </c>
      <c r="Y72" s="65" t="s">
        <v>383</v>
      </c>
      <c r="Z72" s="65" t="s">
        <v>383</v>
      </c>
      <c r="AA72" s="65" t="s">
        <v>383</v>
      </c>
      <c r="AB72" s="65" t="s">
        <v>383</v>
      </c>
      <c r="AC72" s="65" t="s">
        <v>383</v>
      </c>
      <c r="AD72" s="65" t="s">
        <v>383</v>
      </c>
      <c r="AE72" s="147" t="s">
        <v>383</v>
      </c>
    </row>
    <row r="73" spans="1:32" ht="15" customHeight="1" x14ac:dyDescent="0.25">
      <c r="A73" s="156">
        <v>91</v>
      </c>
      <c r="B73" s="17" t="s">
        <v>92</v>
      </c>
      <c r="C73" s="70">
        <v>105</v>
      </c>
      <c r="D73" s="70">
        <v>99</v>
      </c>
      <c r="E73" s="70">
        <v>100</v>
      </c>
      <c r="F73" s="70">
        <v>106</v>
      </c>
      <c r="G73" s="70">
        <v>103</v>
      </c>
      <c r="H73" s="70">
        <v>101</v>
      </c>
      <c r="I73" s="70">
        <v>95</v>
      </c>
      <c r="J73" s="70">
        <v>92</v>
      </c>
      <c r="K73" s="70">
        <v>93</v>
      </c>
      <c r="L73" s="70">
        <v>98</v>
      </c>
      <c r="M73" s="70">
        <v>99</v>
      </c>
      <c r="N73" s="70">
        <v>100</v>
      </c>
      <c r="O73" s="70">
        <v>106</v>
      </c>
      <c r="P73" s="70">
        <v>113</v>
      </c>
      <c r="Q73" s="70">
        <v>117</v>
      </c>
      <c r="R73" s="70">
        <v>126</v>
      </c>
      <c r="S73" s="70">
        <v>118</v>
      </c>
      <c r="T73" s="70">
        <v>120</v>
      </c>
      <c r="U73" s="70">
        <v>119</v>
      </c>
      <c r="V73" s="70">
        <v>121</v>
      </c>
      <c r="W73" s="70">
        <v>126</v>
      </c>
      <c r="X73" s="70">
        <v>121</v>
      </c>
      <c r="Y73" s="70">
        <v>124</v>
      </c>
      <c r="Z73" s="70">
        <v>125</v>
      </c>
      <c r="AA73" s="70">
        <v>124</v>
      </c>
      <c r="AB73" s="70">
        <v>123</v>
      </c>
      <c r="AC73" s="70">
        <v>124</v>
      </c>
      <c r="AD73" s="70">
        <v>123</v>
      </c>
      <c r="AE73" s="157">
        <v>116</v>
      </c>
    </row>
    <row r="74" spans="1:32" ht="15" customHeight="1" x14ac:dyDescent="0.25">
      <c r="A74" s="156">
        <v>92</v>
      </c>
      <c r="B74" s="17" t="s">
        <v>93</v>
      </c>
      <c r="C74" s="70" t="s">
        <v>383</v>
      </c>
      <c r="D74" s="70">
        <v>32</v>
      </c>
      <c r="E74" s="70">
        <v>30</v>
      </c>
      <c r="F74" s="70">
        <v>30</v>
      </c>
      <c r="G74" s="70">
        <v>34</v>
      </c>
      <c r="H74" s="70">
        <v>25</v>
      </c>
      <c r="I74" s="70">
        <v>32</v>
      </c>
      <c r="J74" s="70">
        <v>37</v>
      </c>
      <c r="K74" s="70">
        <v>40</v>
      </c>
      <c r="L74" s="70">
        <v>40</v>
      </c>
      <c r="M74" s="70">
        <v>41</v>
      </c>
      <c r="N74" s="70" t="s">
        <v>383</v>
      </c>
      <c r="O74" s="70">
        <v>51</v>
      </c>
      <c r="P74" s="70">
        <v>53</v>
      </c>
      <c r="Q74" s="70">
        <v>51</v>
      </c>
      <c r="R74" s="70">
        <v>53</v>
      </c>
      <c r="S74" s="70">
        <v>59</v>
      </c>
      <c r="T74" s="70">
        <v>65</v>
      </c>
      <c r="U74" s="70">
        <v>60</v>
      </c>
      <c r="V74" s="70">
        <v>56</v>
      </c>
      <c r="W74" s="70">
        <v>65</v>
      </c>
      <c r="X74" s="70">
        <v>67</v>
      </c>
      <c r="Y74" s="70">
        <v>70</v>
      </c>
      <c r="Z74" s="70">
        <v>65</v>
      </c>
      <c r="AA74" s="70">
        <v>58</v>
      </c>
      <c r="AB74" s="70">
        <v>47</v>
      </c>
      <c r="AC74" s="70">
        <v>54</v>
      </c>
      <c r="AD74" s="70">
        <v>59</v>
      </c>
      <c r="AE74" s="157" t="s">
        <v>383</v>
      </c>
    </row>
    <row r="75" spans="1:32" ht="15" customHeight="1" thickBot="1" x14ac:dyDescent="0.3">
      <c r="A75" s="158">
        <v>93</v>
      </c>
      <c r="B75" s="18" t="s">
        <v>94</v>
      </c>
      <c r="C75" s="76">
        <v>66</v>
      </c>
      <c r="D75" s="76" t="s">
        <v>383</v>
      </c>
      <c r="E75" s="76">
        <v>59</v>
      </c>
      <c r="F75" s="76" t="s">
        <v>383</v>
      </c>
      <c r="G75" s="76" t="s">
        <v>383</v>
      </c>
      <c r="H75" s="76" t="s">
        <v>383</v>
      </c>
      <c r="I75" s="76" t="s">
        <v>383</v>
      </c>
      <c r="J75" s="76" t="s">
        <v>383</v>
      </c>
      <c r="K75" s="76">
        <v>48</v>
      </c>
      <c r="L75" s="76" t="s">
        <v>383</v>
      </c>
      <c r="M75" s="76" t="s">
        <v>383</v>
      </c>
      <c r="N75" s="76">
        <v>90</v>
      </c>
      <c r="O75" s="76" t="s">
        <v>383</v>
      </c>
      <c r="P75" s="76" t="s">
        <v>383</v>
      </c>
      <c r="Q75" s="76" t="s">
        <v>383</v>
      </c>
      <c r="R75" s="76" t="s">
        <v>383</v>
      </c>
      <c r="S75" s="76" t="s">
        <v>383</v>
      </c>
      <c r="T75" s="76" t="s">
        <v>383</v>
      </c>
      <c r="U75" s="76" t="s">
        <v>383</v>
      </c>
      <c r="V75" s="76" t="s">
        <v>383</v>
      </c>
      <c r="W75" s="76" t="s">
        <v>383</v>
      </c>
      <c r="X75" s="76" t="s">
        <v>383</v>
      </c>
      <c r="Y75" s="76" t="s">
        <v>383</v>
      </c>
      <c r="Z75" s="76" t="s">
        <v>383</v>
      </c>
      <c r="AA75" s="76" t="s">
        <v>383</v>
      </c>
      <c r="AB75" s="76" t="s">
        <v>383</v>
      </c>
      <c r="AC75" s="76" t="s">
        <v>383</v>
      </c>
      <c r="AD75" s="76" t="s">
        <v>383</v>
      </c>
      <c r="AE75" s="165">
        <v>49</v>
      </c>
    </row>
    <row r="76" spans="1:32" s="23" customFormat="1" ht="15" customHeight="1" thickBot="1" x14ac:dyDescent="0.3">
      <c r="A76" s="166"/>
      <c r="B76" s="167" t="s">
        <v>95</v>
      </c>
      <c r="C76" s="168">
        <v>1976</v>
      </c>
      <c r="D76" s="168">
        <v>1947</v>
      </c>
      <c r="E76" s="168">
        <v>1951</v>
      </c>
      <c r="F76" s="168">
        <v>2023</v>
      </c>
      <c r="G76" s="168">
        <v>2203</v>
      </c>
      <c r="H76" s="168">
        <v>2011</v>
      </c>
      <c r="I76" s="168">
        <v>1883</v>
      </c>
      <c r="J76" s="168">
        <v>1964</v>
      </c>
      <c r="K76" s="168">
        <v>2058</v>
      </c>
      <c r="L76" s="168">
        <v>2264</v>
      </c>
      <c r="M76" s="168">
        <v>2451</v>
      </c>
      <c r="N76" s="168">
        <v>2592</v>
      </c>
      <c r="O76" s="168">
        <v>2769</v>
      </c>
      <c r="P76" s="168">
        <v>2804</v>
      </c>
      <c r="Q76" s="168">
        <v>2918</v>
      </c>
      <c r="R76" s="168">
        <v>3004</v>
      </c>
      <c r="S76" s="168">
        <v>3008</v>
      </c>
      <c r="T76" s="168">
        <v>3040</v>
      </c>
      <c r="U76" s="168">
        <v>3048</v>
      </c>
      <c r="V76" s="168">
        <v>3073</v>
      </c>
      <c r="W76" s="168">
        <v>3097</v>
      </c>
      <c r="X76" s="168">
        <v>3086</v>
      </c>
      <c r="Y76" s="168">
        <v>2990</v>
      </c>
      <c r="Z76" s="168">
        <v>2886</v>
      </c>
      <c r="AA76" s="168">
        <v>2793</v>
      </c>
      <c r="AB76" s="168">
        <v>2799</v>
      </c>
      <c r="AC76" s="168">
        <v>2961</v>
      </c>
      <c r="AD76" s="168">
        <v>2926</v>
      </c>
      <c r="AE76" s="169">
        <v>2807</v>
      </c>
      <c r="AF76" s="22"/>
    </row>
    <row r="77" spans="1:32" ht="12" customHeight="1" x14ac:dyDescent="0.25">
      <c r="A77" s="7"/>
      <c r="B77" s="7"/>
      <c r="C77" s="7"/>
      <c r="D77" s="7"/>
      <c r="E77" s="24"/>
      <c r="F77" s="7"/>
      <c r="G77" s="25"/>
      <c r="H77" s="7"/>
      <c r="I77" s="7"/>
      <c r="J77" s="7"/>
      <c r="K77" s="7"/>
      <c r="L77" s="7"/>
      <c r="M77" s="7"/>
      <c r="N77" s="7"/>
      <c r="O77" s="7"/>
      <c r="P77" s="7"/>
      <c r="Q77" s="7"/>
      <c r="R77" s="7"/>
      <c r="S77" s="7"/>
      <c r="T77" s="7"/>
      <c r="U77" s="7"/>
      <c r="V77" s="7"/>
      <c r="W77" s="7"/>
      <c r="X77" s="7"/>
      <c r="Y77" s="7"/>
      <c r="Z77" s="7"/>
      <c r="AA77" s="7"/>
      <c r="AB77" s="7"/>
      <c r="AC77" s="7"/>
      <c r="AD77" s="7"/>
      <c r="AE77" s="7"/>
    </row>
    <row r="78" spans="1:32" ht="11.25" x14ac:dyDescent="0.25">
      <c r="A78" s="307" t="s">
        <v>96</v>
      </c>
      <c r="B78" s="307"/>
      <c r="C78" s="277"/>
      <c r="D78" s="277"/>
      <c r="E78" s="277"/>
      <c r="F78" s="26"/>
      <c r="G78" s="26"/>
      <c r="H78" s="7"/>
      <c r="I78" s="7"/>
      <c r="J78" s="7"/>
      <c r="K78" s="7"/>
      <c r="L78" s="7"/>
      <c r="M78" s="7"/>
      <c r="N78" s="7"/>
      <c r="O78" s="7"/>
      <c r="P78" s="7"/>
      <c r="Q78" s="7"/>
      <c r="R78" s="7"/>
      <c r="S78" s="7"/>
      <c r="T78" s="7"/>
      <c r="U78" s="7"/>
      <c r="V78" s="7"/>
      <c r="W78" s="7"/>
      <c r="X78" s="7"/>
      <c r="Y78" s="7"/>
      <c r="Z78" s="7"/>
      <c r="AA78" s="7"/>
      <c r="AB78" s="7"/>
      <c r="AC78" s="7"/>
      <c r="AD78" s="7"/>
      <c r="AE78" s="7"/>
    </row>
    <row r="79" spans="1:32" ht="26.45" customHeight="1" x14ac:dyDescent="0.25">
      <c r="A79" s="307" t="s">
        <v>381</v>
      </c>
      <c r="B79" s="307"/>
      <c r="C79" s="307"/>
      <c r="D79" s="277"/>
      <c r="E79" s="277"/>
      <c r="F79" s="277"/>
      <c r="G79" s="277"/>
      <c r="H79" s="27"/>
      <c r="I79" s="27"/>
      <c r="J79" s="27"/>
      <c r="K79" s="27"/>
      <c r="L79" s="7"/>
      <c r="M79" s="7"/>
      <c r="N79" s="7"/>
      <c r="O79" s="7"/>
      <c r="P79" s="7"/>
      <c r="Q79" s="7"/>
      <c r="R79" s="7"/>
      <c r="S79" s="7"/>
      <c r="T79" s="7"/>
      <c r="U79" s="7"/>
      <c r="V79" s="7"/>
      <c r="W79" s="7"/>
      <c r="X79" s="7"/>
      <c r="Y79" s="7"/>
      <c r="Z79" s="7"/>
      <c r="AA79" s="7"/>
      <c r="AB79" s="7"/>
      <c r="AC79" s="7"/>
      <c r="AD79" s="7"/>
      <c r="AE79" s="7"/>
    </row>
    <row r="80" spans="1:32" ht="26.45" customHeight="1" x14ac:dyDescent="0.25">
      <c r="A80" s="307" t="s">
        <v>382</v>
      </c>
      <c r="B80" s="307"/>
      <c r="C80" s="307"/>
      <c r="D80" s="277"/>
      <c r="E80" s="277"/>
      <c r="F80" s="277"/>
      <c r="G80" s="277"/>
      <c r="H80" s="27"/>
      <c r="I80" s="27"/>
      <c r="J80" s="27"/>
      <c r="K80" s="27"/>
      <c r="L80" s="7"/>
      <c r="M80" s="7"/>
      <c r="N80" s="7"/>
      <c r="O80" s="7"/>
      <c r="P80" s="7"/>
      <c r="Q80" s="7"/>
      <c r="R80" s="7"/>
      <c r="S80" s="7"/>
      <c r="T80" s="7"/>
      <c r="U80" s="7"/>
      <c r="V80" s="7"/>
      <c r="W80" s="7"/>
      <c r="X80" s="7"/>
      <c r="Y80" s="7"/>
      <c r="Z80" s="7"/>
      <c r="AA80" s="7"/>
      <c r="AB80" s="7"/>
      <c r="AC80" s="7"/>
      <c r="AD80" s="7"/>
      <c r="AE80" s="7"/>
    </row>
    <row r="81" spans="1:31" ht="26.45" customHeight="1" x14ac:dyDescent="0.25">
      <c r="A81" s="307" t="s">
        <v>151</v>
      </c>
      <c r="B81" s="307"/>
      <c r="C81" s="307"/>
      <c r="D81" s="277"/>
      <c r="E81" s="277"/>
      <c r="F81" s="277"/>
      <c r="G81" s="277"/>
      <c r="H81" s="27"/>
      <c r="I81" s="27"/>
      <c r="J81" s="27"/>
      <c r="K81" s="27"/>
      <c r="L81" s="7"/>
      <c r="M81" s="7"/>
      <c r="N81" s="7"/>
      <c r="O81" s="7"/>
      <c r="P81" s="7"/>
      <c r="Q81" s="7"/>
      <c r="R81" s="7"/>
      <c r="S81" s="7"/>
      <c r="T81" s="7"/>
      <c r="U81" s="7"/>
      <c r="V81" s="7"/>
      <c r="W81" s="7"/>
      <c r="X81" s="7"/>
      <c r="Y81" s="7"/>
      <c r="Z81" s="7"/>
      <c r="AA81" s="7"/>
      <c r="AB81" s="7"/>
      <c r="AC81" s="7"/>
      <c r="AD81" s="7"/>
      <c r="AE81" s="7"/>
    </row>
    <row r="82" spans="1:31" s="29" customFormat="1" ht="46.5" customHeight="1" x14ac:dyDescent="0.25">
      <c r="A82" s="307" t="s">
        <v>384</v>
      </c>
      <c r="B82" s="307"/>
      <c r="C82" s="307"/>
      <c r="D82" s="307"/>
      <c r="E82" s="307"/>
      <c r="F82" s="307"/>
      <c r="G82" s="307"/>
      <c r="H82" s="28"/>
      <c r="I82" s="28"/>
      <c r="J82" s="28"/>
    </row>
    <row r="83" spans="1:31" ht="19.899999999999999" customHeight="1" x14ac:dyDescent="0.25">
      <c r="A83" s="276"/>
      <c r="B83" s="276"/>
      <c r="C83" s="276"/>
      <c r="D83" s="276"/>
      <c r="E83" s="276"/>
      <c r="F83" s="276"/>
      <c r="G83" s="276"/>
      <c r="H83" s="28"/>
      <c r="I83" s="28"/>
      <c r="J83" s="28"/>
      <c r="K83" s="7"/>
      <c r="L83" s="7"/>
      <c r="M83" s="7"/>
      <c r="N83" s="7"/>
      <c r="O83" s="7"/>
      <c r="P83" s="7"/>
      <c r="Q83" s="7"/>
      <c r="R83" s="7"/>
      <c r="S83" s="7"/>
      <c r="T83" s="7"/>
      <c r="U83" s="7"/>
      <c r="V83" s="7"/>
      <c r="W83" s="7"/>
      <c r="X83" s="7"/>
      <c r="Y83" s="7"/>
      <c r="Z83" s="7"/>
      <c r="AA83" s="7"/>
      <c r="AB83" s="7"/>
      <c r="AC83" s="7"/>
      <c r="AD83" s="7"/>
      <c r="AE83" s="7"/>
    </row>
    <row r="84" spans="1:31" ht="6.75" customHeight="1" x14ac:dyDescent="0.25">
      <c r="A84" s="7"/>
      <c r="B84" s="7"/>
      <c r="C84" s="7"/>
      <c r="D84" s="7"/>
      <c r="E84" s="7"/>
      <c r="F84" s="7"/>
      <c r="G84" s="7"/>
      <c r="H84" s="7"/>
      <c r="I84" s="7"/>
      <c r="J84" s="7"/>
      <c r="K84" s="7"/>
      <c r="L84" s="7"/>
      <c r="M84" s="7"/>
      <c r="N84" s="7"/>
      <c r="O84" s="7"/>
      <c r="P84" s="7"/>
      <c r="Q84" s="7"/>
      <c r="R84" s="7"/>
      <c r="S84" s="7"/>
      <c r="T84" s="7"/>
      <c r="U84" s="7"/>
      <c r="V84" s="7"/>
      <c r="W84" s="7"/>
      <c r="X84" s="7"/>
      <c r="Y84" s="7"/>
      <c r="Z84" s="7"/>
      <c r="AA84" s="7"/>
      <c r="AB84" s="7"/>
      <c r="AC84" s="7"/>
      <c r="AD84" s="7"/>
      <c r="AE84" s="7"/>
    </row>
    <row r="85" spans="1:31" ht="409.6" hidden="1" customHeight="1" x14ac:dyDescent="0.25"/>
    <row r="86" spans="1:31" ht="409.6" hidden="1" customHeight="1" x14ac:dyDescent="0.25"/>
    <row r="87" spans="1:31" ht="409.6" hidden="1" customHeight="1" x14ac:dyDescent="0.25"/>
    <row r="88" spans="1:31" ht="409.6" hidden="1" customHeight="1" x14ac:dyDescent="0.25"/>
    <row r="89" spans="1:31" ht="409.6" hidden="1" customHeight="1" x14ac:dyDescent="0.25"/>
    <row r="90" spans="1:31" ht="409.6" hidden="1" customHeight="1" x14ac:dyDescent="0.25"/>
    <row r="91" spans="1:31" ht="409.6" hidden="1" customHeight="1" x14ac:dyDescent="0.25"/>
    <row r="92" spans="1:31" ht="409.6" hidden="1" customHeight="1" x14ac:dyDescent="0.25"/>
    <row r="93" spans="1:31" ht="409.6" hidden="1" customHeight="1" x14ac:dyDescent="0.25"/>
    <row r="94" spans="1:31" ht="409.6" hidden="1" customHeight="1" x14ac:dyDescent="0.25"/>
    <row r="95" spans="1:31" x14ac:dyDescent="0.25"/>
  </sheetData>
  <mergeCells count="37">
    <mergeCell ref="AE4:AE5"/>
    <mergeCell ref="H4:H5"/>
    <mergeCell ref="I4:I5"/>
    <mergeCell ref="J4:J5"/>
    <mergeCell ref="K4:K5"/>
    <mergeCell ref="L4:L5"/>
    <mergeCell ref="M4:M5"/>
    <mergeCell ref="W4:W5"/>
    <mergeCell ref="S4:S5"/>
    <mergeCell ref="Q4:Q5"/>
    <mergeCell ref="R4:R5"/>
    <mergeCell ref="X4:X5"/>
    <mergeCell ref="N4:N5"/>
    <mergeCell ref="O4:O5"/>
    <mergeCell ref="AA4:AA5"/>
    <mergeCell ref="Z4:Z5"/>
    <mergeCell ref="A2:C2"/>
    <mergeCell ref="B4:B5"/>
    <mergeCell ref="C4:C5"/>
    <mergeCell ref="D4:D5"/>
    <mergeCell ref="E4:E5"/>
    <mergeCell ref="A82:G82"/>
    <mergeCell ref="V4:V5"/>
    <mergeCell ref="A78:B78"/>
    <mergeCell ref="T4:T5"/>
    <mergeCell ref="U4:U5"/>
    <mergeCell ref="G4:G5"/>
    <mergeCell ref="A4:A5"/>
    <mergeCell ref="F4:F5"/>
    <mergeCell ref="Y4:Y5"/>
    <mergeCell ref="A81:C81"/>
    <mergeCell ref="AD4:AD5"/>
    <mergeCell ref="A79:C79"/>
    <mergeCell ref="A80:C80"/>
    <mergeCell ref="P4:P5"/>
    <mergeCell ref="AC4:AC5"/>
    <mergeCell ref="AB4:AB5"/>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4"/>
  <dimension ref="A1:DW94"/>
  <sheetViews>
    <sheetView zoomScale="115" zoomScaleNormal="115" workbookViewId="0">
      <pane xSplit="2" ySplit="5" topLeftCell="C6" activePane="bottomRight" state="frozen"/>
      <selection activeCell="C6" sqref="C6"/>
      <selection pane="topRight" activeCell="C6" sqref="C6"/>
      <selection pane="bottomLeft" activeCell="C6" sqref="C6"/>
      <selection pane="bottomRight" activeCell="C6" sqref="C6"/>
    </sheetView>
  </sheetViews>
  <sheetFormatPr baseColWidth="10" defaultColWidth="0" defaultRowHeight="0" customHeight="1" zeroHeight="1" x14ac:dyDescent="0.25"/>
  <cols>
    <col min="1" max="1" width="5.7109375" style="8" customWidth="1"/>
    <col min="2" max="2" width="62.7109375" style="8" customWidth="1"/>
    <col min="3" max="4" width="11.140625" style="30" customWidth="1"/>
    <col min="5" max="6" width="11.140625" style="8" customWidth="1"/>
    <col min="7" max="7" width="11.140625" style="31" customWidth="1"/>
    <col min="8" max="31" width="11.140625" style="8" customWidth="1"/>
    <col min="32" max="32" width="3.28515625" style="7" customWidth="1"/>
    <col min="33" max="127" width="0" style="8" hidden="1" customWidth="1"/>
    <col min="128" max="16384" width="11.140625" style="8" hidden="1"/>
  </cols>
  <sheetData>
    <row r="1" spans="1:32" s="5" customFormat="1" ht="25.5" customHeight="1" thickBot="1" x14ac:dyDescent="0.25">
      <c r="A1" s="1"/>
      <c r="B1" s="2"/>
      <c r="C1" s="3"/>
      <c r="D1" s="172" t="s">
        <v>0</v>
      </c>
      <c r="E1" s="171"/>
      <c r="F1" s="171"/>
      <c r="G1" s="173"/>
      <c r="H1" s="171"/>
      <c r="I1" s="171"/>
      <c r="J1" s="171"/>
      <c r="K1" s="171"/>
      <c r="L1" s="171"/>
      <c r="M1" s="171"/>
      <c r="N1" s="171"/>
      <c r="O1" s="171"/>
      <c r="P1" s="171"/>
      <c r="Q1" s="171"/>
      <c r="R1" s="171"/>
      <c r="S1" s="171"/>
      <c r="T1" s="171"/>
      <c r="U1" s="171"/>
      <c r="V1" s="171"/>
      <c r="W1" s="171"/>
      <c r="X1" s="171"/>
      <c r="Y1" s="171"/>
      <c r="Z1" s="171"/>
      <c r="AA1" s="171"/>
      <c r="AB1" s="171"/>
      <c r="AC1" s="171"/>
      <c r="AD1" s="171"/>
      <c r="AE1" s="171"/>
      <c r="AF1" s="2"/>
    </row>
    <row r="2" spans="1:32" s="7" customFormat="1" ht="22.5" customHeight="1" thickBot="1" x14ac:dyDescent="0.3">
      <c r="A2" s="303" t="s">
        <v>106</v>
      </c>
      <c r="B2" s="304"/>
      <c r="C2" s="304"/>
      <c r="D2" s="140"/>
      <c r="E2" s="140"/>
      <c r="F2" s="140"/>
      <c r="G2" s="140"/>
      <c r="H2" s="140"/>
      <c r="I2" s="140"/>
      <c r="J2" s="140"/>
      <c r="K2" s="140"/>
      <c r="L2" s="140"/>
      <c r="M2" s="140"/>
      <c r="N2" s="140"/>
      <c r="O2" s="140"/>
      <c r="P2" s="140"/>
      <c r="Q2" s="140"/>
      <c r="R2" s="140"/>
      <c r="S2" s="140"/>
      <c r="T2" s="140"/>
      <c r="U2" s="140"/>
      <c r="V2" s="140"/>
      <c r="W2" s="140"/>
      <c r="X2" s="140"/>
      <c r="Y2" s="140"/>
      <c r="Z2" s="140"/>
      <c r="AA2" s="140"/>
      <c r="AB2" s="140"/>
      <c r="AC2" s="140"/>
      <c r="AD2" s="140"/>
      <c r="AE2" s="141"/>
    </row>
    <row r="3" spans="1:32" ht="16.5" customHeight="1" thickBot="1" x14ac:dyDescent="0.25">
      <c r="A3" s="142" t="s">
        <v>299</v>
      </c>
      <c r="B3" s="57"/>
      <c r="C3" s="57"/>
      <c r="D3" s="58"/>
      <c r="E3" s="58"/>
      <c r="F3" s="58"/>
      <c r="G3" s="58"/>
      <c r="H3" s="59"/>
      <c r="I3" s="59"/>
      <c r="J3" s="59"/>
      <c r="K3" s="59"/>
      <c r="L3" s="59"/>
      <c r="M3" s="59"/>
      <c r="N3" s="59"/>
      <c r="O3" s="59"/>
      <c r="P3" s="59"/>
      <c r="Q3" s="59"/>
      <c r="R3" s="59"/>
      <c r="S3" s="59"/>
      <c r="T3" s="59"/>
      <c r="U3" s="59"/>
      <c r="V3" s="59"/>
      <c r="W3" s="59"/>
      <c r="X3" s="59"/>
      <c r="Y3" s="59"/>
      <c r="Z3" s="59"/>
      <c r="AA3" s="59"/>
      <c r="AB3" s="59"/>
      <c r="AC3" s="59"/>
      <c r="AD3" s="59"/>
      <c r="AE3" s="143"/>
    </row>
    <row r="4" spans="1:32" ht="15.75" customHeight="1" x14ac:dyDescent="0.25">
      <c r="A4" s="310"/>
      <c r="B4" s="308" t="s">
        <v>2</v>
      </c>
      <c r="C4" s="301">
        <v>1996</v>
      </c>
      <c r="D4" s="301">
        <v>1997</v>
      </c>
      <c r="E4" s="301">
        <v>1998</v>
      </c>
      <c r="F4" s="301">
        <v>1999</v>
      </c>
      <c r="G4" s="301">
        <v>2000</v>
      </c>
      <c r="H4" s="301">
        <v>2001</v>
      </c>
      <c r="I4" s="301">
        <v>2002</v>
      </c>
      <c r="J4" s="301">
        <v>2003</v>
      </c>
      <c r="K4" s="301">
        <v>2004</v>
      </c>
      <c r="L4" s="301">
        <v>2005</v>
      </c>
      <c r="M4" s="301">
        <v>2006</v>
      </c>
      <c r="N4" s="301">
        <v>2007</v>
      </c>
      <c r="O4" s="301">
        <v>2008</v>
      </c>
      <c r="P4" s="301">
        <v>2009</v>
      </c>
      <c r="Q4" s="301">
        <v>2010</v>
      </c>
      <c r="R4" s="301">
        <v>2011</v>
      </c>
      <c r="S4" s="301">
        <v>2012</v>
      </c>
      <c r="T4" s="301">
        <v>2013</v>
      </c>
      <c r="U4" s="301">
        <v>2014</v>
      </c>
      <c r="V4" s="301">
        <v>2015</v>
      </c>
      <c r="W4" s="301">
        <v>2016</v>
      </c>
      <c r="X4" s="301">
        <v>2017</v>
      </c>
      <c r="Y4" s="301">
        <v>2018</v>
      </c>
      <c r="Z4" s="301">
        <v>2019</v>
      </c>
      <c r="AA4" s="301">
        <v>2020</v>
      </c>
      <c r="AB4" s="301">
        <v>2021</v>
      </c>
      <c r="AC4" s="301">
        <v>2022</v>
      </c>
      <c r="AD4" s="301">
        <v>2023</v>
      </c>
      <c r="AE4" s="299">
        <v>2024</v>
      </c>
    </row>
    <row r="5" spans="1:32" ht="15.75" customHeight="1" thickBot="1" x14ac:dyDescent="0.3">
      <c r="A5" s="311"/>
      <c r="B5" s="309"/>
      <c r="C5" s="302"/>
      <c r="D5" s="302" t="s">
        <v>3</v>
      </c>
      <c r="E5" s="302"/>
      <c r="F5" s="302" t="s">
        <v>4</v>
      </c>
      <c r="G5" s="302"/>
      <c r="H5" s="302" t="s">
        <v>5</v>
      </c>
      <c r="I5" s="302"/>
      <c r="J5" s="302" t="s">
        <v>6</v>
      </c>
      <c r="K5" s="302"/>
      <c r="L5" s="302" t="s">
        <v>7</v>
      </c>
      <c r="M5" s="302"/>
      <c r="N5" s="302" t="s">
        <v>8</v>
      </c>
      <c r="O5" s="302"/>
      <c r="P5" s="302" t="s">
        <v>9</v>
      </c>
      <c r="Q5" s="302"/>
      <c r="R5" s="302" t="s">
        <v>10</v>
      </c>
      <c r="S5" s="302"/>
      <c r="T5" s="302"/>
      <c r="U5" s="302"/>
      <c r="V5" s="302"/>
      <c r="W5" s="302"/>
      <c r="X5" s="302"/>
      <c r="Y5" s="302"/>
      <c r="Z5" s="302"/>
      <c r="AA5" s="302"/>
      <c r="AB5" s="302"/>
      <c r="AC5" s="302"/>
      <c r="AD5" s="302"/>
      <c r="AE5" s="300"/>
    </row>
    <row r="6" spans="1:32" s="11" customFormat="1" ht="15" customHeight="1" thickBot="1" x14ac:dyDescent="0.3">
      <c r="A6" s="144" t="s">
        <v>11</v>
      </c>
      <c r="B6" s="9" t="s">
        <v>12</v>
      </c>
      <c r="C6" s="64">
        <v>705</v>
      </c>
      <c r="D6" s="64">
        <v>724</v>
      </c>
      <c r="E6" s="64">
        <v>716</v>
      </c>
      <c r="F6" s="64">
        <v>705</v>
      </c>
      <c r="G6" s="64">
        <v>687</v>
      </c>
      <c r="H6" s="64">
        <v>660</v>
      </c>
      <c r="I6" s="64">
        <v>643</v>
      </c>
      <c r="J6" s="64">
        <v>658</v>
      </c>
      <c r="K6" s="64">
        <v>673</v>
      </c>
      <c r="L6" s="64">
        <v>685</v>
      </c>
      <c r="M6" s="64">
        <v>717</v>
      </c>
      <c r="N6" s="64">
        <v>748</v>
      </c>
      <c r="O6" s="64">
        <v>777</v>
      </c>
      <c r="P6" s="64">
        <v>811</v>
      </c>
      <c r="Q6" s="64">
        <v>866</v>
      </c>
      <c r="R6" s="64">
        <v>852</v>
      </c>
      <c r="S6" s="64">
        <v>849</v>
      </c>
      <c r="T6" s="64">
        <v>922</v>
      </c>
      <c r="U6" s="64">
        <v>934</v>
      </c>
      <c r="V6" s="64">
        <v>938</v>
      </c>
      <c r="W6" s="64">
        <v>938</v>
      </c>
      <c r="X6" s="64">
        <v>978</v>
      </c>
      <c r="Y6" s="64">
        <v>968</v>
      </c>
      <c r="Z6" s="64">
        <v>960</v>
      </c>
      <c r="AA6" s="64">
        <v>957</v>
      </c>
      <c r="AB6" s="64">
        <v>955</v>
      </c>
      <c r="AC6" s="64">
        <v>942</v>
      </c>
      <c r="AD6" s="64">
        <v>917</v>
      </c>
      <c r="AE6" s="145">
        <v>937</v>
      </c>
      <c r="AF6" s="10"/>
    </row>
    <row r="7" spans="1:32" ht="15" customHeight="1" x14ac:dyDescent="0.25">
      <c r="A7" s="146">
        <v>1</v>
      </c>
      <c r="B7" s="12" t="s">
        <v>13</v>
      </c>
      <c r="C7" s="68">
        <v>696</v>
      </c>
      <c r="D7" s="68">
        <v>713</v>
      </c>
      <c r="E7" s="68">
        <v>704</v>
      </c>
      <c r="F7" s="68">
        <v>692</v>
      </c>
      <c r="G7" s="68">
        <v>673</v>
      </c>
      <c r="H7" s="68">
        <v>646</v>
      </c>
      <c r="I7" s="68">
        <v>628</v>
      </c>
      <c r="J7" s="68">
        <v>642</v>
      </c>
      <c r="K7" s="68">
        <v>657</v>
      </c>
      <c r="L7" s="68">
        <v>670</v>
      </c>
      <c r="M7" s="68">
        <v>701</v>
      </c>
      <c r="N7" s="68">
        <v>729</v>
      </c>
      <c r="O7" s="68">
        <v>760</v>
      </c>
      <c r="P7" s="68">
        <v>795</v>
      </c>
      <c r="Q7" s="68">
        <v>848</v>
      </c>
      <c r="R7" s="68">
        <v>833</v>
      </c>
      <c r="S7" s="68">
        <v>827</v>
      </c>
      <c r="T7" s="68">
        <v>901</v>
      </c>
      <c r="U7" s="68">
        <v>916</v>
      </c>
      <c r="V7" s="68">
        <v>916</v>
      </c>
      <c r="W7" s="68">
        <v>922</v>
      </c>
      <c r="X7" s="68">
        <v>964</v>
      </c>
      <c r="Y7" s="68">
        <v>955</v>
      </c>
      <c r="Z7" s="68">
        <v>948</v>
      </c>
      <c r="AA7" s="68">
        <v>945</v>
      </c>
      <c r="AB7" s="68">
        <v>943</v>
      </c>
      <c r="AC7" s="68">
        <v>933</v>
      </c>
      <c r="AD7" s="68">
        <v>908</v>
      </c>
      <c r="AE7" s="147">
        <v>930</v>
      </c>
    </row>
    <row r="8" spans="1:32" ht="15" customHeight="1" thickBot="1" x14ac:dyDescent="0.3">
      <c r="A8" s="148">
        <v>2</v>
      </c>
      <c r="B8" s="13" t="s">
        <v>14</v>
      </c>
      <c r="C8" s="69">
        <v>9</v>
      </c>
      <c r="D8" s="69">
        <v>11</v>
      </c>
      <c r="E8" s="69">
        <v>12</v>
      </c>
      <c r="F8" s="69">
        <v>13</v>
      </c>
      <c r="G8" s="69">
        <v>14</v>
      </c>
      <c r="H8" s="69">
        <v>14</v>
      </c>
      <c r="I8" s="69">
        <v>15</v>
      </c>
      <c r="J8" s="69">
        <v>16</v>
      </c>
      <c r="K8" s="69">
        <v>16</v>
      </c>
      <c r="L8" s="69">
        <v>15</v>
      </c>
      <c r="M8" s="69">
        <v>16</v>
      </c>
      <c r="N8" s="69">
        <v>19</v>
      </c>
      <c r="O8" s="69">
        <v>17</v>
      </c>
      <c r="P8" s="69">
        <v>16</v>
      </c>
      <c r="Q8" s="69">
        <v>18</v>
      </c>
      <c r="R8" s="69">
        <v>19</v>
      </c>
      <c r="S8" s="69">
        <v>22</v>
      </c>
      <c r="T8" s="69">
        <v>21</v>
      </c>
      <c r="U8" s="69">
        <v>18</v>
      </c>
      <c r="V8" s="69">
        <v>22</v>
      </c>
      <c r="W8" s="69">
        <v>16</v>
      </c>
      <c r="X8" s="69">
        <v>14</v>
      </c>
      <c r="Y8" s="69">
        <v>13</v>
      </c>
      <c r="Z8" s="69">
        <v>12</v>
      </c>
      <c r="AA8" s="69">
        <v>12</v>
      </c>
      <c r="AB8" s="69">
        <v>12</v>
      </c>
      <c r="AC8" s="69">
        <v>9</v>
      </c>
      <c r="AD8" s="69">
        <v>9</v>
      </c>
      <c r="AE8" s="149">
        <v>7</v>
      </c>
    </row>
    <row r="9" spans="1:32" s="11" customFormat="1" ht="15" customHeight="1" thickBot="1" x14ac:dyDescent="0.3">
      <c r="A9" s="144" t="s">
        <v>15</v>
      </c>
      <c r="B9" s="9" t="s">
        <v>16</v>
      </c>
      <c r="C9" s="64" t="s">
        <v>383</v>
      </c>
      <c r="D9" s="64" t="s">
        <v>383</v>
      </c>
      <c r="E9" s="64" t="s">
        <v>383</v>
      </c>
      <c r="F9" s="64" t="s">
        <v>383</v>
      </c>
      <c r="G9" s="64" t="s">
        <v>383</v>
      </c>
      <c r="H9" s="64" t="s">
        <v>383</v>
      </c>
      <c r="I9" s="64" t="s">
        <v>383</v>
      </c>
      <c r="J9" s="64" t="s">
        <v>383</v>
      </c>
      <c r="K9" s="64" t="s">
        <v>383</v>
      </c>
      <c r="L9" s="64" t="s">
        <v>383</v>
      </c>
      <c r="M9" s="64" t="s">
        <v>383</v>
      </c>
      <c r="N9" s="64" t="s">
        <v>383</v>
      </c>
      <c r="O9" s="64" t="s">
        <v>383</v>
      </c>
      <c r="P9" s="64" t="s">
        <v>383</v>
      </c>
      <c r="Q9" s="64" t="s">
        <v>383</v>
      </c>
      <c r="R9" s="64" t="s">
        <v>383</v>
      </c>
      <c r="S9" s="64" t="s">
        <v>383</v>
      </c>
      <c r="T9" s="64" t="s">
        <v>383</v>
      </c>
      <c r="U9" s="64" t="s">
        <v>383</v>
      </c>
      <c r="V9" s="64" t="s">
        <v>383</v>
      </c>
      <c r="W9" s="64" t="s">
        <v>383</v>
      </c>
      <c r="X9" s="64" t="s">
        <v>383</v>
      </c>
      <c r="Y9" s="64" t="s">
        <v>383</v>
      </c>
      <c r="Z9" s="64" t="s">
        <v>383</v>
      </c>
      <c r="AA9" s="64" t="s">
        <v>383</v>
      </c>
      <c r="AB9" s="64" t="s">
        <v>383</v>
      </c>
      <c r="AC9" s="64" t="s">
        <v>383</v>
      </c>
      <c r="AD9" s="64" t="s">
        <v>383</v>
      </c>
      <c r="AE9" s="145" t="s">
        <v>383</v>
      </c>
      <c r="AF9" s="10"/>
    </row>
    <row r="10" spans="1:32" ht="15" customHeight="1" thickBot="1" x14ac:dyDescent="0.3">
      <c r="A10" s="150">
        <v>5</v>
      </c>
      <c r="B10" s="14" t="s">
        <v>17</v>
      </c>
      <c r="C10" s="67" t="s">
        <v>383</v>
      </c>
      <c r="D10" s="67" t="s">
        <v>383</v>
      </c>
      <c r="E10" s="67" t="s">
        <v>383</v>
      </c>
      <c r="F10" s="67" t="s">
        <v>383</v>
      </c>
      <c r="G10" s="67" t="s">
        <v>383</v>
      </c>
      <c r="H10" s="67" t="s">
        <v>383</v>
      </c>
      <c r="I10" s="67" t="s">
        <v>383</v>
      </c>
      <c r="J10" s="67" t="s">
        <v>383</v>
      </c>
      <c r="K10" s="67" t="s">
        <v>383</v>
      </c>
      <c r="L10" s="67" t="s">
        <v>383</v>
      </c>
      <c r="M10" s="67" t="s">
        <v>383</v>
      </c>
      <c r="N10" s="67" t="s">
        <v>383</v>
      </c>
      <c r="O10" s="67" t="s">
        <v>383</v>
      </c>
      <c r="P10" s="67" t="s">
        <v>383</v>
      </c>
      <c r="Q10" s="67" t="s">
        <v>383</v>
      </c>
      <c r="R10" s="67" t="s">
        <v>383</v>
      </c>
      <c r="S10" s="67" t="s">
        <v>383</v>
      </c>
      <c r="T10" s="67" t="s">
        <v>383</v>
      </c>
      <c r="U10" s="67" t="s">
        <v>383</v>
      </c>
      <c r="V10" s="67" t="s">
        <v>383</v>
      </c>
      <c r="W10" s="67" t="s">
        <v>383</v>
      </c>
      <c r="X10" s="67" t="s">
        <v>383</v>
      </c>
      <c r="Y10" s="67" t="s">
        <v>383</v>
      </c>
      <c r="Z10" s="67" t="s">
        <v>383</v>
      </c>
      <c r="AA10" s="67" t="s">
        <v>383</v>
      </c>
      <c r="AB10" s="67" t="s">
        <v>383</v>
      </c>
      <c r="AC10" s="67" t="s">
        <v>383</v>
      </c>
      <c r="AD10" s="67" t="s">
        <v>383</v>
      </c>
      <c r="AE10" s="151" t="s">
        <v>383</v>
      </c>
    </row>
    <row r="11" spans="1:32" s="11" customFormat="1" ht="15" customHeight="1" thickBot="1" x14ac:dyDescent="0.3">
      <c r="A11" s="144" t="s">
        <v>18</v>
      </c>
      <c r="B11" s="9" t="s">
        <v>19</v>
      </c>
      <c r="C11" s="64">
        <v>12</v>
      </c>
      <c r="D11" s="64">
        <v>12</v>
      </c>
      <c r="E11" s="64">
        <v>13</v>
      </c>
      <c r="F11" s="64">
        <v>11</v>
      </c>
      <c r="G11" s="64">
        <v>14</v>
      </c>
      <c r="H11" s="64">
        <v>12</v>
      </c>
      <c r="I11" s="64">
        <v>11</v>
      </c>
      <c r="J11" s="64">
        <v>13</v>
      </c>
      <c r="K11" s="64">
        <v>11</v>
      </c>
      <c r="L11" s="64">
        <v>13</v>
      </c>
      <c r="M11" s="64">
        <v>17</v>
      </c>
      <c r="N11" s="64">
        <v>22</v>
      </c>
      <c r="O11" s="64">
        <v>22</v>
      </c>
      <c r="P11" s="64">
        <v>23</v>
      </c>
      <c r="Q11" s="64">
        <v>30</v>
      </c>
      <c r="R11" s="64">
        <v>24</v>
      </c>
      <c r="S11" s="64">
        <v>25</v>
      </c>
      <c r="T11" s="64">
        <v>23</v>
      </c>
      <c r="U11" s="64">
        <v>21</v>
      </c>
      <c r="V11" s="64">
        <v>21</v>
      </c>
      <c r="W11" s="64">
        <v>18</v>
      </c>
      <c r="X11" s="64">
        <v>20</v>
      </c>
      <c r="Y11" s="64">
        <v>19</v>
      </c>
      <c r="Z11" s="64">
        <v>24</v>
      </c>
      <c r="AA11" s="64">
        <v>25</v>
      </c>
      <c r="AB11" s="64">
        <v>24</v>
      </c>
      <c r="AC11" s="64">
        <v>24</v>
      </c>
      <c r="AD11" s="64">
        <v>26</v>
      </c>
      <c r="AE11" s="145">
        <v>25</v>
      </c>
      <c r="AF11" s="10"/>
    </row>
    <row r="12" spans="1:32" ht="15" customHeight="1" x14ac:dyDescent="0.25">
      <c r="A12" s="152">
        <v>11</v>
      </c>
      <c r="B12" s="15" t="s">
        <v>20</v>
      </c>
      <c r="C12" s="68" t="s">
        <v>383</v>
      </c>
      <c r="D12" s="68" t="s">
        <v>383</v>
      </c>
      <c r="E12" s="68" t="s">
        <v>383</v>
      </c>
      <c r="F12" s="68" t="s">
        <v>383</v>
      </c>
      <c r="G12" s="68" t="s">
        <v>383</v>
      </c>
      <c r="H12" s="68" t="s">
        <v>383</v>
      </c>
      <c r="I12" s="68" t="s">
        <v>383</v>
      </c>
      <c r="J12" s="68" t="s">
        <v>383</v>
      </c>
      <c r="K12" s="68" t="s">
        <v>383</v>
      </c>
      <c r="L12" s="68" t="s">
        <v>383</v>
      </c>
      <c r="M12" s="68">
        <v>4</v>
      </c>
      <c r="N12" s="68">
        <v>4</v>
      </c>
      <c r="O12" s="68" t="s">
        <v>383</v>
      </c>
      <c r="P12" s="68" t="s">
        <v>383</v>
      </c>
      <c r="Q12" s="68">
        <v>4</v>
      </c>
      <c r="R12" s="68">
        <v>4</v>
      </c>
      <c r="S12" s="68" t="s">
        <v>383</v>
      </c>
      <c r="T12" s="68" t="s">
        <v>383</v>
      </c>
      <c r="U12" s="68" t="s">
        <v>383</v>
      </c>
      <c r="V12" s="68" t="s">
        <v>383</v>
      </c>
      <c r="W12" s="68" t="s">
        <v>383</v>
      </c>
      <c r="X12" s="68" t="s">
        <v>383</v>
      </c>
      <c r="Y12" s="68" t="s">
        <v>383</v>
      </c>
      <c r="Z12" s="68" t="s">
        <v>383</v>
      </c>
      <c r="AA12" s="68" t="s">
        <v>383</v>
      </c>
      <c r="AB12" s="68" t="s">
        <v>383</v>
      </c>
      <c r="AC12" s="68" t="s">
        <v>383</v>
      </c>
      <c r="AD12" s="68" t="s">
        <v>383</v>
      </c>
      <c r="AE12" s="153" t="s">
        <v>383</v>
      </c>
    </row>
    <row r="13" spans="1:32" ht="15" customHeight="1" x14ac:dyDescent="0.25">
      <c r="A13" s="154">
        <v>13</v>
      </c>
      <c r="B13" s="16" t="s">
        <v>21</v>
      </c>
      <c r="C13" s="69" t="s">
        <v>383</v>
      </c>
      <c r="D13" s="69">
        <v>4</v>
      </c>
      <c r="E13" s="69">
        <v>4</v>
      </c>
      <c r="F13" s="69" t="s">
        <v>383</v>
      </c>
      <c r="G13" s="69" t="s">
        <v>383</v>
      </c>
      <c r="H13" s="69" t="s">
        <v>383</v>
      </c>
      <c r="I13" s="69" t="s">
        <v>383</v>
      </c>
      <c r="J13" s="69">
        <v>4</v>
      </c>
      <c r="K13" s="69" t="s">
        <v>383</v>
      </c>
      <c r="L13" s="69" t="s">
        <v>383</v>
      </c>
      <c r="M13" s="69">
        <v>4</v>
      </c>
      <c r="N13" s="69">
        <v>6</v>
      </c>
      <c r="O13" s="69">
        <v>7</v>
      </c>
      <c r="P13" s="69">
        <v>5</v>
      </c>
      <c r="Q13" s="69">
        <v>6</v>
      </c>
      <c r="R13" s="69">
        <v>6</v>
      </c>
      <c r="S13" s="69">
        <v>8</v>
      </c>
      <c r="T13" s="69">
        <v>6</v>
      </c>
      <c r="U13" s="69">
        <v>4</v>
      </c>
      <c r="V13" s="69">
        <v>4</v>
      </c>
      <c r="W13" s="69">
        <v>5</v>
      </c>
      <c r="X13" s="69">
        <v>8</v>
      </c>
      <c r="Y13" s="69">
        <v>8</v>
      </c>
      <c r="Z13" s="69">
        <v>9</v>
      </c>
      <c r="AA13" s="69">
        <v>9</v>
      </c>
      <c r="AB13" s="69">
        <v>10</v>
      </c>
      <c r="AC13" s="69">
        <v>9</v>
      </c>
      <c r="AD13" s="69">
        <v>8</v>
      </c>
      <c r="AE13" s="155">
        <v>9</v>
      </c>
    </row>
    <row r="14" spans="1:32" ht="15" customHeight="1" thickBot="1" x14ac:dyDescent="0.3">
      <c r="A14" s="152">
        <v>14</v>
      </c>
      <c r="B14" s="15" t="s">
        <v>22</v>
      </c>
      <c r="C14" s="68">
        <v>6</v>
      </c>
      <c r="D14" s="68" t="s">
        <v>383</v>
      </c>
      <c r="E14" s="68" t="s">
        <v>383</v>
      </c>
      <c r="F14" s="68">
        <v>5</v>
      </c>
      <c r="G14" s="68">
        <v>9</v>
      </c>
      <c r="H14" s="68">
        <v>6</v>
      </c>
      <c r="I14" s="68">
        <v>6</v>
      </c>
      <c r="J14" s="68" t="s">
        <v>383</v>
      </c>
      <c r="K14" s="68">
        <v>6</v>
      </c>
      <c r="L14" s="68">
        <v>7</v>
      </c>
      <c r="M14" s="68">
        <v>9</v>
      </c>
      <c r="N14" s="68">
        <v>12</v>
      </c>
      <c r="O14" s="68" t="s">
        <v>383</v>
      </c>
      <c r="P14" s="68" t="s">
        <v>383</v>
      </c>
      <c r="Q14" s="68">
        <v>20</v>
      </c>
      <c r="R14" s="68">
        <v>14</v>
      </c>
      <c r="S14" s="68" t="s">
        <v>383</v>
      </c>
      <c r="T14" s="68" t="s">
        <v>383</v>
      </c>
      <c r="U14" s="68" t="s">
        <v>383</v>
      </c>
      <c r="V14" s="68" t="s">
        <v>383</v>
      </c>
      <c r="W14" s="68" t="s">
        <v>383</v>
      </c>
      <c r="X14" s="68" t="s">
        <v>383</v>
      </c>
      <c r="Y14" s="68" t="s">
        <v>383</v>
      </c>
      <c r="Z14" s="68" t="s">
        <v>383</v>
      </c>
      <c r="AA14" s="68" t="s">
        <v>383</v>
      </c>
      <c r="AB14" s="68" t="s">
        <v>383</v>
      </c>
      <c r="AC14" s="68" t="s">
        <v>383</v>
      </c>
      <c r="AD14" s="68" t="s">
        <v>383</v>
      </c>
      <c r="AE14" s="153" t="s">
        <v>383</v>
      </c>
    </row>
    <row r="15" spans="1:32" s="11" customFormat="1" ht="15" customHeight="1" thickBot="1" x14ac:dyDescent="0.3">
      <c r="A15" s="144" t="s">
        <v>23</v>
      </c>
      <c r="B15" s="9" t="s">
        <v>24</v>
      </c>
      <c r="C15" s="64">
        <v>269</v>
      </c>
      <c r="D15" s="64">
        <v>252</v>
      </c>
      <c r="E15" s="64">
        <v>253</v>
      </c>
      <c r="F15" s="64">
        <v>253</v>
      </c>
      <c r="G15" s="64">
        <v>252</v>
      </c>
      <c r="H15" s="64">
        <v>233</v>
      </c>
      <c r="I15" s="64">
        <v>201</v>
      </c>
      <c r="J15" s="64">
        <v>213</v>
      </c>
      <c r="K15" s="64">
        <v>233</v>
      </c>
      <c r="L15" s="64">
        <v>241</v>
      </c>
      <c r="M15" s="64">
        <v>264</v>
      </c>
      <c r="N15" s="64">
        <v>284</v>
      </c>
      <c r="O15" s="64">
        <v>307</v>
      </c>
      <c r="P15" s="64">
        <v>349</v>
      </c>
      <c r="Q15" s="64">
        <v>345</v>
      </c>
      <c r="R15" s="64">
        <v>340</v>
      </c>
      <c r="S15" s="64">
        <v>353</v>
      </c>
      <c r="T15" s="64">
        <v>344</v>
      </c>
      <c r="U15" s="64">
        <v>331</v>
      </c>
      <c r="V15" s="64">
        <v>333</v>
      </c>
      <c r="W15" s="64">
        <v>333</v>
      </c>
      <c r="X15" s="64">
        <v>331</v>
      </c>
      <c r="Y15" s="64">
        <v>329</v>
      </c>
      <c r="Z15" s="64">
        <v>321</v>
      </c>
      <c r="AA15" s="64">
        <v>309</v>
      </c>
      <c r="AB15" s="64">
        <v>330</v>
      </c>
      <c r="AC15" s="64">
        <v>349</v>
      </c>
      <c r="AD15" s="64">
        <v>345</v>
      </c>
      <c r="AE15" s="145">
        <v>332</v>
      </c>
      <c r="AF15" s="60"/>
    </row>
    <row r="16" spans="1:32" ht="15" customHeight="1" x14ac:dyDescent="0.25">
      <c r="A16" s="152">
        <v>15</v>
      </c>
      <c r="B16" s="15" t="s">
        <v>25</v>
      </c>
      <c r="C16" s="68">
        <v>97</v>
      </c>
      <c r="D16" s="68">
        <v>88</v>
      </c>
      <c r="E16" s="68">
        <v>92</v>
      </c>
      <c r="F16" s="68">
        <v>98</v>
      </c>
      <c r="G16" s="68">
        <v>102</v>
      </c>
      <c r="H16" s="68">
        <v>88</v>
      </c>
      <c r="I16" s="68">
        <v>75</v>
      </c>
      <c r="J16" s="68">
        <v>86</v>
      </c>
      <c r="K16" s="68">
        <v>94</v>
      </c>
      <c r="L16" s="68">
        <v>96</v>
      </c>
      <c r="M16" s="68">
        <v>109</v>
      </c>
      <c r="N16" s="68">
        <v>113</v>
      </c>
      <c r="O16" s="68">
        <v>117</v>
      </c>
      <c r="P16" s="68">
        <v>129</v>
      </c>
      <c r="Q16" s="68">
        <v>130</v>
      </c>
      <c r="R16" s="68">
        <v>128</v>
      </c>
      <c r="S16" s="68">
        <v>141</v>
      </c>
      <c r="T16" s="68">
        <v>145</v>
      </c>
      <c r="U16" s="68">
        <v>139</v>
      </c>
      <c r="V16" s="68">
        <v>139</v>
      </c>
      <c r="W16" s="68">
        <v>143</v>
      </c>
      <c r="X16" s="68">
        <v>144</v>
      </c>
      <c r="Y16" s="68">
        <v>145</v>
      </c>
      <c r="Z16" s="68">
        <v>139</v>
      </c>
      <c r="AA16" s="68">
        <v>133</v>
      </c>
      <c r="AB16" s="68">
        <v>136</v>
      </c>
      <c r="AC16" s="68">
        <v>151</v>
      </c>
      <c r="AD16" s="68">
        <v>143</v>
      </c>
      <c r="AE16" s="153">
        <v>142</v>
      </c>
    </row>
    <row r="17" spans="1:31" ht="15" customHeight="1" x14ac:dyDescent="0.25">
      <c r="A17" s="156">
        <v>16</v>
      </c>
      <c r="B17" s="17" t="s">
        <v>26</v>
      </c>
      <c r="C17" s="70">
        <v>5</v>
      </c>
      <c r="D17" s="70">
        <v>5</v>
      </c>
      <c r="E17" s="70">
        <v>4</v>
      </c>
      <c r="F17" s="70">
        <v>4</v>
      </c>
      <c r="G17" s="70">
        <v>4</v>
      </c>
      <c r="H17" s="70">
        <v>5</v>
      </c>
      <c r="I17" s="70">
        <v>4</v>
      </c>
      <c r="J17" s="70">
        <v>4</v>
      </c>
      <c r="K17" s="70">
        <v>6</v>
      </c>
      <c r="L17" s="70">
        <v>7</v>
      </c>
      <c r="M17" s="70">
        <v>7</v>
      </c>
      <c r="N17" s="70">
        <v>5</v>
      </c>
      <c r="O17" s="70">
        <v>4</v>
      </c>
      <c r="P17" s="70">
        <v>4</v>
      </c>
      <c r="Q17" s="70">
        <v>4</v>
      </c>
      <c r="R17" s="70">
        <v>4</v>
      </c>
      <c r="S17" s="70">
        <v>4</v>
      </c>
      <c r="T17" s="70">
        <v>4</v>
      </c>
      <c r="U17" s="70">
        <v>4</v>
      </c>
      <c r="V17" s="70">
        <v>4</v>
      </c>
      <c r="W17" s="70">
        <v>4</v>
      </c>
      <c r="X17" s="70">
        <v>4</v>
      </c>
      <c r="Y17" s="70">
        <v>4</v>
      </c>
      <c r="Z17" s="70">
        <v>5</v>
      </c>
      <c r="AA17" s="70">
        <v>5</v>
      </c>
      <c r="AB17" s="70">
        <v>5</v>
      </c>
      <c r="AC17" s="70">
        <v>5</v>
      </c>
      <c r="AD17" s="70">
        <v>5</v>
      </c>
      <c r="AE17" s="157">
        <v>5</v>
      </c>
    </row>
    <row r="18" spans="1:31" ht="15" customHeight="1" x14ac:dyDescent="0.25">
      <c r="A18" s="156">
        <v>17</v>
      </c>
      <c r="B18" s="17" t="s">
        <v>27</v>
      </c>
      <c r="C18" s="70" t="s">
        <v>383</v>
      </c>
      <c r="D18" s="70" t="s">
        <v>383</v>
      </c>
      <c r="E18" s="70" t="s">
        <v>383</v>
      </c>
      <c r="F18" s="70" t="s">
        <v>383</v>
      </c>
      <c r="G18" s="70" t="s">
        <v>383</v>
      </c>
      <c r="H18" s="70" t="s">
        <v>383</v>
      </c>
      <c r="I18" s="70" t="s">
        <v>383</v>
      </c>
      <c r="J18" s="70" t="s">
        <v>383</v>
      </c>
      <c r="K18" s="70" t="s">
        <v>383</v>
      </c>
      <c r="L18" s="70" t="s">
        <v>383</v>
      </c>
      <c r="M18" s="70" t="s">
        <v>383</v>
      </c>
      <c r="N18" s="70" t="s">
        <v>383</v>
      </c>
      <c r="O18" s="70" t="s">
        <v>383</v>
      </c>
      <c r="P18" s="70" t="s">
        <v>383</v>
      </c>
      <c r="Q18" s="70" t="s">
        <v>383</v>
      </c>
      <c r="R18" s="70">
        <v>5</v>
      </c>
      <c r="S18" s="70">
        <v>5</v>
      </c>
      <c r="T18" s="70" t="s">
        <v>383</v>
      </c>
      <c r="U18" s="70">
        <v>5</v>
      </c>
      <c r="V18" s="70">
        <v>7</v>
      </c>
      <c r="W18" s="70">
        <v>7</v>
      </c>
      <c r="X18" s="70">
        <v>6</v>
      </c>
      <c r="Y18" s="70">
        <v>6</v>
      </c>
      <c r="Z18" s="70">
        <v>6</v>
      </c>
      <c r="AA18" s="70">
        <v>5</v>
      </c>
      <c r="AB18" s="70">
        <v>5</v>
      </c>
      <c r="AC18" s="70">
        <v>5</v>
      </c>
      <c r="AD18" s="70">
        <v>8</v>
      </c>
      <c r="AE18" s="157">
        <v>7</v>
      </c>
    </row>
    <row r="19" spans="1:31" ht="15" customHeight="1" x14ac:dyDescent="0.25">
      <c r="A19" s="156">
        <v>18</v>
      </c>
      <c r="B19" s="17" t="s">
        <v>28</v>
      </c>
      <c r="C19" s="70">
        <v>8</v>
      </c>
      <c r="D19" s="70">
        <v>6</v>
      </c>
      <c r="E19" s="70">
        <v>6</v>
      </c>
      <c r="F19" s="70">
        <v>5</v>
      </c>
      <c r="G19" s="70">
        <v>4</v>
      </c>
      <c r="H19" s="70">
        <v>4</v>
      </c>
      <c r="I19" s="70">
        <v>4</v>
      </c>
      <c r="J19" s="70">
        <v>5</v>
      </c>
      <c r="K19" s="70">
        <v>5</v>
      </c>
      <c r="L19" s="70">
        <v>4</v>
      </c>
      <c r="M19" s="70">
        <v>5</v>
      </c>
      <c r="N19" s="70">
        <v>8</v>
      </c>
      <c r="O19" s="70">
        <v>9</v>
      </c>
      <c r="P19" s="70">
        <v>12</v>
      </c>
      <c r="Q19" s="70">
        <v>9</v>
      </c>
      <c r="R19" s="70">
        <v>9</v>
      </c>
      <c r="S19" s="70">
        <v>7</v>
      </c>
      <c r="T19" s="70">
        <v>8</v>
      </c>
      <c r="U19" s="70">
        <v>7</v>
      </c>
      <c r="V19" s="70">
        <v>7</v>
      </c>
      <c r="W19" s="70">
        <v>9</v>
      </c>
      <c r="X19" s="70">
        <v>8</v>
      </c>
      <c r="Y19" s="70">
        <v>9</v>
      </c>
      <c r="Z19" s="70">
        <v>8</v>
      </c>
      <c r="AA19" s="70">
        <v>8</v>
      </c>
      <c r="AB19" s="70">
        <v>8</v>
      </c>
      <c r="AC19" s="70">
        <v>11</v>
      </c>
      <c r="AD19" s="70">
        <v>15</v>
      </c>
      <c r="AE19" s="157">
        <v>13</v>
      </c>
    </row>
    <row r="20" spans="1:31" ht="15" customHeight="1" x14ac:dyDescent="0.25">
      <c r="A20" s="156">
        <v>19</v>
      </c>
      <c r="B20" s="17" t="s">
        <v>105</v>
      </c>
      <c r="C20" s="70" t="s">
        <v>383</v>
      </c>
      <c r="D20" s="70" t="s">
        <v>383</v>
      </c>
      <c r="E20" s="70" t="s">
        <v>383</v>
      </c>
      <c r="F20" s="70" t="s">
        <v>383</v>
      </c>
      <c r="G20" s="70" t="s">
        <v>383</v>
      </c>
      <c r="H20" s="70" t="s">
        <v>383</v>
      </c>
      <c r="I20" s="70" t="s">
        <v>383</v>
      </c>
      <c r="J20" s="70" t="s">
        <v>383</v>
      </c>
      <c r="K20" s="70" t="s">
        <v>383</v>
      </c>
      <c r="L20" s="70" t="s">
        <v>383</v>
      </c>
      <c r="M20" s="70" t="s">
        <v>383</v>
      </c>
      <c r="N20" s="70" t="s">
        <v>383</v>
      </c>
      <c r="O20" s="70" t="s">
        <v>383</v>
      </c>
      <c r="P20" s="70">
        <v>4</v>
      </c>
      <c r="Q20" s="70" t="s">
        <v>383</v>
      </c>
      <c r="R20" s="70" t="s">
        <v>383</v>
      </c>
      <c r="S20" s="70" t="s">
        <v>383</v>
      </c>
      <c r="T20" s="70" t="s">
        <v>383</v>
      </c>
      <c r="U20" s="70" t="s">
        <v>383</v>
      </c>
      <c r="V20" s="70" t="s">
        <v>383</v>
      </c>
      <c r="W20" s="70" t="s">
        <v>383</v>
      </c>
      <c r="X20" s="70" t="s">
        <v>383</v>
      </c>
      <c r="Y20" s="70" t="s">
        <v>383</v>
      </c>
      <c r="Z20" s="70" t="s">
        <v>383</v>
      </c>
      <c r="AA20" s="70" t="s">
        <v>383</v>
      </c>
      <c r="AB20" s="70" t="s">
        <v>383</v>
      </c>
      <c r="AC20" s="70" t="s">
        <v>383</v>
      </c>
      <c r="AD20" s="70" t="s">
        <v>383</v>
      </c>
      <c r="AE20" s="157" t="s">
        <v>383</v>
      </c>
    </row>
    <row r="21" spans="1:31" ht="15" customHeight="1" x14ac:dyDescent="0.25">
      <c r="A21" s="156">
        <v>20</v>
      </c>
      <c r="B21" s="17" t="s">
        <v>30</v>
      </c>
      <c r="C21" s="70">
        <v>27</v>
      </c>
      <c r="D21" s="70">
        <v>29</v>
      </c>
      <c r="E21" s="70">
        <v>25</v>
      </c>
      <c r="F21" s="70">
        <v>23</v>
      </c>
      <c r="G21" s="70">
        <v>19</v>
      </c>
      <c r="H21" s="70">
        <v>19</v>
      </c>
      <c r="I21" s="70">
        <v>15</v>
      </c>
      <c r="J21" s="70">
        <v>17</v>
      </c>
      <c r="K21" s="70">
        <v>16</v>
      </c>
      <c r="L21" s="70">
        <v>16</v>
      </c>
      <c r="M21" s="70">
        <v>16</v>
      </c>
      <c r="N21" s="70">
        <v>18</v>
      </c>
      <c r="O21" s="70">
        <v>23</v>
      </c>
      <c r="P21" s="70">
        <v>25</v>
      </c>
      <c r="Q21" s="70">
        <v>29</v>
      </c>
      <c r="R21" s="70">
        <v>26</v>
      </c>
      <c r="S21" s="70">
        <v>29</v>
      </c>
      <c r="T21" s="70">
        <v>29</v>
      </c>
      <c r="U21" s="70">
        <v>25</v>
      </c>
      <c r="V21" s="70">
        <v>26</v>
      </c>
      <c r="W21" s="70">
        <v>26</v>
      </c>
      <c r="X21" s="70">
        <v>25</v>
      </c>
      <c r="Y21" s="70">
        <v>24</v>
      </c>
      <c r="Z21" s="70">
        <v>22</v>
      </c>
      <c r="AA21" s="70">
        <v>21</v>
      </c>
      <c r="AB21" s="70">
        <v>22</v>
      </c>
      <c r="AC21" s="70">
        <v>22</v>
      </c>
      <c r="AD21" s="70">
        <v>20</v>
      </c>
      <c r="AE21" s="157">
        <v>19</v>
      </c>
    </row>
    <row r="22" spans="1:31" ht="15" customHeight="1" x14ac:dyDescent="0.25">
      <c r="A22" s="156">
        <v>21</v>
      </c>
      <c r="B22" s="17" t="s">
        <v>31</v>
      </c>
      <c r="C22" s="70">
        <v>4</v>
      </c>
      <c r="D22" s="70">
        <v>5</v>
      </c>
      <c r="E22" s="70" t="s">
        <v>383</v>
      </c>
      <c r="F22" s="70" t="s">
        <v>383</v>
      </c>
      <c r="G22" s="70" t="s">
        <v>383</v>
      </c>
      <c r="H22" s="70">
        <v>4</v>
      </c>
      <c r="I22" s="70">
        <v>4</v>
      </c>
      <c r="J22" s="70">
        <v>4</v>
      </c>
      <c r="K22" s="70">
        <v>4</v>
      </c>
      <c r="L22" s="70">
        <v>4</v>
      </c>
      <c r="M22" s="70" t="s">
        <v>383</v>
      </c>
      <c r="N22" s="70" t="s">
        <v>383</v>
      </c>
      <c r="O22" s="70" t="s">
        <v>383</v>
      </c>
      <c r="P22" s="70" t="s">
        <v>383</v>
      </c>
      <c r="Q22" s="70" t="s">
        <v>383</v>
      </c>
      <c r="R22" s="70">
        <v>4</v>
      </c>
      <c r="S22" s="70">
        <v>4</v>
      </c>
      <c r="T22" s="70">
        <v>4</v>
      </c>
      <c r="U22" s="70" t="s">
        <v>383</v>
      </c>
      <c r="V22" s="70" t="s">
        <v>383</v>
      </c>
      <c r="W22" s="70" t="s">
        <v>383</v>
      </c>
      <c r="X22" s="70" t="s">
        <v>383</v>
      </c>
      <c r="Y22" s="70" t="s">
        <v>383</v>
      </c>
      <c r="Z22" s="70" t="s">
        <v>383</v>
      </c>
      <c r="AA22" s="70" t="s">
        <v>383</v>
      </c>
      <c r="AB22" s="70" t="s">
        <v>383</v>
      </c>
      <c r="AC22" s="70" t="s">
        <v>383</v>
      </c>
      <c r="AD22" s="70" t="s">
        <v>383</v>
      </c>
      <c r="AE22" s="157" t="s">
        <v>383</v>
      </c>
    </row>
    <row r="23" spans="1:31" ht="15" customHeight="1" x14ac:dyDescent="0.25">
      <c r="A23" s="156">
        <v>22</v>
      </c>
      <c r="B23" s="17" t="s">
        <v>98</v>
      </c>
      <c r="C23" s="70">
        <v>18</v>
      </c>
      <c r="D23" s="70">
        <v>16</v>
      </c>
      <c r="E23" s="70">
        <v>20</v>
      </c>
      <c r="F23" s="70">
        <v>19</v>
      </c>
      <c r="G23" s="70">
        <v>26</v>
      </c>
      <c r="H23" s="70">
        <v>22</v>
      </c>
      <c r="I23" s="70">
        <v>19</v>
      </c>
      <c r="J23" s="70">
        <v>18</v>
      </c>
      <c r="K23" s="70">
        <v>17</v>
      </c>
      <c r="L23" s="70">
        <v>20</v>
      </c>
      <c r="M23" s="70">
        <v>22</v>
      </c>
      <c r="N23" s="70">
        <v>23</v>
      </c>
      <c r="O23" s="70">
        <v>21</v>
      </c>
      <c r="P23" s="70">
        <v>27</v>
      </c>
      <c r="Q23" s="70">
        <v>24</v>
      </c>
      <c r="R23" s="70">
        <v>26</v>
      </c>
      <c r="S23" s="70">
        <v>24</v>
      </c>
      <c r="T23" s="70">
        <v>20</v>
      </c>
      <c r="U23" s="70">
        <v>18</v>
      </c>
      <c r="V23" s="70">
        <v>19</v>
      </c>
      <c r="W23" s="70">
        <v>18</v>
      </c>
      <c r="X23" s="70">
        <v>20</v>
      </c>
      <c r="Y23" s="70">
        <v>19</v>
      </c>
      <c r="Z23" s="70">
        <v>20</v>
      </c>
      <c r="AA23" s="70">
        <v>19</v>
      </c>
      <c r="AB23" s="70">
        <v>19</v>
      </c>
      <c r="AC23" s="70">
        <v>18</v>
      </c>
      <c r="AD23" s="70">
        <v>19</v>
      </c>
      <c r="AE23" s="157">
        <v>19</v>
      </c>
    </row>
    <row r="24" spans="1:31" ht="15" customHeight="1" x14ac:dyDescent="0.25">
      <c r="A24" s="156">
        <v>23</v>
      </c>
      <c r="B24" s="17" t="s">
        <v>33</v>
      </c>
      <c r="C24" s="70" t="s">
        <v>383</v>
      </c>
      <c r="D24" s="70" t="s">
        <v>383</v>
      </c>
      <c r="E24" s="70" t="s">
        <v>383</v>
      </c>
      <c r="F24" s="70" t="s">
        <v>383</v>
      </c>
      <c r="G24" s="70" t="s">
        <v>383</v>
      </c>
      <c r="H24" s="70" t="s">
        <v>383</v>
      </c>
      <c r="I24" s="70" t="s">
        <v>383</v>
      </c>
      <c r="J24" s="70" t="s">
        <v>383</v>
      </c>
      <c r="K24" s="70" t="s">
        <v>383</v>
      </c>
      <c r="L24" s="70" t="s">
        <v>383</v>
      </c>
      <c r="M24" s="70" t="s">
        <v>383</v>
      </c>
      <c r="N24" s="70" t="s">
        <v>383</v>
      </c>
      <c r="O24" s="70" t="s">
        <v>383</v>
      </c>
      <c r="P24" s="70" t="s">
        <v>383</v>
      </c>
      <c r="Q24" s="70" t="s">
        <v>383</v>
      </c>
      <c r="R24" s="70" t="s">
        <v>383</v>
      </c>
      <c r="S24" s="70" t="s">
        <v>383</v>
      </c>
      <c r="T24" s="70" t="s">
        <v>383</v>
      </c>
      <c r="U24" s="70" t="s">
        <v>383</v>
      </c>
      <c r="V24" s="70" t="s">
        <v>383</v>
      </c>
      <c r="W24" s="70" t="s">
        <v>383</v>
      </c>
      <c r="X24" s="70" t="s">
        <v>383</v>
      </c>
      <c r="Y24" s="70" t="s">
        <v>383</v>
      </c>
      <c r="Z24" s="70" t="s">
        <v>383</v>
      </c>
      <c r="AA24" s="70" t="s">
        <v>383</v>
      </c>
      <c r="AB24" s="70" t="s">
        <v>383</v>
      </c>
      <c r="AC24" s="70" t="s">
        <v>383</v>
      </c>
      <c r="AD24" s="70" t="s">
        <v>383</v>
      </c>
      <c r="AE24" s="157" t="s">
        <v>383</v>
      </c>
    </row>
    <row r="25" spans="1:31" ht="15" customHeight="1" x14ac:dyDescent="0.25">
      <c r="A25" s="156">
        <v>24</v>
      </c>
      <c r="B25" s="17" t="s">
        <v>34</v>
      </c>
      <c r="C25" s="70">
        <v>31</v>
      </c>
      <c r="D25" s="70">
        <v>28</v>
      </c>
      <c r="E25" s="70">
        <v>28</v>
      </c>
      <c r="F25" s="70">
        <v>29</v>
      </c>
      <c r="G25" s="70">
        <v>29</v>
      </c>
      <c r="H25" s="70">
        <v>30</v>
      </c>
      <c r="I25" s="70">
        <v>25</v>
      </c>
      <c r="J25" s="70">
        <v>23</v>
      </c>
      <c r="K25" s="70">
        <v>24</v>
      </c>
      <c r="L25" s="70">
        <v>23</v>
      </c>
      <c r="M25" s="70">
        <v>24</v>
      </c>
      <c r="N25" s="70">
        <v>26</v>
      </c>
      <c r="O25" s="70">
        <v>26</v>
      </c>
      <c r="P25" s="70">
        <v>30</v>
      </c>
      <c r="Q25" s="70">
        <v>31</v>
      </c>
      <c r="R25" s="70">
        <v>28</v>
      </c>
      <c r="S25" s="70">
        <v>28</v>
      </c>
      <c r="T25" s="70">
        <v>27</v>
      </c>
      <c r="U25" s="70">
        <v>26</v>
      </c>
      <c r="V25" s="70">
        <v>26</v>
      </c>
      <c r="W25" s="70">
        <v>24</v>
      </c>
      <c r="X25" s="70">
        <v>23</v>
      </c>
      <c r="Y25" s="70">
        <v>25</v>
      </c>
      <c r="Z25" s="70">
        <v>25</v>
      </c>
      <c r="AA25" s="70">
        <v>23</v>
      </c>
      <c r="AB25" s="70">
        <v>24</v>
      </c>
      <c r="AC25" s="70">
        <v>25</v>
      </c>
      <c r="AD25" s="70">
        <v>25</v>
      </c>
      <c r="AE25" s="157">
        <v>24</v>
      </c>
    </row>
    <row r="26" spans="1:31" ht="15" customHeight="1" x14ac:dyDescent="0.25">
      <c r="A26" s="156">
        <v>25</v>
      </c>
      <c r="B26" s="17" t="s">
        <v>35</v>
      </c>
      <c r="C26" s="70">
        <v>4</v>
      </c>
      <c r="D26" s="70">
        <v>5</v>
      </c>
      <c r="E26" s="70">
        <v>5</v>
      </c>
      <c r="F26" s="70">
        <v>5</v>
      </c>
      <c r="G26" s="70">
        <v>5</v>
      </c>
      <c r="H26" s="70">
        <v>6</v>
      </c>
      <c r="I26" s="70">
        <v>6</v>
      </c>
      <c r="J26" s="70">
        <v>6</v>
      </c>
      <c r="K26" s="70">
        <v>6</v>
      </c>
      <c r="L26" s="70">
        <v>6</v>
      </c>
      <c r="M26" s="70">
        <v>6</v>
      </c>
      <c r="N26" s="70">
        <v>6</v>
      </c>
      <c r="O26" s="70">
        <v>6</v>
      </c>
      <c r="P26" s="70">
        <v>5</v>
      </c>
      <c r="Q26" s="70">
        <v>4</v>
      </c>
      <c r="R26" s="70">
        <v>4</v>
      </c>
      <c r="S26" s="70">
        <v>4</v>
      </c>
      <c r="T26" s="70">
        <v>5</v>
      </c>
      <c r="U26" s="70">
        <v>4</v>
      </c>
      <c r="V26" s="70">
        <v>4</v>
      </c>
      <c r="W26" s="70">
        <v>5</v>
      </c>
      <c r="X26" s="70">
        <v>4</v>
      </c>
      <c r="Y26" s="70">
        <v>4</v>
      </c>
      <c r="Z26" s="70">
        <v>5</v>
      </c>
      <c r="AA26" s="70">
        <v>6</v>
      </c>
      <c r="AB26" s="70">
        <v>7</v>
      </c>
      <c r="AC26" s="70">
        <v>7</v>
      </c>
      <c r="AD26" s="70">
        <v>7</v>
      </c>
      <c r="AE26" s="157">
        <v>7</v>
      </c>
    </row>
    <row r="27" spans="1:31" ht="15" customHeight="1" x14ac:dyDescent="0.25">
      <c r="A27" s="156">
        <v>26</v>
      </c>
      <c r="B27" s="17" t="s">
        <v>36</v>
      </c>
      <c r="C27" s="70">
        <v>16</v>
      </c>
      <c r="D27" s="70">
        <v>16</v>
      </c>
      <c r="E27" s="70">
        <v>13</v>
      </c>
      <c r="F27" s="70">
        <v>13</v>
      </c>
      <c r="G27" s="70">
        <v>14</v>
      </c>
      <c r="H27" s="70">
        <v>15</v>
      </c>
      <c r="I27" s="70">
        <v>11</v>
      </c>
      <c r="J27" s="70">
        <v>11</v>
      </c>
      <c r="K27" s="70">
        <v>12</v>
      </c>
      <c r="L27" s="70">
        <v>12</v>
      </c>
      <c r="M27" s="70">
        <v>16</v>
      </c>
      <c r="N27" s="70">
        <v>18</v>
      </c>
      <c r="O27" s="70">
        <v>18</v>
      </c>
      <c r="P27" s="70">
        <v>23</v>
      </c>
      <c r="Q27" s="70">
        <v>24</v>
      </c>
      <c r="R27" s="70">
        <v>22</v>
      </c>
      <c r="S27" s="70">
        <v>25</v>
      </c>
      <c r="T27" s="70">
        <v>20</v>
      </c>
      <c r="U27" s="70">
        <v>21</v>
      </c>
      <c r="V27" s="70">
        <v>21</v>
      </c>
      <c r="W27" s="70">
        <v>19</v>
      </c>
      <c r="X27" s="70">
        <v>22</v>
      </c>
      <c r="Y27" s="70">
        <v>21</v>
      </c>
      <c r="Z27" s="70">
        <v>17</v>
      </c>
      <c r="AA27" s="70">
        <v>16</v>
      </c>
      <c r="AB27" s="70">
        <v>20</v>
      </c>
      <c r="AC27" s="70">
        <v>23</v>
      </c>
      <c r="AD27" s="70">
        <v>18</v>
      </c>
      <c r="AE27" s="157">
        <v>19</v>
      </c>
    </row>
    <row r="28" spans="1:31" ht="15" customHeight="1" x14ac:dyDescent="0.25">
      <c r="A28" s="156">
        <v>27</v>
      </c>
      <c r="B28" s="17" t="s">
        <v>37</v>
      </c>
      <c r="C28" s="70">
        <v>9</v>
      </c>
      <c r="D28" s="70">
        <v>8</v>
      </c>
      <c r="E28" s="70">
        <v>7</v>
      </c>
      <c r="F28" s="70">
        <v>6</v>
      </c>
      <c r="G28" s="70">
        <v>4</v>
      </c>
      <c r="H28" s="70">
        <v>4</v>
      </c>
      <c r="I28" s="70" t="s">
        <v>383</v>
      </c>
      <c r="J28" s="70">
        <v>4</v>
      </c>
      <c r="K28" s="70">
        <v>5</v>
      </c>
      <c r="L28" s="70">
        <v>5</v>
      </c>
      <c r="M28" s="70">
        <v>6</v>
      </c>
      <c r="N28" s="70">
        <v>6</v>
      </c>
      <c r="O28" s="70">
        <v>5</v>
      </c>
      <c r="P28" s="70">
        <v>6</v>
      </c>
      <c r="Q28" s="70">
        <v>5</v>
      </c>
      <c r="R28" s="70">
        <v>6</v>
      </c>
      <c r="S28" s="70">
        <v>6</v>
      </c>
      <c r="T28" s="70">
        <v>5</v>
      </c>
      <c r="U28" s="70">
        <v>7</v>
      </c>
      <c r="V28" s="70">
        <v>6</v>
      </c>
      <c r="W28" s="70">
        <v>6</v>
      </c>
      <c r="X28" s="70">
        <v>6</v>
      </c>
      <c r="Y28" s="70">
        <v>4</v>
      </c>
      <c r="Z28" s="70">
        <v>4</v>
      </c>
      <c r="AA28" s="70">
        <v>4</v>
      </c>
      <c r="AB28" s="70">
        <v>5</v>
      </c>
      <c r="AC28" s="70">
        <v>5</v>
      </c>
      <c r="AD28" s="70">
        <v>5</v>
      </c>
      <c r="AE28" s="157">
        <v>6</v>
      </c>
    </row>
    <row r="29" spans="1:31" ht="15" customHeight="1" x14ac:dyDescent="0.25">
      <c r="A29" s="156">
        <v>28</v>
      </c>
      <c r="B29" s="17" t="s">
        <v>38</v>
      </c>
      <c r="C29" s="70">
        <v>23</v>
      </c>
      <c r="D29" s="70">
        <v>21</v>
      </c>
      <c r="E29" s="70">
        <v>24</v>
      </c>
      <c r="F29" s="70">
        <v>21</v>
      </c>
      <c r="G29" s="70">
        <v>19</v>
      </c>
      <c r="H29" s="70">
        <v>15</v>
      </c>
      <c r="I29" s="70">
        <v>17</v>
      </c>
      <c r="J29" s="70">
        <v>16</v>
      </c>
      <c r="K29" s="70">
        <v>20</v>
      </c>
      <c r="L29" s="70">
        <v>22</v>
      </c>
      <c r="M29" s="70">
        <v>26</v>
      </c>
      <c r="N29" s="70">
        <v>25</v>
      </c>
      <c r="O29" s="70">
        <v>32</v>
      </c>
      <c r="P29" s="70">
        <v>38</v>
      </c>
      <c r="Q29" s="70">
        <v>38</v>
      </c>
      <c r="R29" s="70">
        <v>37</v>
      </c>
      <c r="S29" s="70">
        <v>36</v>
      </c>
      <c r="T29" s="70">
        <v>39</v>
      </c>
      <c r="U29" s="70">
        <v>37</v>
      </c>
      <c r="V29" s="70">
        <v>37</v>
      </c>
      <c r="W29" s="70">
        <v>37</v>
      </c>
      <c r="X29" s="70">
        <v>36</v>
      </c>
      <c r="Y29" s="70">
        <v>37</v>
      </c>
      <c r="Z29" s="70">
        <v>37</v>
      </c>
      <c r="AA29" s="70">
        <v>34</v>
      </c>
      <c r="AB29" s="70">
        <v>34</v>
      </c>
      <c r="AC29" s="70">
        <v>32</v>
      </c>
      <c r="AD29" s="70">
        <v>34</v>
      </c>
      <c r="AE29" s="157">
        <v>32</v>
      </c>
    </row>
    <row r="30" spans="1:31" ht="15" customHeight="1" x14ac:dyDescent="0.25">
      <c r="A30" s="156">
        <v>29</v>
      </c>
      <c r="B30" s="17" t="s">
        <v>39</v>
      </c>
      <c r="C30" s="70">
        <v>8</v>
      </c>
      <c r="D30" s="70">
        <v>6</v>
      </c>
      <c r="E30" s="70">
        <v>9</v>
      </c>
      <c r="F30" s="70">
        <v>5</v>
      </c>
      <c r="G30" s="70" t="s">
        <v>383</v>
      </c>
      <c r="H30" s="70" t="s">
        <v>383</v>
      </c>
      <c r="I30" s="70" t="s">
        <v>383</v>
      </c>
      <c r="J30" s="70" t="s">
        <v>383</v>
      </c>
      <c r="K30" s="70">
        <v>6</v>
      </c>
      <c r="L30" s="70">
        <v>6</v>
      </c>
      <c r="M30" s="70">
        <v>4</v>
      </c>
      <c r="N30" s="70">
        <v>7</v>
      </c>
      <c r="O30" s="70">
        <v>10</v>
      </c>
      <c r="P30" s="70">
        <v>10</v>
      </c>
      <c r="Q30" s="70">
        <v>9</v>
      </c>
      <c r="R30" s="70">
        <v>10</v>
      </c>
      <c r="S30" s="70">
        <v>8</v>
      </c>
      <c r="T30" s="70">
        <v>10</v>
      </c>
      <c r="U30" s="70">
        <v>9</v>
      </c>
      <c r="V30" s="70">
        <v>8</v>
      </c>
      <c r="W30" s="70">
        <v>8</v>
      </c>
      <c r="X30" s="70">
        <v>8</v>
      </c>
      <c r="Y30" s="70">
        <v>7</v>
      </c>
      <c r="Z30" s="70">
        <v>7</v>
      </c>
      <c r="AA30" s="70">
        <v>7</v>
      </c>
      <c r="AB30" s="70">
        <v>12</v>
      </c>
      <c r="AC30" s="70">
        <v>12</v>
      </c>
      <c r="AD30" s="70">
        <v>11</v>
      </c>
      <c r="AE30" s="157">
        <v>10</v>
      </c>
    </row>
    <row r="31" spans="1:31" ht="15" customHeight="1" x14ac:dyDescent="0.25">
      <c r="A31" s="156">
        <v>30</v>
      </c>
      <c r="B31" s="17" t="s">
        <v>40</v>
      </c>
      <c r="C31" s="70" t="s">
        <v>383</v>
      </c>
      <c r="D31" s="70" t="s">
        <v>383</v>
      </c>
      <c r="E31" s="70" t="s">
        <v>383</v>
      </c>
      <c r="F31" s="70" t="s">
        <v>383</v>
      </c>
      <c r="G31" s="70" t="s">
        <v>383</v>
      </c>
      <c r="H31" s="70" t="s">
        <v>383</v>
      </c>
      <c r="I31" s="70" t="s">
        <v>383</v>
      </c>
      <c r="J31" s="70" t="s">
        <v>383</v>
      </c>
      <c r="K31" s="70" t="s">
        <v>383</v>
      </c>
      <c r="L31" s="70" t="s">
        <v>383</v>
      </c>
      <c r="M31" s="70" t="s">
        <v>383</v>
      </c>
      <c r="N31" s="70" t="s">
        <v>383</v>
      </c>
      <c r="O31" s="70" t="s">
        <v>383</v>
      </c>
      <c r="P31" s="70" t="s">
        <v>383</v>
      </c>
      <c r="Q31" s="70" t="s">
        <v>383</v>
      </c>
      <c r="R31" s="70" t="s">
        <v>383</v>
      </c>
      <c r="S31" s="70" t="s">
        <v>383</v>
      </c>
      <c r="T31" s="70" t="s">
        <v>383</v>
      </c>
      <c r="U31" s="70" t="s">
        <v>383</v>
      </c>
      <c r="V31" s="70" t="s">
        <v>383</v>
      </c>
      <c r="W31" s="70" t="s">
        <v>383</v>
      </c>
      <c r="X31" s="70" t="s">
        <v>383</v>
      </c>
      <c r="Y31" s="70" t="s">
        <v>383</v>
      </c>
      <c r="Z31" s="70" t="s">
        <v>383</v>
      </c>
      <c r="AA31" s="70" t="s">
        <v>383</v>
      </c>
      <c r="AB31" s="70" t="s">
        <v>383</v>
      </c>
      <c r="AC31" s="70" t="s">
        <v>383</v>
      </c>
      <c r="AD31" s="70" t="s">
        <v>383</v>
      </c>
      <c r="AE31" s="157" t="s">
        <v>383</v>
      </c>
    </row>
    <row r="32" spans="1:31" ht="15" customHeight="1" x14ac:dyDescent="0.25">
      <c r="A32" s="156">
        <v>31</v>
      </c>
      <c r="B32" s="17" t="s">
        <v>41</v>
      </c>
      <c r="C32" s="70" t="s">
        <v>383</v>
      </c>
      <c r="D32" s="70" t="s">
        <v>383</v>
      </c>
      <c r="E32" s="70" t="s">
        <v>383</v>
      </c>
      <c r="F32" s="70" t="s">
        <v>383</v>
      </c>
      <c r="G32" s="70" t="s">
        <v>383</v>
      </c>
      <c r="H32" s="70" t="s">
        <v>383</v>
      </c>
      <c r="I32" s="70" t="s">
        <v>383</v>
      </c>
      <c r="J32" s="70" t="s">
        <v>383</v>
      </c>
      <c r="K32" s="70" t="s">
        <v>383</v>
      </c>
      <c r="L32" s="70" t="s">
        <v>383</v>
      </c>
      <c r="M32" s="70" t="s">
        <v>383</v>
      </c>
      <c r="N32" s="70" t="s">
        <v>383</v>
      </c>
      <c r="O32" s="70" t="s">
        <v>383</v>
      </c>
      <c r="P32" s="70" t="s">
        <v>383</v>
      </c>
      <c r="Q32" s="70" t="s">
        <v>383</v>
      </c>
      <c r="R32" s="70" t="s">
        <v>383</v>
      </c>
      <c r="S32" s="70" t="s">
        <v>383</v>
      </c>
      <c r="T32" s="70" t="s">
        <v>383</v>
      </c>
      <c r="U32" s="70" t="s">
        <v>383</v>
      </c>
      <c r="V32" s="70" t="s">
        <v>383</v>
      </c>
      <c r="W32" s="70" t="s">
        <v>383</v>
      </c>
      <c r="X32" s="70" t="s">
        <v>383</v>
      </c>
      <c r="Y32" s="70" t="s">
        <v>383</v>
      </c>
      <c r="Z32" s="70" t="s">
        <v>383</v>
      </c>
      <c r="AA32" s="70" t="s">
        <v>383</v>
      </c>
      <c r="AB32" s="70" t="s">
        <v>383</v>
      </c>
      <c r="AC32" s="70" t="s">
        <v>383</v>
      </c>
      <c r="AD32" s="70" t="s">
        <v>383</v>
      </c>
      <c r="AE32" s="157" t="s">
        <v>383</v>
      </c>
    </row>
    <row r="33" spans="1:32" ht="15" customHeight="1" x14ac:dyDescent="0.25">
      <c r="A33" s="156">
        <v>32</v>
      </c>
      <c r="B33" s="17" t="s">
        <v>42</v>
      </c>
      <c r="C33" s="70" t="s">
        <v>383</v>
      </c>
      <c r="D33" s="70" t="s">
        <v>383</v>
      </c>
      <c r="E33" s="70" t="s">
        <v>383</v>
      </c>
      <c r="F33" s="70" t="s">
        <v>383</v>
      </c>
      <c r="G33" s="70" t="s">
        <v>383</v>
      </c>
      <c r="H33" s="70" t="s">
        <v>383</v>
      </c>
      <c r="I33" s="70" t="s">
        <v>383</v>
      </c>
      <c r="J33" s="70" t="s">
        <v>383</v>
      </c>
      <c r="K33" s="70" t="s">
        <v>383</v>
      </c>
      <c r="L33" s="70" t="s">
        <v>383</v>
      </c>
      <c r="M33" s="70" t="s">
        <v>383</v>
      </c>
      <c r="N33" s="70" t="s">
        <v>383</v>
      </c>
      <c r="O33" s="70" t="s">
        <v>383</v>
      </c>
      <c r="P33" s="70" t="s">
        <v>383</v>
      </c>
      <c r="Q33" s="70" t="s">
        <v>383</v>
      </c>
      <c r="R33" s="70" t="s">
        <v>383</v>
      </c>
      <c r="S33" s="70" t="s">
        <v>383</v>
      </c>
      <c r="T33" s="70" t="s">
        <v>383</v>
      </c>
      <c r="U33" s="70" t="s">
        <v>383</v>
      </c>
      <c r="V33" s="70" t="s">
        <v>383</v>
      </c>
      <c r="W33" s="70" t="s">
        <v>383</v>
      </c>
      <c r="X33" s="70" t="s">
        <v>383</v>
      </c>
      <c r="Y33" s="70" t="s">
        <v>383</v>
      </c>
      <c r="Z33" s="70" t="s">
        <v>383</v>
      </c>
      <c r="AA33" s="70" t="s">
        <v>383</v>
      </c>
      <c r="AB33" s="70" t="s">
        <v>383</v>
      </c>
      <c r="AC33" s="70" t="s">
        <v>383</v>
      </c>
      <c r="AD33" s="70" t="s">
        <v>383</v>
      </c>
      <c r="AE33" s="157" t="s">
        <v>383</v>
      </c>
    </row>
    <row r="34" spans="1:32" ht="15" customHeight="1" x14ac:dyDescent="0.25">
      <c r="A34" s="156">
        <v>33</v>
      </c>
      <c r="B34" s="17" t="s">
        <v>43</v>
      </c>
      <c r="C34" s="70" t="s">
        <v>383</v>
      </c>
      <c r="D34" s="70" t="s">
        <v>383</v>
      </c>
      <c r="E34" s="70" t="s">
        <v>383</v>
      </c>
      <c r="F34" s="70" t="s">
        <v>383</v>
      </c>
      <c r="G34" s="70" t="s">
        <v>383</v>
      </c>
      <c r="H34" s="70" t="s">
        <v>383</v>
      </c>
      <c r="I34" s="70" t="s">
        <v>383</v>
      </c>
      <c r="J34" s="70" t="s">
        <v>383</v>
      </c>
      <c r="K34" s="70" t="s">
        <v>383</v>
      </c>
      <c r="L34" s="70" t="s">
        <v>383</v>
      </c>
      <c r="M34" s="70" t="s">
        <v>383</v>
      </c>
      <c r="N34" s="70" t="s">
        <v>383</v>
      </c>
      <c r="O34" s="70" t="s">
        <v>383</v>
      </c>
      <c r="P34" s="70" t="s">
        <v>383</v>
      </c>
      <c r="Q34" s="70" t="s">
        <v>383</v>
      </c>
      <c r="R34" s="70" t="s">
        <v>383</v>
      </c>
      <c r="S34" s="70" t="s">
        <v>383</v>
      </c>
      <c r="T34" s="70" t="s">
        <v>383</v>
      </c>
      <c r="U34" s="70" t="s">
        <v>383</v>
      </c>
      <c r="V34" s="70" t="s">
        <v>383</v>
      </c>
      <c r="W34" s="70" t="s">
        <v>383</v>
      </c>
      <c r="X34" s="70" t="s">
        <v>383</v>
      </c>
      <c r="Y34" s="70" t="s">
        <v>383</v>
      </c>
      <c r="Z34" s="70" t="s">
        <v>383</v>
      </c>
      <c r="AA34" s="70" t="s">
        <v>383</v>
      </c>
      <c r="AB34" s="70" t="s">
        <v>383</v>
      </c>
      <c r="AC34" s="70">
        <v>5</v>
      </c>
      <c r="AD34" s="70">
        <v>4</v>
      </c>
      <c r="AE34" s="157">
        <v>4</v>
      </c>
    </row>
    <row r="35" spans="1:32" ht="15" customHeight="1" x14ac:dyDescent="0.25">
      <c r="A35" s="156">
        <v>34</v>
      </c>
      <c r="B35" s="17" t="s">
        <v>44</v>
      </c>
      <c r="C35" s="70" t="s">
        <v>383</v>
      </c>
      <c r="D35" s="70" t="s">
        <v>383</v>
      </c>
      <c r="E35" s="70">
        <v>4</v>
      </c>
      <c r="F35" s="70">
        <v>5</v>
      </c>
      <c r="G35" s="70">
        <v>5</v>
      </c>
      <c r="H35" s="70" t="s">
        <v>383</v>
      </c>
      <c r="I35" s="70" t="s">
        <v>383</v>
      </c>
      <c r="J35" s="70" t="s">
        <v>383</v>
      </c>
      <c r="K35" s="70" t="s">
        <v>383</v>
      </c>
      <c r="L35" s="70" t="s">
        <v>383</v>
      </c>
      <c r="M35" s="70" t="s">
        <v>383</v>
      </c>
      <c r="N35" s="70">
        <v>4</v>
      </c>
      <c r="O35" s="70" t="s">
        <v>383</v>
      </c>
      <c r="P35" s="70" t="s">
        <v>383</v>
      </c>
      <c r="Q35" s="70" t="s">
        <v>383</v>
      </c>
      <c r="R35" s="70" t="s">
        <v>383</v>
      </c>
      <c r="S35" s="70" t="s">
        <v>383</v>
      </c>
      <c r="T35" s="70" t="s">
        <v>383</v>
      </c>
      <c r="U35" s="70" t="s">
        <v>383</v>
      </c>
      <c r="V35" s="70" t="s">
        <v>383</v>
      </c>
      <c r="W35" s="70" t="s">
        <v>383</v>
      </c>
      <c r="X35" s="70" t="s">
        <v>383</v>
      </c>
      <c r="Y35" s="70" t="s">
        <v>383</v>
      </c>
      <c r="Z35" s="70" t="s">
        <v>383</v>
      </c>
      <c r="AA35" s="70" t="s">
        <v>383</v>
      </c>
      <c r="AB35" s="70" t="s">
        <v>383</v>
      </c>
      <c r="AC35" s="70" t="s">
        <v>383</v>
      </c>
      <c r="AD35" s="70" t="s">
        <v>383</v>
      </c>
      <c r="AE35" s="157" t="s">
        <v>383</v>
      </c>
    </row>
    <row r="36" spans="1:32" ht="15" customHeight="1" x14ac:dyDescent="0.25">
      <c r="A36" s="156">
        <v>35</v>
      </c>
      <c r="B36" s="17" t="s">
        <v>45</v>
      </c>
      <c r="C36" s="70" t="s">
        <v>383</v>
      </c>
      <c r="D36" s="70" t="s">
        <v>383</v>
      </c>
      <c r="E36" s="70" t="s">
        <v>383</v>
      </c>
      <c r="F36" s="70" t="s">
        <v>383</v>
      </c>
      <c r="G36" s="70" t="s">
        <v>383</v>
      </c>
      <c r="H36" s="70" t="s">
        <v>383</v>
      </c>
      <c r="I36" s="70" t="s">
        <v>383</v>
      </c>
      <c r="J36" s="70" t="s">
        <v>383</v>
      </c>
      <c r="K36" s="70" t="s">
        <v>383</v>
      </c>
      <c r="L36" s="70" t="s">
        <v>383</v>
      </c>
      <c r="M36" s="70" t="s">
        <v>383</v>
      </c>
      <c r="N36" s="70" t="s">
        <v>383</v>
      </c>
      <c r="O36" s="70" t="s">
        <v>383</v>
      </c>
      <c r="P36" s="70" t="s">
        <v>383</v>
      </c>
      <c r="Q36" s="70" t="s">
        <v>383</v>
      </c>
      <c r="R36" s="70" t="s">
        <v>383</v>
      </c>
      <c r="S36" s="70" t="s">
        <v>383</v>
      </c>
      <c r="T36" s="70" t="s">
        <v>383</v>
      </c>
      <c r="U36" s="70" t="s">
        <v>383</v>
      </c>
      <c r="V36" s="70" t="s">
        <v>383</v>
      </c>
      <c r="W36" s="70" t="s">
        <v>383</v>
      </c>
      <c r="X36" s="70" t="s">
        <v>383</v>
      </c>
      <c r="Y36" s="70" t="s">
        <v>383</v>
      </c>
      <c r="Z36" s="70" t="s">
        <v>383</v>
      </c>
      <c r="AA36" s="70" t="s">
        <v>383</v>
      </c>
      <c r="AB36" s="70" t="s">
        <v>383</v>
      </c>
      <c r="AC36" s="70" t="s">
        <v>383</v>
      </c>
      <c r="AD36" s="70" t="s">
        <v>383</v>
      </c>
      <c r="AE36" s="157" t="s">
        <v>383</v>
      </c>
    </row>
    <row r="37" spans="1:32" ht="15" customHeight="1" x14ac:dyDescent="0.25">
      <c r="A37" s="156">
        <v>36</v>
      </c>
      <c r="B37" s="17" t="s">
        <v>46</v>
      </c>
      <c r="C37" s="70">
        <v>7</v>
      </c>
      <c r="D37" s="70">
        <v>6</v>
      </c>
      <c r="E37" s="70">
        <v>6</v>
      </c>
      <c r="F37" s="70">
        <v>9</v>
      </c>
      <c r="G37" s="70">
        <v>7</v>
      </c>
      <c r="H37" s="70">
        <v>6</v>
      </c>
      <c r="I37" s="70">
        <v>4</v>
      </c>
      <c r="J37" s="70" t="s">
        <v>383</v>
      </c>
      <c r="K37" s="70">
        <v>4</v>
      </c>
      <c r="L37" s="70">
        <v>6</v>
      </c>
      <c r="M37" s="70">
        <v>5</v>
      </c>
      <c r="N37" s="70">
        <v>10</v>
      </c>
      <c r="O37" s="70">
        <v>16</v>
      </c>
      <c r="P37" s="70">
        <v>17</v>
      </c>
      <c r="Q37" s="70">
        <v>17</v>
      </c>
      <c r="R37" s="70">
        <v>17</v>
      </c>
      <c r="S37" s="70">
        <v>18</v>
      </c>
      <c r="T37" s="70">
        <v>13</v>
      </c>
      <c r="U37" s="70">
        <v>11</v>
      </c>
      <c r="V37" s="70">
        <v>11</v>
      </c>
      <c r="W37" s="70">
        <v>12</v>
      </c>
      <c r="X37" s="70">
        <v>10</v>
      </c>
      <c r="Y37" s="70">
        <v>9</v>
      </c>
      <c r="Z37" s="70">
        <v>12</v>
      </c>
      <c r="AA37" s="70">
        <v>13</v>
      </c>
      <c r="AB37" s="70">
        <v>15</v>
      </c>
      <c r="AC37" s="70">
        <v>15</v>
      </c>
      <c r="AD37" s="70">
        <v>18</v>
      </c>
      <c r="AE37" s="157">
        <v>14</v>
      </c>
    </row>
    <row r="38" spans="1:32" ht="15" customHeight="1" thickBot="1" x14ac:dyDescent="0.3">
      <c r="A38" s="152">
        <v>37</v>
      </c>
      <c r="B38" s="15" t="s">
        <v>47</v>
      </c>
      <c r="C38" s="68" t="s">
        <v>383</v>
      </c>
      <c r="D38" s="68" t="s">
        <v>383</v>
      </c>
      <c r="E38" s="68" t="s">
        <v>383</v>
      </c>
      <c r="F38" s="68" t="s">
        <v>383</v>
      </c>
      <c r="G38" s="68" t="s">
        <v>383</v>
      </c>
      <c r="H38" s="68" t="s">
        <v>383</v>
      </c>
      <c r="I38" s="68" t="s">
        <v>383</v>
      </c>
      <c r="J38" s="68" t="s">
        <v>383</v>
      </c>
      <c r="K38" s="68">
        <v>5</v>
      </c>
      <c r="L38" s="68">
        <v>6</v>
      </c>
      <c r="M38" s="68">
        <v>5</v>
      </c>
      <c r="N38" s="68">
        <v>5</v>
      </c>
      <c r="O38" s="68">
        <v>5</v>
      </c>
      <c r="P38" s="68">
        <v>5</v>
      </c>
      <c r="Q38" s="68">
        <v>5</v>
      </c>
      <c r="R38" s="68">
        <v>5</v>
      </c>
      <c r="S38" s="68">
        <v>5</v>
      </c>
      <c r="T38" s="68">
        <v>4</v>
      </c>
      <c r="U38" s="68">
        <v>5</v>
      </c>
      <c r="V38" s="68">
        <v>4</v>
      </c>
      <c r="W38" s="68">
        <v>4</v>
      </c>
      <c r="X38" s="68">
        <v>4</v>
      </c>
      <c r="Y38" s="68">
        <v>4</v>
      </c>
      <c r="Z38" s="68" t="s">
        <v>383</v>
      </c>
      <c r="AA38" s="68">
        <v>4</v>
      </c>
      <c r="AB38" s="68">
        <v>4</v>
      </c>
      <c r="AC38" s="68">
        <v>4</v>
      </c>
      <c r="AD38" s="68">
        <v>4</v>
      </c>
      <c r="AE38" s="153" t="s">
        <v>383</v>
      </c>
    </row>
    <row r="39" spans="1:32" s="11" customFormat="1" ht="15" customHeight="1" thickBot="1" x14ac:dyDescent="0.3">
      <c r="A39" s="144" t="s">
        <v>48</v>
      </c>
      <c r="B39" s="9" t="s">
        <v>49</v>
      </c>
      <c r="C39" s="64">
        <v>10</v>
      </c>
      <c r="D39" s="64">
        <v>10</v>
      </c>
      <c r="E39" s="64">
        <v>9</v>
      </c>
      <c r="F39" s="64">
        <v>9</v>
      </c>
      <c r="G39" s="64">
        <v>8</v>
      </c>
      <c r="H39" s="64">
        <v>8</v>
      </c>
      <c r="I39" s="64">
        <v>11</v>
      </c>
      <c r="J39" s="64">
        <v>10</v>
      </c>
      <c r="K39" s="64">
        <v>9</v>
      </c>
      <c r="L39" s="64">
        <v>10</v>
      </c>
      <c r="M39" s="64">
        <v>9</v>
      </c>
      <c r="N39" s="64">
        <v>9</v>
      </c>
      <c r="O39" s="64">
        <v>9</v>
      </c>
      <c r="P39" s="64">
        <v>8</v>
      </c>
      <c r="Q39" s="64">
        <v>9</v>
      </c>
      <c r="R39" s="64">
        <v>10</v>
      </c>
      <c r="S39" s="64">
        <v>9</v>
      </c>
      <c r="T39" s="64">
        <v>8</v>
      </c>
      <c r="U39" s="64">
        <v>7</v>
      </c>
      <c r="V39" s="64">
        <v>7</v>
      </c>
      <c r="W39" s="64">
        <v>7</v>
      </c>
      <c r="X39" s="64">
        <v>8</v>
      </c>
      <c r="Y39" s="64">
        <v>7</v>
      </c>
      <c r="Z39" s="64">
        <v>9</v>
      </c>
      <c r="AA39" s="64">
        <v>9</v>
      </c>
      <c r="AB39" s="64">
        <v>9</v>
      </c>
      <c r="AC39" s="64">
        <v>8</v>
      </c>
      <c r="AD39" s="64">
        <v>8</v>
      </c>
      <c r="AE39" s="145">
        <v>8</v>
      </c>
      <c r="AF39" s="10"/>
    </row>
    <row r="40" spans="1:32" ht="15" customHeight="1" x14ac:dyDescent="0.25">
      <c r="A40" s="146">
        <v>40</v>
      </c>
      <c r="B40" s="12" t="s">
        <v>50</v>
      </c>
      <c r="C40" s="65" t="s">
        <v>383</v>
      </c>
      <c r="D40" s="65" t="s">
        <v>383</v>
      </c>
      <c r="E40" s="65" t="s">
        <v>383</v>
      </c>
      <c r="F40" s="65" t="s">
        <v>383</v>
      </c>
      <c r="G40" s="65" t="s">
        <v>383</v>
      </c>
      <c r="H40" s="65" t="s">
        <v>383</v>
      </c>
      <c r="I40" s="65" t="s">
        <v>383</v>
      </c>
      <c r="J40" s="65" t="s">
        <v>383</v>
      </c>
      <c r="K40" s="65" t="s">
        <v>383</v>
      </c>
      <c r="L40" s="65" t="s">
        <v>383</v>
      </c>
      <c r="M40" s="65" t="s">
        <v>383</v>
      </c>
      <c r="N40" s="65" t="s">
        <v>383</v>
      </c>
      <c r="O40" s="65" t="s">
        <v>383</v>
      </c>
      <c r="P40" s="65" t="s">
        <v>383</v>
      </c>
      <c r="Q40" s="65" t="s">
        <v>383</v>
      </c>
      <c r="R40" s="65" t="s">
        <v>383</v>
      </c>
      <c r="S40" s="65" t="s">
        <v>383</v>
      </c>
      <c r="T40" s="65" t="s">
        <v>383</v>
      </c>
      <c r="U40" s="65" t="s">
        <v>383</v>
      </c>
      <c r="V40" s="65" t="s">
        <v>383</v>
      </c>
      <c r="W40" s="65" t="s">
        <v>383</v>
      </c>
      <c r="X40" s="65" t="s">
        <v>383</v>
      </c>
      <c r="Y40" s="65" t="s">
        <v>383</v>
      </c>
      <c r="Z40" s="65" t="s">
        <v>383</v>
      </c>
      <c r="AA40" s="65" t="s">
        <v>383</v>
      </c>
      <c r="AB40" s="65" t="s">
        <v>383</v>
      </c>
      <c r="AC40" s="65" t="s">
        <v>383</v>
      </c>
      <c r="AD40" s="65" t="s">
        <v>383</v>
      </c>
      <c r="AE40" s="147" t="s">
        <v>383</v>
      </c>
    </row>
    <row r="41" spans="1:32" ht="15" customHeight="1" thickBot="1" x14ac:dyDescent="0.3">
      <c r="A41" s="158">
        <v>41</v>
      </c>
      <c r="B41" s="18" t="s">
        <v>51</v>
      </c>
      <c r="C41" s="71" t="s">
        <v>383</v>
      </c>
      <c r="D41" s="71" t="s">
        <v>383</v>
      </c>
      <c r="E41" s="71" t="s">
        <v>383</v>
      </c>
      <c r="F41" s="71" t="s">
        <v>383</v>
      </c>
      <c r="G41" s="71" t="s">
        <v>383</v>
      </c>
      <c r="H41" s="71" t="s">
        <v>383</v>
      </c>
      <c r="I41" s="71" t="s">
        <v>383</v>
      </c>
      <c r="J41" s="71" t="s">
        <v>383</v>
      </c>
      <c r="K41" s="71" t="s">
        <v>383</v>
      </c>
      <c r="L41" s="71" t="s">
        <v>383</v>
      </c>
      <c r="M41" s="71" t="s">
        <v>383</v>
      </c>
      <c r="N41" s="71" t="s">
        <v>383</v>
      </c>
      <c r="O41" s="71" t="s">
        <v>383</v>
      </c>
      <c r="P41" s="71" t="s">
        <v>383</v>
      </c>
      <c r="Q41" s="71" t="s">
        <v>383</v>
      </c>
      <c r="R41" s="71" t="s">
        <v>383</v>
      </c>
      <c r="S41" s="71" t="s">
        <v>383</v>
      </c>
      <c r="T41" s="71" t="s">
        <v>383</v>
      </c>
      <c r="U41" s="71" t="s">
        <v>383</v>
      </c>
      <c r="V41" s="71" t="s">
        <v>383</v>
      </c>
      <c r="W41" s="71" t="s">
        <v>383</v>
      </c>
      <c r="X41" s="71" t="s">
        <v>383</v>
      </c>
      <c r="Y41" s="71" t="s">
        <v>383</v>
      </c>
      <c r="Z41" s="71" t="s">
        <v>383</v>
      </c>
      <c r="AA41" s="71" t="s">
        <v>383</v>
      </c>
      <c r="AB41" s="71" t="s">
        <v>383</v>
      </c>
      <c r="AC41" s="71" t="s">
        <v>383</v>
      </c>
      <c r="AD41" s="71" t="s">
        <v>383</v>
      </c>
      <c r="AE41" s="159" t="s">
        <v>383</v>
      </c>
    </row>
    <row r="42" spans="1:32" s="11" customFormat="1" ht="15" customHeight="1" thickBot="1" x14ac:dyDescent="0.3">
      <c r="A42" s="160" t="s">
        <v>52</v>
      </c>
      <c r="B42" s="19" t="s">
        <v>53</v>
      </c>
      <c r="C42" s="64">
        <v>104</v>
      </c>
      <c r="D42" s="64">
        <v>112</v>
      </c>
      <c r="E42" s="64">
        <v>128</v>
      </c>
      <c r="F42" s="64">
        <v>124</v>
      </c>
      <c r="G42" s="64">
        <v>138</v>
      </c>
      <c r="H42" s="64">
        <v>122</v>
      </c>
      <c r="I42" s="64">
        <v>108</v>
      </c>
      <c r="J42" s="64">
        <v>113</v>
      </c>
      <c r="K42" s="64">
        <v>127</v>
      </c>
      <c r="L42" s="64">
        <v>150</v>
      </c>
      <c r="M42" s="64">
        <v>176</v>
      </c>
      <c r="N42" s="64">
        <v>192</v>
      </c>
      <c r="O42" s="64">
        <v>194</v>
      </c>
      <c r="P42" s="64">
        <v>196</v>
      </c>
      <c r="Q42" s="64">
        <v>210</v>
      </c>
      <c r="R42" s="64">
        <v>209</v>
      </c>
      <c r="S42" s="64">
        <v>222</v>
      </c>
      <c r="T42" s="64">
        <v>231</v>
      </c>
      <c r="U42" s="64">
        <v>255</v>
      </c>
      <c r="V42" s="64">
        <v>229</v>
      </c>
      <c r="W42" s="64">
        <v>243</v>
      </c>
      <c r="X42" s="64">
        <v>253</v>
      </c>
      <c r="Y42" s="64">
        <v>256</v>
      </c>
      <c r="Z42" s="64">
        <v>260</v>
      </c>
      <c r="AA42" s="64">
        <v>232</v>
      </c>
      <c r="AB42" s="64">
        <v>249</v>
      </c>
      <c r="AC42" s="64">
        <v>275</v>
      </c>
      <c r="AD42" s="64">
        <v>284</v>
      </c>
      <c r="AE42" s="145">
        <v>255</v>
      </c>
      <c r="AF42" s="10"/>
    </row>
    <row r="43" spans="1:32" ht="15" customHeight="1" thickBot="1" x14ac:dyDescent="0.3">
      <c r="A43" s="150">
        <v>45</v>
      </c>
      <c r="B43" s="14" t="s">
        <v>54</v>
      </c>
      <c r="C43" s="67">
        <v>104</v>
      </c>
      <c r="D43" s="67">
        <v>112</v>
      </c>
      <c r="E43" s="67">
        <v>128</v>
      </c>
      <c r="F43" s="67">
        <v>124</v>
      </c>
      <c r="G43" s="67">
        <v>138</v>
      </c>
      <c r="H43" s="67">
        <v>122</v>
      </c>
      <c r="I43" s="67">
        <v>108</v>
      </c>
      <c r="J43" s="67">
        <v>113</v>
      </c>
      <c r="K43" s="67">
        <v>127</v>
      </c>
      <c r="L43" s="67">
        <v>150</v>
      </c>
      <c r="M43" s="67">
        <v>176</v>
      </c>
      <c r="N43" s="67">
        <v>192</v>
      </c>
      <c r="O43" s="67">
        <v>194</v>
      </c>
      <c r="P43" s="67">
        <v>196</v>
      </c>
      <c r="Q43" s="67">
        <v>210</v>
      </c>
      <c r="R43" s="67">
        <v>209</v>
      </c>
      <c r="S43" s="67">
        <v>222</v>
      </c>
      <c r="T43" s="67">
        <v>231</v>
      </c>
      <c r="U43" s="67">
        <v>255</v>
      </c>
      <c r="V43" s="67">
        <v>229</v>
      </c>
      <c r="W43" s="67">
        <v>243</v>
      </c>
      <c r="X43" s="67">
        <v>253</v>
      </c>
      <c r="Y43" s="67">
        <v>256</v>
      </c>
      <c r="Z43" s="67">
        <v>260</v>
      </c>
      <c r="AA43" s="67">
        <v>232</v>
      </c>
      <c r="AB43" s="67">
        <v>249</v>
      </c>
      <c r="AC43" s="67">
        <v>275</v>
      </c>
      <c r="AD43" s="67">
        <v>284</v>
      </c>
      <c r="AE43" s="151">
        <v>255</v>
      </c>
    </row>
    <row r="44" spans="1:32" s="11" customFormat="1" ht="15" customHeight="1" thickBot="1" x14ac:dyDescent="0.3">
      <c r="A44" s="144" t="s">
        <v>55</v>
      </c>
      <c r="B44" s="9" t="s">
        <v>56</v>
      </c>
      <c r="C44" s="64">
        <v>703</v>
      </c>
      <c r="D44" s="64">
        <v>703</v>
      </c>
      <c r="E44" s="64">
        <v>695</v>
      </c>
      <c r="F44" s="64">
        <v>707</v>
      </c>
      <c r="G44" s="64">
        <v>765</v>
      </c>
      <c r="H44" s="64">
        <v>718</v>
      </c>
      <c r="I44" s="64">
        <v>696</v>
      </c>
      <c r="J44" s="64">
        <v>731</v>
      </c>
      <c r="K44" s="64">
        <v>812</v>
      </c>
      <c r="L44" s="64">
        <v>902</v>
      </c>
      <c r="M44" s="64">
        <v>1029</v>
      </c>
      <c r="N44" s="64">
        <v>1094</v>
      </c>
      <c r="O44" s="64">
        <v>1212</v>
      </c>
      <c r="P44" s="64">
        <v>1381</v>
      </c>
      <c r="Q44" s="64">
        <v>1456</v>
      </c>
      <c r="R44" s="64">
        <v>1457</v>
      </c>
      <c r="S44" s="64">
        <v>1466</v>
      </c>
      <c r="T44" s="64">
        <v>1454</v>
      </c>
      <c r="U44" s="64">
        <v>1497</v>
      </c>
      <c r="V44" s="64">
        <v>1584</v>
      </c>
      <c r="W44" s="64">
        <v>1611</v>
      </c>
      <c r="X44" s="64">
        <v>1588</v>
      </c>
      <c r="Y44" s="64">
        <v>1595</v>
      </c>
      <c r="Z44" s="64">
        <v>1490</v>
      </c>
      <c r="AA44" s="64">
        <v>1422</v>
      </c>
      <c r="AB44" s="64">
        <v>1430</v>
      </c>
      <c r="AC44" s="64">
        <v>1560</v>
      </c>
      <c r="AD44" s="64">
        <v>1611</v>
      </c>
      <c r="AE44" s="145">
        <v>1562</v>
      </c>
      <c r="AF44" s="10"/>
    </row>
    <row r="45" spans="1:32" ht="15" customHeight="1" x14ac:dyDescent="0.25">
      <c r="A45" s="146">
        <v>50</v>
      </c>
      <c r="B45" s="12" t="s">
        <v>57</v>
      </c>
      <c r="C45" s="65">
        <v>98</v>
      </c>
      <c r="D45" s="65">
        <v>104</v>
      </c>
      <c r="E45" s="65">
        <v>104</v>
      </c>
      <c r="F45" s="65">
        <v>122</v>
      </c>
      <c r="G45" s="65">
        <v>125</v>
      </c>
      <c r="H45" s="65">
        <v>112</v>
      </c>
      <c r="I45" s="65">
        <v>106</v>
      </c>
      <c r="J45" s="65">
        <v>113</v>
      </c>
      <c r="K45" s="65">
        <v>124</v>
      </c>
      <c r="L45" s="65">
        <v>137</v>
      </c>
      <c r="M45" s="65">
        <v>151</v>
      </c>
      <c r="N45" s="65">
        <v>167</v>
      </c>
      <c r="O45" s="65">
        <v>179</v>
      </c>
      <c r="P45" s="65">
        <v>204</v>
      </c>
      <c r="Q45" s="65">
        <v>208</v>
      </c>
      <c r="R45" s="65">
        <v>210</v>
      </c>
      <c r="S45" s="65">
        <v>210</v>
      </c>
      <c r="T45" s="65">
        <v>206</v>
      </c>
      <c r="U45" s="65">
        <v>211</v>
      </c>
      <c r="V45" s="65">
        <v>224</v>
      </c>
      <c r="W45" s="65">
        <v>234</v>
      </c>
      <c r="X45" s="65">
        <v>228</v>
      </c>
      <c r="Y45" s="65">
        <v>215</v>
      </c>
      <c r="Z45" s="65">
        <v>210</v>
      </c>
      <c r="AA45" s="65">
        <v>206</v>
      </c>
      <c r="AB45" s="65">
        <v>209</v>
      </c>
      <c r="AC45" s="65">
        <v>218</v>
      </c>
      <c r="AD45" s="65">
        <v>222</v>
      </c>
      <c r="AE45" s="147">
        <v>216</v>
      </c>
    </row>
    <row r="46" spans="1:32" ht="15" customHeight="1" x14ac:dyDescent="0.25">
      <c r="A46" s="156">
        <v>51</v>
      </c>
      <c r="B46" s="17" t="s">
        <v>58</v>
      </c>
      <c r="C46" s="70">
        <v>111</v>
      </c>
      <c r="D46" s="70">
        <v>106</v>
      </c>
      <c r="E46" s="70">
        <v>101</v>
      </c>
      <c r="F46" s="70">
        <v>115</v>
      </c>
      <c r="G46" s="70">
        <v>123</v>
      </c>
      <c r="H46" s="70">
        <v>123</v>
      </c>
      <c r="I46" s="70">
        <v>108</v>
      </c>
      <c r="J46" s="70">
        <v>115</v>
      </c>
      <c r="K46" s="70">
        <v>118</v>
      </c>
      <c r="L46" s="70">
        <v>127</v>
      </c>
      <c r="M46" s="70">
        <v>135</v>
      </c>
      <c r="N46" s="70">
        <v>149</v>
      </c>
      <c r="O46" s="70">
        <v>179</v>
      </c>
      <c r="P46" s="70">
        <v>218</v>
      </c>
      <c r="Q46" s="70">
        <v>235</v>
      </c>
      <c r="R46" s="70">
        <v>227</v>
      </c>
      <c r="S46" s="70">
        <v>232</v>
      </c>
      <c r="T46" s="70">
        <v>247</v>
      </c>
      <c r="U46" s="70">
        <v>253</v>
      </c>
      <c r="V46" s="70">
        <v>293</v>
      </c>
      <c r="W46" s="70">
        <v>287</v>
      </c>
      <c r="X46" s="70">
        <v>223</v>
      </c>
      <c r="Y46" s="70">
        <v>209</v>
      </c>
      <c r="Z46" s="70">
        <v>188</v>
      </c>
      <c r="AA46" s="70">
        <v>190</v>
      </c>
      <c r="AB46" s="70">
        <v>201</v>
      </c>
      <c r="AC46" s="70">
        <v>239</v>
      </c>
      <c r="AD46" s="70">
        <v>246</v>
      </c>
      <c r="AE46" s="157">
        <v>238</v>
      </c>
    </row>
    <row r="47" spans="1:32" ht="15" customHeight="1" thickBot="1" x14ac:dyDescent="0.3">
      <c r="A47" s="158">
        <v>52</v>
      </c>
      <c r="B47" s="18" t="s">
        <v>59</v>
      </c>
      <c r="C47" s="71">
        <v>494</v>
      </c>
      <c r="D47" s="71">
        <v>493</v>
      </c>
      <c r="E47" s="71">
        <v>490</v>
      </c>
      <c r="F47" s="71">
        <v>470</v>
      </c>
      <c r="G47" s="71">
        <v>517</v>
      </c>
      <c r="H47" s="71">
        <v>483</v>
      </c>
      <c r="I47" s="71">
        <v>482</v>
      </c>
      <c r="J47" s="71">
        <v>503</v>
      </c>
      <c r="K47" s="71">
        <v>570</v>
      </c>
      <c r="L47" s="71">
        <v>638</v>
      </c>
      <c r="M47" s="71">
        <v>743</v>
      </c>
      <c r="N47" s="71">
        <v>778</v>
      </c>
      <c r="O47" s="71">
        <v>854</v>
      </c>
      <c r="P47" s="71">
        <v>959</v>
      </c>
      <c r="Q47" s="71">
        <v>1013</v>
      </c>
      <c r="R47" s="71">
        <v>1020</v>
      </c>
      <c r="S47" s="71">
        <v>1024</v>
      </c>
      <c r="T47" s="71">
        <v>1001</v>
      </c>
      <c r="U47" s="71">
        <v>1033</v>
      </c>
      <c r="V47" s="71">
        <v>1067</v>
      </c>
      <c r="W47" s="71">
        <v>1090</v>
      </c>
      <c r="X47" s="71">
        <v>1137</v>
      </c>
      <c r="Y47" s="71">
        <v>1171</v>
      </c>
      <c r="Z47" s="71">
        <v>1092</v>
      </c>
      <c r="AA47" s="71">
        <v>1026</v>
      </c>
      <c r="AB47" s="71">
        <v>1020</v>
      </c>
      <c r="AC47" s="71">
        <v>1103</v>
      </c>
      <c r="AD47" s="71">
        <v>1143</v>
      </c>
      <c r="AE47" s="159">
        <v>1108</v>
      </c>
    </row>
    <row r="48" spans="1:32" s="11" customFormat="1" ht="15" customHeight="1" thickBot="1" x14ac:dyDescent="0.3">
      <c r="A48" s="160" t="s">
        <v>60</v>
      </c>
      <c r="B48" s="19" t="s">
        <v>61</v>
      </c>
      <c r="C48" s="64">
        <v>106</v>
      </c>
      <c r="D48" s="64">
        <v>105</v>
      </c>
      <c r="E48" s="64">
        <v>114</v>
      </c>
      <c r="F48" s="64">
        <v>116</v>
      </c>
      <c r="G48" s="64">
        <v>114</v>
      </c>
      <c r="H48" s="64">
        <v>116</v>
      </c>
      <c r="I48" s="64">
        <v>109</v>
      </c>
      <c r="J48" s="64">
        <v>115</v>
      </c>
      <c r="K48" s="64">
        <v>132</v>
      </c>
      <c r="L48" s="64">
        <v>148</v>
      </c>
      <c r="M48" s="64">
        <v>188</v>
      </c>
      <c r="N48" s="64">
        <v>222</v>
      </c>
      <c r="O48" s="64">
        <v>267</v>
      </c>
      <c r="P48" s="64">
        <v>308</v>
      </c>
      <c r="Q48" s="64">
        <v>319</v>
      </c>
      <c r="R48" s="64">
        <v>333</v>
      </c>
      <c r="S48" s="64">
        <v>345</v>
      </c>
      <c r="T48" s="64">
        <v>347</v>
      </c>
      <c r="U48" s="64">
        <v>338</v>
      </c>
      <c r="V48" s="64">
        <v>359</v>
      </c>
      <c r="W48" s="64">
        <v>357</v>
      </c>
      <c r="X48" s="64">
        <v>399</v>
      </c>
      <c r="Y48" s="64">
        <v>392</v>
      </c>
      <c r="Z48" s="64">
        <v>376</v>
      </c>
      <c r="AA48" s="64">
        <v>328</v>
      </c>
      <c r="AB48" s="64">
        <v>311</v>
      </c>
      <c r="AC48" s="64">
        <v>350</v>
      </c>
      <c r="AD48" s="64">
        <v>388</v>
      </c>
      <c r="AE48" s="145">
        <v>349</v>
      </c>
      <c r="AF48" s="10"/>
    </row>
    <row r="49" spans="1:32" ht="15" customHeight="1" thickBot="1" x14ac:dyDescent="0.3">
      <c r="A49" s="150">
        <v>55</v>
      </c>
      <c r="B49" s="14" t="s">
        <v>62</v>
      </c>
      <c r="C49" s="67">
        <v>106</v>
      </c>
      <c r="D49" s="67">
        <v>105</v>
      </c>
      <c r="E49" s="67">
        <v>114</v>
      </c>
      <c r="F49" s="67">
        <v>116</v>
      </c>
      <c r="G49" s="67">
        <v>114</v>
      </c>
      <c r="H49" s="67">
        <v>116</v>
      </c>
      <c r="I49" s="67">
        <v>109</v>
      </c>
      <c r="J49" s="67">
        <v>115</v>
      </c>
      <c r="K49" s="67">
        <v>132</v>
      </c>
      <c r="L49" s="67">
        <v>148</v>
      </c>
      <c r="M49" s="67">
        <v>188</v>
      </c>
      <c r="N49" s="67">
        <v>222</v>
      </c>
      <c r="O49" s="67">
        <v>267</v>
      </c>
      <c r="P49" s="67">
        <v>308</v>
      </c>
      <c r="Q49" s="67">
        <v>319</v>
      </c>
      <c r="R49" s="67">
        <v>333</v>
      </c>
      <c r="S49" s="67">
        <v>345</v>
      </c>
      <c r="T49" s="67">
        <v>347</v>
      </c>
      <c r="U49" s="67">
        <v>338</v>
      </c>
      <c r="V49" s="67">
        <v>359</v>
      </c>
      <c r="W49" s="67">
        <v>357</v>
      </c>
      <c r="X49" s="67">
        <v>399</v>
      </c>
      <c r="Y49" s="67">
        <v>392</v>
      </c>
      <c r="Z49" s="67">
        <v>376</v>
      </c>
      <c r="AA49" s="67">
        <v>328</v>
      </c>
      <c r="AB49" s="67">
        <v>311</v>
      </c>
      <c r="AC49" s="67">
        <v>350</v>
      </c>
      <c r="AD49" s="67">
        <v>388</v>
      </c>
      <c r="AE49" s="151">
        <v>349</v>
      </c>
    </row>
    <row r="50" spans="1:32" s="11" customFormat="1" ht="15" customHeight="1" thickBot="1" x14ac:dyDescent="0.3">
      <c r="A50" s="144" t="s">
        <v>63</v>
      </c>
      <c r="B50" s="9" t="s">
        <v>64</v>
      </c>
      <c r="C50" s="64">
        <v>187</v>
      </c>
      <c r="D50" s="64">
        <v>193</v>
      </c>
      <c r="E50" s="64">
        <v>201</v>
      </c>
      <c r="F50" s="64">
        <v>216</v>
      </c>
      <c r="G50" s="64">
        <v>234</v>
      </c>
      <c r="H50" s="64">
        <v>217</v>
      </c>
      <c r="I50" s="64">
        <v>201</v>
      </c>
      <c r="J50" s="64">
        <v>250</v>
      </c>
      <c r="K50" s="64">
        <v>298</v>
      </c>
      <c r="L50" s="64">
        <v>352</v>
      </c>
      <c r="M50" s="64">
        <v>376</v>
      </c>
      <c r="N50" s="64">
        <v>408</v>
      </c>
      <c r="O50" s="64">
        <v>443</v>
      </c>
      <c r="P50" s="64">
        <v>469</v>
      </c>
      <c r="Q50" s="64">
        <v>501</v>
      </c>
      <c r="R50" s="64">
        <v>553</v>
      </c>
      <c r="S50" s="64">
        <v>566</v>
      </c>
      <c r="T50" s="64">
        <v>568</v>
      </c>
      <c r="U50" s="64">
        <v>573</v>
      </c>
      <c r="V50" s="64">
        <v>578</v>
      </c>
      <c r="W50" s="64">
        <v>596</v>
      </c>
      <c r="X50" s="64">
        <v>595</v>
      </c>
      <c r="Y50" s="64">
        <v>592</v>
      </c>
      <c r="Z50" s="64">
        <v>553</v>
      </c>
      <c r="AA50" s="64">
        <v>546</v>
      </c>
      <c r="AB50" s="64">
        <v>544</v>
      </c>
      <c r="AC50" s="64">
        <v>580</v>
      </c>
      <c r="AD50" s="64">
        <v>572</v>
      </c>
      <c r="AE50" s="145">
        <v>573</v>
      </c>
      <c r="AF50" s="10"/>
    </row>
    <row r="51" spans="1:32" ht="15" customHeight="1" x14ac:dyDescent="0.25">
      <c r="A51" s="152">
        <v>60</v>
      </c>
      <c r="B51" s="15" t="s">
        <v>65</v>
      </c>
      <c r="C51" s="68">
        <v>135</v>
      </c>
      <c r="D51" s="68">
        <v>142</v>
      </c>
      <c r="E51" s="68">
        <v>147</v>
      </c>
      <c r="F51" s="68">
        <v>153</v>
      </c>
      <c r="G51" s="68">
        <v>161</v>
      </c>
      <c r="H51" s="68">
        <v>149</v>
      </c>
      <c r="I51" s="68">
        <v>137</v>
      </c>
      <c r="J51" s="68">
        <v>184</v>
      </c>
      <c r="K51" s="68">
        <v>219</v>
      </c>
      <c r="L51" s="68">
        <v>267</v>
      </c>
      <c r="M51" s="68">
        <v>283</v>
      </c>
      <c r="N51" s="68">
        <v>307</v>
      </c>
      <c r="O51" s="68">
        <v>347</v>
      </c>
      <c r="P51" s="68">
        <v>367</v>
      </c>
      <c r="Q51" s="68">
        <v>394</v>
      </c>
      <c r="R51" s="68">
        <v>439</v>
      </c>
      <c r="S51" s="68">
        <v>459</v>
      </c>
      <c r="T51" s="68">
        <v>465</v>
      </c>
      <c r="U51" s="68">
        <v>476</v>
      </c>
      <c r="V51" s="68">
        <v>476</v>
      </c>
      <c r="W51" s="68">
        <v>490</v>
      </c>
      <c r="X51" s="68">
        <v>485</v>
      </c>
      <c r="Y51" s="68">
        <v>479</v>
      </c>
      <c r="Z51" s="68">
        <v>442</v>
      </c>
      <c r="AA51" s="68">
        <v>445</v>
      </c>
      <c r="AB51" s="68">
        <v>442</v>
      </c>
      <c r="AC51" s="68">
        <v>470</v>
      </c>
      <c r="AD51" s="68">
        <v>466</v>
      </c>
      <c r="AE51" s="153">
        <v>468</v>
      </c>
    </row>
    <row r="52" spans="1:32" ht="15" customHeight="1" x14ac:dyDescent="0.25">
      <c r="A52" s="161">
        <v>61</v>
      </c>
      <c r="B52" s="20" t="s">
        <v>66</v>
      </c>
      <c r="C52" s="73" t="s">
        <v>383</v>
      </c>
      <c r="D52" s="73" t="s">
        <v>383</v>
      </c>
      <c r="E52" s="73" t="s">
        <v>383</v>
      </c>
      <c r="F52" s="73" t="s">
        <v>383</v>
      </c>
      <c r="G52" s="73" t="s">
        <v>383</v>
      </c>
      <c r="H52" s="73" t="s">
        <v>383</v>
      </c>
      <c r="I52" s="73" t="s">
        <v>383</v>
      </c>
      <c r="J52" s="73" t="s">
        <v>383</v>
      </c>
      <c r="K52" s="73" t="s">
        <v>383</v>
      </c>
      <c r="L52" s="73" t="s">
        <v>383</v>
      </c>
      <c r="M52" s="73" t="s">
        <v>383</v>
      </c>
      <c r="N52" s="73" t="s">
        <v>383</v>
      </c>
      <c r="O52" s="73" t="s">
        <v>383</v>
      </c>
      <c r="P52" s="73" t="s">
        <v>383</v>
      </c>
      <c r="Q52" s="73" t="s">
        <v>383</v>
      </c>
      <c r="R52" s="73" t="s">
        <v>383</v>
      </c>
      <c r="S52" s="73" t="s">
        <v>383</v>
      </c>
      <c r="T52" s="73" t="s">
        <v>383</v>
      </c>
      <c r="U52" s="73" t="s">
        <v>383</v>
      </c>
      <c r="V52" s="73" t="s">
        <v>383</v>
      </c>
      <c r="W52" s="73" t="s">
        <v>383</v>
      </c>
      <c r="X52" s="73" t="s">
        <v>383</v>
      </c>
      <c r="Y52" s="73" t="s">
        <v>383</v>
      </c>
      <c r="Z52" s="73" t="s">
        <v>383</v>
      </c>
      <c r="AA52" s="73" t="s">
        <v>383</v>
      </c>
      <c r="AB52" s="73" t="s">
        <v>383</v>
      </c>
      <c r="AC52" s="73" t="s">
        <v>383</v>
      </c>
      <c r="AD52" s="73" t="s">
        <v>383</v>
      </c>
      <c r="AE52" s="162" t="s">
        <v>383</v>
      </c>
    </row>
    <row r="53" spans="1:32" ht="15" customHeight="1" x14ac:dyDescent="0.25">
      <c r="A53" s="152">
        <v>62</v>
      </c>
      <c r="B53" s="15" t="s">
        <v>67</v>
      </c>
      <c r="C53" s="68" t="s">
        <v>383</v>
      </c>
      <c r="D53" s="68" t="s">
        <v>383</v>
      </c>
      <c r="E53" s="68" t="s">
        <v>383</v>
      </c>
      <c r="F53" s="68" t="s">
        <v>383</v>
      </c>
      <c r="G53" s="68" t="s">
        <v>383</v>
      </c>
      <c r="H53" s="68" t="s">
        <v>383</v>
      </c>
      <c r="I53" s="68" t="s">
        <v>383</v>
      </c>
      <c r="J53" s="68" t="s">
        <v>383</v>
      </c>
      <c r="K53" s="68" t="s">
        <v>383</v>
      </c>
      <c r="L53" s="68" t="s">
        <v>383</v>
      </c>
      <c r="M53" s="68" t="s">
        <v>383</v>
      </c>
      <c r="N53" s="68" t="s">
        <v>383</v>
      </c>
      <c r="O53" s="68" t="s">
        <v>383</v>
      </c>
      <c r="P53" s="68" t="s">
        <v>383</v>
      </c>
      <c r="Q53" s="68" t="s">
        <v>383</v>
      </c>
      <c r="R53" s="68" t="s">
        <v>383</v>
      </c>
      <c r="S53" s="68" t="s">
        <v>383</v>
      </c>
      <c r="T53" s="68" t="s">
        <v>383</v>
      </c>
      <c r="U53" s="68" t="s">
        <v>383</v>
      </c>
      <c r="V53" s="68" t="s">
        <v>383</v>
      </c>
      <c r="W53" s="68" t="s">
        <v>383</v>
      </c>
      <c r="X53" s="68" t="s">
        <v>383</v>
      </c>
      <c r="Y53" s="68" t="s">
        <v>383</v>
      </c>
      <c r="Z53" s="68" t="s">
        <v>383</v>
      </c>
      <c r="AA53" s="68" t="s">
        <v>383</v>
      </c>
      <c r="AB53" s="68" t="s">
        <v>383</v>
      </c>
      <c r="AC53" s="68" t="s">
        <v>383</v>
      </c>
      <c r="AD53" s="68" t="s">
        <v>383</v>
      </c>
      <c r="AE53" s="153" t="s">
        <v>383</v>
      </c>
    </row>
    <row r="54" spans="1:32" ht="15" customHeight="1" x14ac:dyDescent="0.25">
      <c r="A54" s="163">
        <v>63</v>
      </c>
      <c r="B54" s="21" t="s">
        <v>68</v>
      </c>
      <c r="C54" s="74">
        <v>15</v>
      </c>
      <c r="D54" s="74">
        <v>10</v>
      </c>
      <c r="E54" s="74">
        <v>12</v>
      </c>
      <c r="F54" s="74">
        <v>16</v>
      </c>
      <c r="G54" s="74">
        <v>23</v>
      </c>
      <c r="H54" s="74">
        <v>16</v>
      </c>
      <c r="I54" s="74">
        <v>14</v>
      </c>
      <c r="J54" s="74">
        <v>22</v>
      </c>
      <c r="K54" s="74">
        <v>32</v>
      </c>
      <c r="L54" s="74">
        <v>37</v>
      </c>
      <c r="M54" s="74">
        <v>43</v>
      </c>
      <c r="N54" s="74">
        <v>53</v>
      </c>
      <c r="O54" s="74">
        <v>52</v>
      </c>
      <c r="P54" s="74">
        <v>55</v>
      </c>
      <c r="Q54" s="74">
        <v>59</v>
      </c>
      <c r="R54" s="74">
        <v>67</v>
      </c>
      <c r="S54" s="74">
        <v>60</v>
      </c>
      <c r="T54" s="74">
        <v>56</v>
      </c>
      <c r="U54" s="74">
        <v>60</v>
      </c>
      <c r="V54" s="74">
        <v>62</v>
      </c>
      <c r="W54" s="74">
        <v>63</v>
      </c>
      <c r="X54" s="74">
        <v>63</v>
      </c>
      <c r="Y54" s="74">
        <v>65</v>
      </c>
      <c r="Z54" s="74">
        <v>65</v>
      </c>
      <c r="AA54" s="74">
        <v>57</v>
      </c>
      <c r="AB54" s="74">
        <v>56</v>
      </c>
      <c r="AC54" s="74">
        <v>64</v>
      </c>
      <c r="AD54" s="74">
        <v>60</v>
      </c>
      <c r="AE54" s="164">
        <v>61</v>
      </c>
    </row>
    <row r="55" spans="1:32" ht="15" customHeight="1" thickBot="1" x14ac:dyDescent="0.3">
      <c r="A55" s="152">
        <v>64</v>
      </c>
      <c r="B55" s="15" t="s">
        <v>99</v>
      </c>
      <c r="C55" s="68">
        <v>33</v>
      </c>
      <c r="D55" s="68">
        <v>37</v>
      </c>
      <c r="E55" s="68">
        <v>39</v>
      </c>
      <c r="F55" s="68">
        <v>45</v>
      </c>
      <c r="G55" s="68">
        <v>47</v>
      </c>
      <c r="H55" s="68">
        <v>50</v>
      </c>
      <c r="I55" s="68">
        <v>48</v>
      </c>
      <c r="J55" s="68">
        <v>42</v>
      </c>
      <c r="K55" s="68">
        <v>44</v>
      </c>
      <c r="L55" s="68">
        <v>42</v>
      </c>
      <c r="M55" s="68">
        <v>47</v>
      </c>
      <c r="N55" s="68">
        <v>46</v>
      </c>
      <c r="O55" s="68">
        <v>42</v>
      </c>
      <c r="P55" s="68">
        <v>45</v>
      </c>
      <c r="Q55" s="68">
        <v>45</v>
      </c>
      <c r="R55" s="68">
        <v>44</v>
      </c>
      <c r="S55" s="68">
        <v>44</v>
      </c>
      <c r="T55" s="68">
        <v>43</v>
      </c>
      <c r="U55" s="68">
        <v>34</v>
      </c>
      <c r="V55" s="68">
        <v>36</v>
      </c>
      <c r="W55" s="68">
        <v>38</v>
      </c>
      <c r="X55" s="68">
        <v>42</v>
      </c>
      <c r="Y55" s="68">
        <v>44</v>
      </c>
      <c r="Z55" s="68">
        <v>42</v>
      </c>
      <c r="AA55" s="68">
        <v>40</v>
      </c>
      <c r="AB55" s="68">
        <v>43</v>
      </c>
      <c r="AC55" s="68">
        <v>43</v>
      </c>
      <c r="AD55" s="68">
        <v>44</v>
      </c>
      <c r="AE55" s="153">
        <v>42</v>
      </c>
    </row>
    <row r="56" spans="1:32" s="11" customFormat="1" ht="15" customHeight="1" thickBot="1" x14ac:dyDescent="0.3">
      <c r="A56" s="144" t="s">
        <v>70</v>
      </c>
      <c r="B56" s="9" t="s">
        <v>71</v>
      </c>
      <c r="C56" s="64">
        <v>54</v>
      </c>
      <c r="D56" s="64">
        <v>53</v>
      </c>
      <c r="E56" s="64">
        <v>62</v>
      </c>
      <c r="F56" s="64">
        <v>72</v>
      </c>
      <c r="G56" s="64">
        <v>74</v>
      </c>
      <c r="H56" s="64">
        <v>70</v>
      </c>
      <c r="I56" s="64">
        <v>63</v>
      </c>
      <c r="J56" s="64">
        <v>59</v>
      </c>
      <c r="K56" s="64">
        <v>66</v>
      </c>
      <c r="L56" s="64">
        <v>65</v>
      </c>
      <c r="M56" s="64">
        <v>71</v>
      </c>
      <c r="N56" s="64">
        <v>80</v>
      </c>
      <c r="O56" s="64">
        <v>86</v>
      </c>
      <c r="P56" s="64">
        <v>72</v>
      </c>
      <c r="Q56" s="64">
        <v>72</v>
      </c>
      <c r="R56" s="64">
        <v>77</v>
      </c>
      <c r="S56" s="64">
        <v>81</v>
      </c>
      <c r="T56" s="64">
        <v>78</v>
      </c>
      <c r="U56" s="64">
        <v>73</v>
      </c>
      <c r="V56" s="64">
        <v>79</v>
      </c>
      <c r="W56" s="64">
        <v>88</v>
      </c>
      <c r="X56" s="64">
        <v>78</v>
      </c>
      <c r="Y56" s="64">
        <v>76</v>
      </c>
      <c r="Z56" s="64">
        <v>79</v>
      </c>
      <c r="AA56" s="64">
        <v>71</v>
      </c>
      <c r="AB56" s="64">
        <v>70</v>
      </c>
      <c r="AC56" s="64">
        <v>68</v>
      </c>
      <c r="AD56" s="64">
        <v>70</v>
      </c>
      <c r="AE56" s="145">
        <v>68</v>
      </c>
      <c r="AF56" s="10"/>
    </row>
    <row r="57" spans="1:32" ht="15" customHeight="1" x14ac:dyDescent="0.25">
      <c r="A57" s="152">
        <v>65</v>
      </c>
      <c r="B57" s="15" t="s">
        <v>72</v>
      </c>
      <c r="C57" s="68">
        <v>22</v>
      </c>
      <c r="D57" s="68">
        <v>21</v>
      </c>
      <c r="E57" s="68">
        <v>26</v>
      </c>
      <c r="F57" s="68">
        <v>26</v>
      </c>
      <c r="G57" s="68">
        <v>25</v>
      </c>
      <c r="H57" s="68">
        <v>22</v>
      </c>
      <c r="I57" s="68">
        <v>23</v>
      </c>
      <c r="J57" s="68">
        <v>20</v>
      </c>
      <c r="K57" s="68">
        <v>24</v>
      </c>
      <c r="L57" s="68">
        <v>23</v>
      </c>
      <c r="M57" s="68">
        <v>25</v>
      </c>
      <c r="N57" s="68">
        <v>29</v>
      </c>
      <c r="O57" s="68">
        <v>33</v>
      </c>
      <c r="P57" s="68">
        <v>33</v>
      </c>
      <c r="Q57" s="68">
        <v>34</v>
      </c>
      <c r="R57" s="68">
        <v>34</v>
      </c>
      <c r="S57" s="68">
        <v>36</v>
      </c>
      <c r="T57" s="68">
        <v>36</v>
      </c>
      <c r="U57" s="68">
        <v>35</v>
      </c>
      <c r="V57" s="68">
        <v>35</v>
      </c>
      <c r="W57" s="68">
        <v>37</v>
      </c>
      <c r="X57" s="68">
        <v>38</v>
      </c>
      <c r="Y57" s="68">
        <v>37</v>
      </c>
      <c r="Z57" s="68">
        <v>38</v>
      </c>
      <c r="AA57" s="68">
        <v>35</v>
      </c>
      <c r="AB57" s="68">
        <v>34</v>
      </c>
      <c r="AC57" s="68">
        <v>34</v>
      </c>
      <c r="AD57" s="68">
        <v>34</v>
      </c>
      <c r="AE57" s="153">
        <v>33</v>
      </c>
    </row>
    <row r="58" spans="1:32" ht="15" customHeight="1" x14ac:dyDescent="0.25">
      <c r="A58" s="156">
        <v>66</v>
      </c>
      <c r="B58" s="17" t="s">
        <v>100</v>
      </c>
      <c r="C58" s="70">
        <v>22</v>
      </c>
      <c r="D58" s="70">
        <v>25</v>
      </c>
      <c r="E58" s="70">
        <v>28</v>
      </c>
      <c r="F58" s="70">
        <v>37</v>
      </c>
      <c r="G58" s="70">
        <v>42</v>
      </c>
      <c r="H58" s="70">
        <v>41</v>
      </c>
      <c r="I58" s="70">
        <v>35</v>
      </c>
      <c r="J58" s="70">
        <v>32</v>
      </c>
      <c r="K58" s="70">
        <v>35</v>
      </c>
      <c r="L58" s="70">
        <v>35</v>
      </c>
      <c r="M58" s="70">
        <v>39</v>
      </c>
      <c r="N58" s="70">
        <v>42</v>
      </c>
      <c r="O58" s="70">
        <v>40</v>
      </c>
      <c r="P58" s="70">
        <v>28</v>
      </c>
      <c r="Q58" s="70">
        <v>28</v>
      </c>
      <c r="R58" s="70">
        <v>30</v>
      </c>
      <c r="S58" s="70">
        <v>31</v>
      </c>
      <c r="T58" s="70">
        <v>29</v>
      </c>
      <c r="U58" s="70">
        <v>26</v>
      </c>
      <c r="V58" s="70">
        <v>29</v>
      </c>
      <c r="W58" s="70">
        <v>30</v>
      </c>
      <c r="X58" s="70">
        <v>24</v>
      </c>
      <c r="Y58" s="70">
        <v>24</v>
      </c>
      <c r="Z58" s="70">
        <v>25</v>
      </c>
      <c r="AA58" s="70">
        <v>22</v>
      </c>
      <c r="AB58" s="70">
        <v>22</v>
      </c>
      <c r="AC58" s="70">
        <v>22</v>
      </c>
      <c r="AD58" s="70">
        <v>23</v>
      </c>
      <c r="AE58" s="157">
        <v>21</v>
      </c>
    </row>
    <row r="59" spans="1:32" ht="15" customHeight="1" thickBot="1" x14ac:dyDescent="0.3">
      <c r="A59" s="152">
        <v>67</v>
      </c>
      <c r="B59" s="15" t="s">
        <v>74</v>
      </c>
      <c r="C59" s="68">
        <v>10</v>
      </c>
      <c r="D59" s="68">
        <v>7</v>
      </c>
      <c r="E59" s="68">
        <v>8</v>
      </c>
      <c r="F59" s="68">
        <v>9</v>
      </c>
      <c r="G59" s="68">
        <v>7</v>
      </c>
      <c r="H59" s="68">
        <v>7</v>
      </c>
      <c r="I59" s="68">
        <v>5</v>
      </c>
      <c r="J59" s="68">
        <v>7</v>
      </c>
      <c r="K59" s="68">
        <v>7</v>
      </c>
      <c r="L59" s="68">
        <v>7</v>
      </c>
      <c r="M59" s="68">
        <v>7</v>
      </c>
      <c r="N59" s="68">
        <v>9</v>
      </c>
      <c r="O59" s="68">
        <v>13</v>
      </c>
      <c r="P59" s="68">
        <v>11</v>
      </c>
      <c r="Q59" s="68">
        <v>10</v>
      </c>
      <c r="R59" s="68">
        <v>13</v>
      </c>
      <c r="S59" s="68">
        <v>14</v>
      </c>
      <c r="T59" s="68">
        <v>13</v>
      </c>
      <c r="U59" s="68">
        <v>12</v>
      </c>
      <c r="V59" s="68">
        <v>15</v>
      </c>
      <c r="W59" s="68">
        <v>21</v>
      </c>
      <c r="X59" s="68">
        <v>16</v>
      </c>
      <c r="Y59" s="68">
        <v>15</v>
      </c>
      <c r="Z59" s="68">
        <v>16</v>
      </c>
      <c r="AA59" s="68">
        <v>14</v>
      </c>
      <c r="AB59" s="68">
        <v>14</v>
      </c>
      <c r="AC59" s="68">
        <v>12</v>
      </c>
      <c r="AD59" s="68">
        <v>13</v>
      </c>
      <c r="AE59" s="153">
        <v>14</v>
      </c>
    </row>
    <row r="60" spans="1:32" s="11" customFormat="1" ht="15" customHeight="1" thickBot="1" x14ac:dyDescent="0.3">
      <c r="A60" s="144" t="s">
        <v>75</v>
      </c>
      <c r="B60" s="9" t="s">
        <v>76</v>
      </c>
      <c r="C60" s="64">
        <v>418</v>
      </c>
      <c r="D60" s="64">
        <v>415</v>
      </c>
      <c r="E60" s="64">
        <v>440</v>
      </c>
      <c r="F60" s="64">
        <v>455</v>
      </c>
      <c r="G60" s="64">
        <v>504</v>
      </c>
      <c r="H60" s="64">
        <v>489</v>
      </c>
      <c r="I60" s="64">
        <v>463</v>
      </c>
      <c r="J60" s="64">
        <v>464</v>
      </c>
      <c r="K60" s="64">
        <v>510</v>
      </c>
      <c r="L60" s="64">
        <v>533</v>
      </c>
      <c r="M60" s="64">
        <v>583</v>
      </c>
      <c r="N60" s="64">
        <v>616</v>
      </c>
      <c r="O60" s="64">
        <v>660</v>
      </c>
      <c r="P60" s="64">
        <v>668</v>
      </c>
      <c r="Q60" s="64">
        <v>673</v>
      </c>
      <c r="R60" s="64">
        <v>657</v>
      </c>
      <c r="S60" s="64">
        <v>634</v>
      </c>
      <c r="T60" s="64">
        <v>633</v>
      </c>
      <c r="U60" s="64">
        <v>629</v>
      </c>
      <c r="V60" s="64">
        <v>617</v>
      </c>
      <c r="W60" s="64">
        <v>609</v>
      </c>
      <c r="X60" s="64">
        <v>634</v>
      </c>
      <c r="Y60" s="64">
        <v>620</v>
      </c>
      <c r="Z60" s="64">
        <v>581</v>
      </c>
      <c r="AA60" s="64">
        <v>565</v>
      </c>
      <c r="AB60" s="64">
        <v>586</v>
      </c>
      <c r="AC60" s="64">
        <v>604</v>
      </c>
      <c r="AD60" s="64">
        <v>607</v>
      </c>
      <c r="AE60" s="145">
        <v>576</v>
      </c>
      <c r="AF60" s="10"/>
    </row>
    <row r="61" spans="1:32" ht="15" customHeight="1" x14ac:dyDescent="0.25">
      <c r="A61" s="146">
        <v>70</v>
      </c>
      <c r="B61" s="12" t="s">
        <v>77</v>
      </c>
      <c r="C61" s="65">
        <v>170</v>
      </c>
      <c r="D61" s="65">
        <v>169</v>
      </c>
      <c r="E61" s="65">
        <v>164</v>
      </c>
      <c r="F61" s="65">
        <v>164</v>
      </c>
      <c r="G61" s="65">
        <v>164</v>
      </c>
      <c r="H61" s="65">
        <v>159</v>
      </c>
      <c r="I61" s="65">
        <v>161</v>
      </c>
      <c r="J61" s="65">
        <v>162</v>
      </c>
      <c r="K61" s="65">
        <v>178</v>
      </c>
      <c r="L61" s="65">
        <v>185</v>
      </c>
      <c r="M61" s="65">
        <v>191</v>
      </c>
      <c r="N61" s="65">
        <v>190</v>
      </c>
      <c r="O61" s="65">
        <v>202</v>
      </c>
      <c r="P61" s="65">
        <v>201</v>
      </c>
      <c r="Q61" s="65">
        <v>203</v>
      </c>
      <c r="R61" s="65">
        <v>189</v>
      </c>
      <c r="S61" s="65">
        <v>188</v>
      </c>
      <c r="T61" s="65">
        <v>185</v>
      </c>
      <c r="U61" s="65">
        <v>183</v>
      </c>
      <c r="V61" s="65">
        <v>177</v>
      </c>
      <c r="W61" s="65">
        <v>178</v>
      </c>
      <c r="X61" s="65">
        <v>170</v>
      </c>
      <c r="Y61" s="65">
        <v>166</v>
      </c>
      <c r="Z61" s="65">
        <v>150</v>
      </c>
      <c r="AA61" s="65">
        <v>142</v>
      </c>
      <c r="AB61" s="65">
        <v>143</v>
      </c>
      <c r="AC61" s="65">
        <v>139</v>
      </c>
      <c r="AD61" s="65">
        <v>140</v>
      </c>
      <c r="AE61" s="147">
        <v>126</v>
      </c>
    </row>
    <row r="62" spans="1:32" ht="15" customHeight="1" x14ac:dyDescent="0.25">
      <c r="A62" s="156">
        <v>71</v>
      </c>
      <c r="B62" s="17" t="s">
        <v>78</v>
      </c>
      <c r="C62" s="70">
        <v>8</v>
      </c>
      <c r="D62" s="70">
        <v>7</v>
      </c>
      <c r="E62" s="70">
        <v>8</v>
      </c>
      <c r="F62" s="70">
        <v>8</v>
      </c>
      <c r="G62" s="70">
        <v>7</v>
      </c>
      <c r="H62" s="70">
        <v>8</v>
      </c>
      <c r="I62" s="70" t="s">
        <v>383</v>
      </c>
      <c r="J62" s="70" t="s">
        <v>383</v>
      </c>
      <c r="K62" s="70" t="s">
        <v>383</v>
      </c>
      <c r="L62" s="70">
        <v>10</v>
      </c>
      <c r="M62" s="70">
        <v>10</v>
      </c>
      <c r="N62" s="70">
        <v>11</v>
      </c>
      <c r="O62" s="70">
        <v>13</v>
      </c>
      <c r="P62" s="70">
        <v>14</v>
      </c>
      <c r="Q62" s="70">
        <v>14</v>
      </c>
      <c r="R62" s="70" t="s">
        <v>383</v>
      </c>
      <c r="S62" s="70" t="s">
        <v>383</v>
      </c>
      <c r="T62" s="70" t="s">
        <v>383</v>
      </c>
      <c r="U62" s="70" t="s">
        <v>383</v>
      </c>
      <c r="V62" s="70" t="s">
        <v>383</v>
      </c>
      <c r="W62" s="70" t="s">
        <v>383</v>
      </c>
      <c r="X62" s="70" t="s">
        <v>383</v>
      </c>
      <c r="Y62" s="70" t="s">
        <v>383</v>
      </c>
      <c r="Z62" s="70" t="s">
        <v>383</v>
      </c>
      <c r="AA62" s="70" t="s">
        <v>383</v>
      </c>
      <c r="AB62" s="70" t="s">
        <v>383</v>
      </c>
      <c r="AC62" s="70" t="s">
        <v>383</v>
      </c>
      <c r="AD62" s="70" t="s">
        <v>383</v>
      </c>
      <c r="AE62" s="157" t="s">
        <v>383</v>
      </c>
    </row>
    <row r="63" spans="1:32" ht="15" customHeight="1" x14ac:dyDescent="0.25">
      <c r="A63" s="156">
        <v>72</v>
      </c>
      <c r="B63" s="17" t="s">
        <v>79</v>
      </c>
      <c r="C63" s="70">
        <v>7</v>
      </c>
      <c r="D63" s="70">
        <v>8</v>
      </c>
      <c r="E63" s="70" t="s">
        <v>383</v>
      </c>
      <c r="F63" s="70" t="s">
        <v>383</v>
      </c>
      <c r="G63" s="70" t="s">
        <v>383</v>
      </c>
      <c r="H63" s="70" t="s">
        <v>383</v>
      </c>
      <c r="I63" s="70">
        <v>10</v>
      </c>
      <c r="J63" s="70">
        <v>11</v>
      </c>
      <c r="K63" s="70">
        <v>9</v>
      </c>
      <c r="L63" s="70" t="s">
        <v>383</v>
      </c>
      <c r="M63" s="70" t="s">
        <v>383</v>
      </c>
      <c r="N63" s="70" t="s">
        <v>383</v>
      </c>
      <c r="O63" s="70" t="s">
        <v>383</v>
      </c>
      <c r="P63" s="70" t="s">
        <v>383</v>
      </c>
      <c r="Q63" s="70" t="s">
        <v>383</v>
      </c>
      <c r="R63" s="70">
        <v>23</v>
      </c>
      <c r="S63" s="70">
        <v>21</v>
      </c>
      <c r="T63" s="70">
        <v>24</v>
      </c>
      <c r="U63" s="70">
        <v>18</v>
      </c>
      <c r="V63" s="70">
        <v>17</v>
      </c>
      <c r="W63" s="70">
        <v>18</v>
      </c>
      <c r="X63" s="70">
        <v>19</v>
      </c>
      <c r="Y63" s="70">
        <v>19</v>
      </c>
      <c r="Z63" s="70">
        <v>19</v>
      </c>
      <c r="AA63" s="70">
        <v>20</v>
      </c>
      <c r="AB63" s="70">
        <v>30</v>
      </c>
      <c r="AC63" s="70">
        <v>36</v>
      </c>
      <c r="AD63" s="70">
        <v>41</v>
      </c>
      <c r="AE63" s="157">
        <v>45</v>
      </c>
    </row>
    <row r="64" spans="1:32" ht="15" customHeight="1" x14ac:dyDescent="0.25">
      <c r="A64" s="156">
        <v>73</v>
      </c>
      <c r="B64" s="17" t="s">
        <v>80</v>
      </c>
      <c r="C64" s="70" t="s">
        <v>383</v>
      </c>
      <c r="D64" s="70" t="s">
        <v>383</v>
      </c>
      <c r="E64" s="70" t="s">
        <v>383</v>
      </c>
      <c r="F64" s="70" t="s">
        <v>383</v>
      </c>
      <c r="G64" s="70" t="s">
        <v>383</v>
      </c>
      <c r="H64" s="70" t="s">
        <v>383</v>
      </c>
      <c r="I64" s="70" t="s">
        <v>383</v>
      </c>
      <c r="J64" s="70" t="s">
        <v>383</v>
      </c>
      <c r="K64" s="70" t="s">
        <v>383</v>
      </c>
      <c r="L64" s="70" t="s">
        <v>383</v>
      </c>
      <c r="M64" s="70" t="s">
        <v>383</v>
      </c>
      <c r="N64" s="70" t="s">
        <v>383</v>
      </c>
      <c r="O64" s="70" t="s">
        <v>383</v>
      </c>
      <c r="P64" s="70" t="s">
        <v>383</v>
      </c>
      <c r="Q64" s="70" t="s">
        <v>383</v>
      </c>
      <c r="R64" s="70" t="s">
        <v>383</v>
      </c>
      <c r="S64" s="70" t="s">
        <v>383</v>
      </c>
      <c r="T64" s="70" t="s">
        <v>383</v>
      </c>
      <c r="U64" s="70" t="s">
        <v>383</v>
      </c>
      <c r="V64" s="70" t="s">
        <v>383</v>
      </c>
      <c r="W64" s="70" t="s">
        <v>383</v>
      </c>
      <c r="X64" s="70" t="s">
        <v>383</v>
      </c>
      <c r="Y64" s="70" t="s">
        <v>383</v>
      </c>
      <c r="Z64" s="70" t="s">
        <v>383</v>
      </c>
      <c r="AA64" s="70" t="s">
        <v>383</v>
      </c>
      <c r="AB64" s="70" t="s">
        <v>383</v>
      </c>
      <c r="AC64" s="70" t="s">
        <v>383</v>
      </c>
      <c r="AD64" s="70" t="s">
        <v>383</v>
      </c>
      <c r="AE64" s="157" t="s">
        <v>383</v>
      </c>
    </row>
    <row r="65" spans="1:32" ht="15" customHeight="1" x14ac:dyDescent="0.25">
      <c r="A65" s="156">
        <v>74</v>
      </c>
      <c r="B65" s="17" t="s">
        <v>81</v>
      </c>
      <c r="C65" s="70">
        <v>231</v>
      </c>
      <c r="D65" s="70">
        <v>229</v>
      </c>
      <c r="E65" s="70">
        <v>254</v>
      </c>
      <c r="F65" s="70">
        <v>267</v>
      </c>
      <c r="G65" s="70">
        <v>311</v>
      </c>
      <c r="H65" s="70">
        <v>306</v>
      </c>
      <c r="I65" s="70">
        <v>282</v>
      </c>
      <c r="J65" s="70">
        <v>282</v>
      </c>
      <c r="K65" s="70">
        <v>310</v>
      </c>
      <c r="L65" s="70">
        <v>318</v>
      </c>
      <c r="M65" s="70">
        <v>359</v>
      </c>
      <c r="N65" s="70">
        <v>383</v>
      </c>
      <c r="O65" s="70">
        <v>414</v>
      </c>
      <c r="P65" s="70">
        <v>415</v>
      </c>
      <c r="Q65" s="70">
        <v>420</v>
      </c>
      <c r="R65" s="70">
        <v>417</v>
      </c>
      <c r="S65" s="70">
        <v>401</v>
      </c>
      <c r="T65" s="70">
        <v>400</v>
      </c>
      <c r="U65" s="70">
        <v>401</v>
      </c>
      <c r="V65" s="70">
        <v>399</v>
      </c>
      <c r="W65" s="70">
        <v>389</v>
      </c>
      <c r="X65" s="70">
        <v>417</v>
      </c>
      <c r="Y65" s="70">
        <v>411</v>
      </c>
      <c r="Z65" s="70">
        <v>388</v>
      </c>
      <c r="AA65" s="70">
        <v>379</v>
      </c>
      <c r="AB65" s="70">
        <v>387</v>
      </c>
      <c r="AC65" s="70">
        <v>405</v>
      </c>
      <c r="AD65" s="70">
        <v>401</v>
      </c>
      <c r="AE65" s="157">
        <v>379</v>
      </c>
    </row>
    <row r="66" spans="1:32" ht="15" customHeight="1" thickBot="1" x14ac:dyDescent="0.3">
      <c r="A66" s="158">
        <v>75</v>
      </c>
      <c r="B66" s="18" t="s">
        <v>185</v>
      </c>
      <c r="C66" s="71" t="s">
        <v>383</v>
      </c>
      <c r="D66" s="71" t="s">
        <v>383</v>
      </c>
      <c r="E66" s="71">
        <v>4</v>
      </c>
      <c r="F66" s="71">
        <v>6</v>
      </c>
      <c r="G66" s="71">
        <v>10</v>
      </c>
      <c r="H66" s="71">
        <v>8</v>
      </c>
      <c r="I66" s="71">
        <v>6</v>
      </c>
      <c r="J66" s="71">
        <v>6</v>
      </c>
      <c r="K66" s="71">
        <v>8</v>
      </c>
      <c r="L66" s="71">
        <v>8</v>
      </c>
      <c r="M66" s="71">
        <v>8</v>
      </c>
      <c r="N66" s="71">
        <v>12</v>
      </c>
      <c r="O66" s="71">
        <v>9</v>
      </c>
      <c r="P66" s="71">
        <v>13</v>
      </c>
      <c r="Q66" s="71">
        <v>14</v>
      </c>
      <c r="R66" s="71">
        <v>15</v>
      </c>
      <c r="S66" s="71">
        <v>13</v>
      </c>
      <c r="T66" s="71">
        <v>11</v>
      </c>
      <c r="U66" s="71">
        <v>11</v>
      </c>
      <c r="V66" s="71">
        <v>10</v>
      </c>
      <c r="W66" s="71">
        <v>7</v>
      </c>
      <c r="X66" s="71">
        <v>8</v>
      </c>
      <c r="Y66" s="71">
        <v>6</v>
      </c>
      <c r="Z66" s="71">
        <v>6</v>
      </c>
      <c r="AA66" s="71">
        <v>5</v>
      </c>
      <c r="AB66" s="71">
        <v>4</v>
      </c>
      <c r="AC66" s="71">
        <v>5</v>
      </c>
      <c r="AD66" s="71">
        <v>6</v>
      </c>
      <c r="AE66" s="159">
        <v>6</v>
      </c>
    </row>
    <row r="67" spans="1:32" s="11" customFormat="1" ht="15" customHeight="1" thickBot="1" x14ac:dyDescent="0.3">
      <c r="A67" s="160" t="s">
        <v>83</v>
      </c>
      <c r="B67" s="19" t="s">
        <v>84</v>
      </c>
      <c r="C67" s="64">
        <v>49</v>
      </c>
      <c r="D67" s="64">
        <v>48</v>
      </c>
      <c r="E67" s="64">
        <v>60</v>
      </c>
      <c r="F67" s="64">
        <v>59</v>
      </c>
      <c r="G67" s="64">
        <v>55</v>
      </c>
      <c r="H67" s="64">
        <v>55</v>
      </c>
      <c r="I67" s="64">
        <v>55</v>
      </c>
      <c r="J67" s="64">
        <v>56</v>
      </c>
      <c r="K67" s="64">
        <v>57</v>
      </c>
      <c r="L67" s="64">
        <v>61</v>
      </c>
      <c r="M67" s="64">
        <v>69</v>
      </c>
      <c r="N67" s="64">
        <v>69</v>
      </c>
      <c r="O67" s="64">
        <v>68</v>
      </c>
      <c r="P67" s="64">
        <v>73</v>
      </c>
      <c r="Q67" s="64">
        <v>74</v>
      </c>
      <c r="R67" s="64">
        <v>73</v>
      </c>
      <c r="S67" s="64">
        <v>72</v>
      </c>
      <c r="T67" s="64">
        <v>76</v>
      </c>
      <c r="U67" s="64">
        <v>77</v>
      </c>
      <c r="V67" s="64">
        <v>80</v>
      </c>
      <c r="W67" s="64">
        <v>75</v>
      </c>
      <c r="X67" s="64">
        <v>80</v>
      </c>
      <c r="Y67" s="64">
        <v>86</v>
      </c>
      <c r="Z67" s="64">
        <v>82</v>
      </c>
      <c r="AA67" s="64">
        <v>79</v>
      </c>
      <c r="AB67" s="64">
        <v>86</v>
      </c>
      <c r="AC67" s="64">
        <v>85</v>
      </c>
      <c r="AD67" s="64">
        <v>87</v>
      </c>
      <c r="AE67" s="145">
        <v>80</v>
      </c>
      <c r="AF67" s="10"/>
    </row>
    <row r="68" spans="1:32" ht="15" customHeight="1" thickBot="1" x14ac:dyDescent="0.3">
      <c r="A68" s="150">
        <v>80</v>
      </c>
      <c r="B68" s="14" t="s">
        <v>85</v>
      </c>
      <c r="C68" s="70">
        <v>49</v>
      </c>
      <c r="D68" s="67">
        <v>48</v>
      </c>
      <c r="E68" s="67">
        <v>60</v>
      </c>
      <c r="F68" s="67">
        <v>59</v>
      </c>
      <c r="G68" s="67">
        <v>55</v>
      </c>
      <c r="H68" s="67">
        <v>55</v>
      </c>
      <c r="I68" s="67">
        <v>55</v>
      </c>
      <c r="J68" s="67">
        <v>56</v>
      </c>
      <c r="K68" s="67">
        <v>57</v>
      </c>
      <c r="L68" s="67">
        <v>61</v>
      </c>
      <c r="M68" s="67">
        <v>69</v>
      </c>
      <c r="N68" s="67">
        <v>69</v>
      </c>
      <c r="O68" s="67">
        <v>68</v>
      </c>
      <c r="P68" s="67">
        <v>73</v>
      </c>
      <c r="Q68" s="67">
        <v>74</v>
      </c>
      <c r="R68" s="67">
        <v>73</v>
      </c>
      <c r="S68" s="67">
        <v>72</v>
      </c>
      <c r="T68" s="67">
        <v>76</v>
      </c>
      <c r="U68" s="67">
        <v>77</v>
      </c>
      <c r="V68" s="67">
        <v>80</v>
      </c>
      <c r="W68" s="67">
        <v>75</v>
      </c>
      <c r="X68" s="67">
        <v>80</v>
      </c>
      <c r="Y68" s="67">
        <v>86</v>
      </c>
      <c r="Z68" s="67">
        <v>82</v>
      </c>
      <c r="AA68" s="67">
        <v>79</v>
      </c>
      <c r="AB68" s="67">
        <v>86</v>
      </c>
      <c r="AC68" s="67">
        <v>85</v>
      </c>
      <c r="AD68" s="67">
        <v>87</v>
      </c>
      <c r="AE68" s="151">
        <v>80</v>
      </c>
    </row>
    <row r="69" spans="1:32" s="11" customFormat="1" ht="15" customHeight="1" thickBot="1" x14ac:dyDescent="0.3">
      <c r="A69" s="144" t="s">
        <v>86</v>
      </c>
      <c r="B69" s="9" t="s">
        <v>87</v>
      </c>
      <c r="C69" s="64">
        <v>174</v>
      </c>
      <c r="D69" s="64">
        <v>173</v>
      </c>
      <c r="E69" s="64">
        <v>172</v>
      </c>
      <c r="F69" s="64">
        <v>181</v>
      </c>
      <c r="G69" s="64">
        <v>182</v>
      </c>
      <c r="H69" s="64">
        <v>166</v>
      </c>
      <c r="I69" s="64">
        <v>161</v>
      </c>
      <c r="J69" s="64">
        <v>167</v>
      </c>
      <c r="K69" s="64">
        <v>173</v>
      </c>
      <c r="L69" s="64">
        <v>191</v>
      </c>
      <c r="M69" s="64">
        <v>208</v>
      </c>
      <c r="N69" s="64">
        <v>203</v>
      </c>
      <c r="O69" s="64">
        <v>212</v>
      </c>
      <c r="P69" s="64">
        <v>208</v>
      </c>
      <c r="Q69" s="64">
        <v>231</v>
      </c>
      <c r="R69" s="64">
        <v>240</v>
      </c>
      <c r="S69" s="64">
        <v>249</v>
      </c>
      <c r="T69" s="64">
        <v>251</v>
      </c>
      <c r="U69" s="64">
        <v>260</v>
      </c>
      <c r="V69" s="64">
        <v>271</v>
      </c>
      <c r="W69" s="64">
        <v>269</v>
      </c>
      <c r="X69" s="64">
        <v>271</v>
      </c>
      <c r="Y69" s="64">
        <v>270</v>
      </c>
      <c r="Z69" s="64">
        <v>264</v>
      </c>
      <c r="AA69" s="64">
        <v>266</v>
      </c>
      <c r="AB69" s="64">
        <v>260</v>
      </c>
      <c r="AC69" s="64">
        <v>257</v>
      </c>
      <c r="AD69" s="64">
        <v>254</v>
      </c>
      <c r="AE69" s="145">
        <v>254</v>
      </c>
      <c r="AF69" s="10"/>
    </row>
    <row r="70" spans="1:32" ht="15" customHeight="1" thickBot="1" x14ac:dyDescent="0.3">
      <c r="A70" s="150">
        <v>85</v>
      </c>
      <c r="B70" s="14" t="s">
        <v>88</v>
      </c>
      <c r="C70" s="67">
        <v>174</v>
      </c>
      <c r="D70" s="67">
        <v>173</v>
      </c>
      <c r="E70" s="67">
        <v>172</v>
      </c>
      <c r="F70" s="67">
        <v>181</v>
      </c>
      <c r="G70" s="67">
        <v>182</v>
      </c>
      <c r="H70" s="67">
        <v>166</v>
      </c>
      <c r="I70" s="67">
        <v>161</v>
      </c>
      <c r="J70" s="67">
        <v>167</v>
      </c>
      <c r="K70" s="67">
        <v>173</v>
      </c>
      <c r="L70" s="67">
        <v>191</v>
      </c>
      <c r="M70" s="67">
        <v>208</v>
      </c>
      <c r="N70" s="67">
        <v>203</v>
      </c>
      <c r="O70" s="67">
        <v>212</v>
      </c>
      <c r="P70" s="67">
        <v>208</v>
      </c>
      <c r="Q70" s="67">
        <v>231</v>
      </c>
      <c r="R70" s="67">
        <v>240</v>
      </c>
      <c r="S70" s="67">
        <v>249</v>
      </c>
      <c r="T70" s="67">
        <v>251</v>
      </c>
      <c r="U70" s="67">
        <v>260</v>
      </c>
      <c r="V70" s="67">
        <v>271</v>
      </c>
      <c r="W70" s="67">
        <v>269</v>
      </c>
      <c r="X70" s="67">
        <v>271</v>
      </c>
      <c r="Y70" s="67">
        <v>270</v>
      </c>
      <c r="Z70" s="67">
        <v>264</v>
      </c>
      <c r="AA70" s="67">
        <v>266</v>
      </c>
      <c r="AB70" s="67">
        <v>260</v>
      </c>
      <c r="AC70" s="67">
        <v>257</v>
      </c>
      <c r="AD70" s="67">
        <v>254</v>
      </c>
      <c r="AE70" s="151">
        <v>254</v>
      </c>
    </row>
    <row r="71" spans="1:32" s="11" customFormat="1" ht="15" customHeight="1" thickBot="1" x14ac:dyDescent="0.3">
      <c r="A71" s="144" t="s">
        <v>89</v>
      </c>
      <c r="B71" s="9" t="s">
        <v>90</v>
      </c>
      <c r="C71" s="64">
        <v>272</v>
      </c>
      <c r="D71" s="64">
        <v>268</v>
      </c>
      <c r="E71" s="64">
        <v>279</v>
      </c>
      <c r="F71" s="64">
        <v>280</v>
      </c>
      <c r="G71" s="64">
        <v>273</v>
      </c>
      <c r="H71" s="64">
        <v>276</v>
      </c>
      <c r="I71" s="64">
        <v>258</v>
      </c>
      <c r="J71" s="64">
        <v>273</v>
      </c>
      <c r="K71" s="64">
        <v>293</v>
      </c>
      <c r="L71" s="64">
        <v>307</v>
      </c>
      <c r="M71" s="64">
        <v>324</v>
      </c>
      <c r="N71" s="64">
        <v>336</v>
      </c>
      <c r="O71" s="64">
        <v>346</v>
      </c>
      <c r="P71" s="64">
        <v>346</v>
      </c>
      <c r="Q71" s="64">
        <v>350</v>
      </c>
      <c r="R71" s="64">
        <v>352</v>
      </c>
      <c r="S71" s="64">
        <v>352</v>
      </c>
      <c r="T71" s="64">
        <v>347</v>
      </c>
      <c r="U71" s="64">
        <v>340</v>
      </c>
      <c r="V71" s="64">
        <v>341</v>
      </c>
      <c r="W71" s="64">
        <v>356</v>
      </c>
      <c r="X71" s="64">
        <v>345</v>
      </c>
      <c r="Y71" s="64">
        <v>359</v>
      </c>
      <c r="Z71" s="64">
        <v>337</v>
      </c>
      <c r="AA71" s="64">
        <v>322</v>
      </c>
      <c r="AB71" s="64">
        <v>321</v>
      </c>
      <c r="AC71" s="64">
        <v>318</v>
      </c>
      <c r="AD71" s="64">
        <v>322</v>
      </c>
      <c r="AE71" s="145">
        <v>318</v>
      </c>
      <c r="AF71" s="10"/>
    </row>
    <row r="72" spans="1:32" ht="15" customHeight="1" x14ac:dyDescent="0.25">
      <c r="A72" s="146">
        <v>90</v>
      </c>
      <c r="B72" s="12" t="s">
        <v>91</v>
      </c>
      <c r="C72" s="65">
        <v>4</v>
      </c>
      <c r="D72" s="65">
        <v>7</v>
      </c>
      <c r="E72" s="65">
        <v>7</v>
      </c>
      <c r="F72" s="65">
        <v>6</v>
      </c>
      <c r="G72" s="65">
        <v>5</v>
      </c>
      <c r="H72" s="65">
        <v>6</v>
      </c>
      <c r="I72" s="65">
        <v>4</v>
      </c>
      <c r="J72" s="65">
        <v>5</v>
      </c>
      <c r="K72" s="65">
        <v>5</v>
      </c>
      <c r="L72" s="65">
        <v>4</v>
      </c>
      <c r="M72" s="65">
        <v>4</v>
      </c>
      <c r="N72" s="65">
        <v>4</v>
      </c>
      <c r="O72" s="65">
        <v>4</v>
      </c>
      <c r="P72" s="65">
        <v>4</v>
      </c>
      <c r="Q72" s="65" t="s">
        <v>383</v>
      </c>
      <c r="R72" s="65">
        <v>4</v>
      </c>
      <c r="S72" s="65">
        <v>4</v>
      </c>
      <c r="T72" s="65">
        <v>4</v>
      </c>
      <c r="U72" s="65">
        <v>4</v>
      </c>
      <c r="V72" s="65">
        <v>5</v>
      </c>
      <c r="W72" s="65">
        <v>4</v>
      </c>
      <c r="X72" s="65">
        <v>5</v>
      </c>
      <c r="Y72" s="65">
        <v>5</v>
      </c>
      <c r="Z72" s="65" t="s">
        <v>383</v>
      </c>
      <c r="AA72" s="65">
        <v>4</v>
      </c>
      <c r="AB72" s="65">
        <v>5</v>
      </c>
      <c r="AC72" s="65">
        <v>6</v>
      </c>
      <c r="AD72" s="65">
        <v>6</v>
      </c>
      <c r="AE72" s="147">
        <v>6</v>
      </c>
    </row>
    <row r="73" spans="1:32" ht="15" customHeight="1" x14ac:dyDescent="0.25">
      <c r="A73" s="156">
        <v>91</v>
      </c>
      <c r="B73" s="17" t="s">
        <v>92</v>
      </c>
      <c r="C73" s="70">
        <v>149</v>
      </c>
      <c r="D73" s="70">
        <v>148</v>
      </c>
      <c r="E73" s="70">
        <v>155</v>
      </c>
      <c r="F73" s="70">
        <v>157</v>
      </c>
      <c r="G73" s="70">
        <v>161</v>
      </c>
      <c r="H73" s="70">
        <v>171</v>
      </c>
      <c r="I73" s="70">
        <v>166</v>
      </c>
      <c r="J73" s="70">
        <v>163</v>
      </c>
      <c r="K73" s="70">
        <v>166</v>
      </c>
      <c r="L73" s="70">
        <v>167</v>
      </c>
      <c r="M73" s="70">
        <v>165</v>
      </c>
      <c r="N73" s="70">
        <v>175</v>
      </c>
      <c r="O73" s="70">
        <v>175</v>
      </c>
      <c r="P73" s="70">
        <v>175</v>
      </c>
      <c r="Q73" s="70">
        <v>175</v>
      </c>
      <c r="R73" s="70">
        <v>181</v>
      </c>
      <c r="S73" s="70">
        <v>186</v>
      </c>
      <c r="T73" s="70">
        <v>189</v>
      </c>
      <c r="U73" s="70">
        <v>190</v>
      </c>
      <c r="V73" s="70">
        <v>189</v>
      </c>
      <c r="W73" s="70">
        <v>192</v>
      </c>
      <c r="X73" s="70">
        <v>184</v>
      </c>
      <c r="Y73" s="70">
        <v>194</v>
      </c>
      <c r="Z73" s="70">
        <v>196</v>
      </c>
      <c r="AA73" s="70">
        <v>193</v>
      </c>
      <c r="AB73" s="70">
        <v>192</v>
      </c>
      <c r="AC73" s="70">
        <v>190</v>
      </c>
      <c r="AD73" s="70">
        <v>189</v>
      </c>
      <c r="AE73" s="157">
        <v>184</v>
      </c>
    </row>
    <row r="74" spans="1:32" ht="15" customHeight="1" x14ac:dyDescent="0.25">
      <c r="A74" s="156">
        <v>92</v>
      </c>
      <c r="B74" s="17" t="s">
        <v>93</v>
      </c>
      <c r="C74" s="70">
        <v>40</v>
      </c>
      <c r="D74" s="70">
        <v>39</v>
      </c>
      <c r="E74" s="70">
        <v>43</v>
      </c>
      <c r="F74" s="70">
        <v>35</v>
      </c>
      <c r="G74" s="70">
        <v>33</v>
      </c>
      <c r="H74" s="70">
        <v>32</v>
      </c>
      <c r="I74" s="70">
        <v>31</v>
      </c>
      <c r="J74" s="70">
        <v>33</v>
      </c>
      <c r="K74" s="70">
        <v>31</v>
      </c>
      <c r="L74" s="70">
        <v>35</v>
      </c>
      <c r="M74" s="70">
        <v>42</v>
      </c>
      <c r="N74" s="70">
        <v>48</v>
      </c>
      <c r="O74" s="70">
        <v>56</v>
      </c>
      <c r="P74" s="70">
        <v>60</v>
      </c>
      <c r="Q74" s="70" t="s">
        <v>383</v>
      </c>
      <c r="R74" s="70">
        <v>57</v>
      </c>
      <c r="S74" s="70">
        <v>56</v>
      </c>
      <c r="T74" s="70">
        <v>56</v>
      </c>
      <c r="U74" s="70">
        <v>52</v>
      </c>
      <c r="V74" s="70">
        <v>59</v>
      </c>
      <c r="W74" s="70">
        <v>62</v>
      </c>
      <c r="X74" s="70">
        <v>63</v>
      </c>
      <c r="Y74" s="70">
        <v>63</v>
      </c>
      <c r="Z74" s="70">
        <v>61</v>
      </c>
      <c r="AA74" s="70">
        <v>56</v>
      </c>
      <c r="AB74" s="70">
        <v>52</v>
      </c>
      <c r="AC74" s="70">
        <v>50</v>
      </c>
      <c r="AD74" s="70">
        <v>54</v>
      </c>
      <c r="AE74" s="157">
        <v>48</v>
      </c>
    </row>
    <row r="75" spans="1:32" ht="15" customHeight="1" thickBot="1" x14ac:dyDescent="0.3">
      <c r="A75" s="158">
        <v>93</v>
      </c>
      <c r="B75" s="18" t="s">
        <v>94</v>
      </c>
      <c r="C75" s="76">
        <v>79</v>
      </c>
      <c r="D75" s="76">
        <v>74</v>
      </c>
      <c r="E75" s="76">
        <v>74</v>
      </c>
      <c r="F75" s="76">
        <v>82</v>
      </c>
      <c r="G75" s="76">
        <v>74</v>
      </c>
      <c r="H75" s="76">
        <v>67</v>
      </c>
      <c r="I75" s="76">
        <v>57</v>
      </c>
      <c r="J75" s="76">
        <v>72</v>
      </c>
      <c r="K75" s="76">
        <v>91</v>
      </c>
      <c r="L75" s="76">
        <v>101</v>
      </c>
      <c r="M75" s="76">
        <v>113</v>
      </c>
      <c r="N75" s="76">
        <v>109</v>
      </c>
      <c r="O75" s="76">
        <v>111</v>
      </c>
      <c r="P75" s="76">
        <v>107</v>
      </c>
      <c r="Q75" s="76">
        <v>115</v>
      </c>
      <c r="R75" s="76">
        <v>110</v>
      </c>
      <c r="S75" s="76">
        <v>106</v>
      </c>
      <c r="T75" s="76">
        <v>98</v>
      </c>
      <c r="U75" s="76">
        <v>94</v>
      </c>
      <c r="V75" s="76">
        <v>88</v>
      </c>
      <c r="W75" s="76">
        <v>98</v>
      </c>
      <c r="X75" s="76">
        <v>93</v>
      </c>
      <c r="Y75" s="76">
        <v>97</v>
      </c>
      <c r="Z75" s="76" t="s">
        <v>383</v>
      </c>
      <c r="AA75" s="76">
        <v>69</v>
      </c>
      <c r="AB75" s="76">
        <v>72</v>
      </c>
      <c r="AC75" s="76">
        <v>72</v>
      </c>
      <c r="AD75" s="76">
        <v>73</v>
      </c>
      <c r="AE75" s="165">
        <v>80</v>
      </c>
    </row>
    <row r="76" spans="1:32" s="23" customFormat="1" ht="15" customHeight="1" thickBot="1" x14ac:dyDescent="0.3">
      <c r="A76" s="166"/>
      <c r="B76" s="167" t="s">
        <v>95</v>
      </c>
      <c r="C76" s="168">
        <v>3063</v>
      </c>
      <c r="D76" s="168">
        <v>3068</v>
      </c>
      <c r="E76" s="168">
        <v>3142</v>
      </c>
      <c r="F76" s="168">
        <v>3188</v>
      </c>
      <c r="G76" s="168">
        <v>3300</v>
      </c>
      <c r="H76" s="168">
        <v>3142</v>
      </c>
      <c r="I76" s="168">
        <v>2980</v>
      </c>
      <c r="J76" s="168">
        <v>3122</v>
      </c>
      <c r="K76" s="168">
        <v>3394</v>
      </c>
      <c r="L76" s="168">
        <v>3658</v>
      </c>
      <c r="M76" s="168">
        <v>4031</v>
      </c>
      <c r="N76" s="168">
        <v>4283</v>
      </c>
      <c r="O76" s="168">
        <v>4603</v>
      </c>
      <c r="P76" s="168">
        <v>4912</v>
      </c>
      <c r="Q76" s="168">
        <v>5136</v>
      </c>
      <c r="R76" s="168">
        <v>5177</v>
      </c>
      <c r="S76" s="168">
        <v>5223</v>
      </c>
      <c r="T76" s="168">
        <v>5282</v>
      </c>
      <c r="U76" s="168">
        <v>5335</v>
      </c>
      <c r="V76" s="168">
        <v>5437</v>
      </c>
      <c r="W76" s="168">
        <v>5500</v>
      </c>
      <c r="X76" s="168">
        <v>5580</v>
      </c>
      <c r="Y76" s="168">
        <v>5569</v>
      </c>
      <c r="Z76" s="168">
        <v>5336</v>
      </c>
      <c r="AA76" s="168">
        <v>5131</v>
      </c>
      <c r="AB76" s="168">
        <v>5175</v>
      </c>
      <c r="AC76" s="168">
        <v>5420</v>
      </c>
      <c r="AD76" s="168">
        <v>5491</v>
      </c>
      <c r="AE76" s="169">
        <v>5337</v>
      </c>
      <c r="AF76" s="22"/>
    </row>
    <row r="77" spans="1:32" ht="12" customHeight="1" x14ac:dyDescent="0.25">
      <c r="A77" s="7"/>
      <c r="B77" s="7"/>
      <c r="C77" s="7"/>
      <c r="D77" s="7"/>
      <c r="E77" s="24"/>
      <c r="F77" s="7"/>
      <c r="G77" s="25"/>
      <c r="H77" s="7"/>
      <c r="I77" s="7"/>
      <c r="J77" s="7"/>
      <c r="K77" s="7"/>
      <c r="L77" s="7"/>
      <c r="M77" s="7"/>
      <c r="N77" s="7"/>
      <c r="O77" s="7"/>
      <c r="P77" s="7"/>
      <c r="Q77" s="7"/>
      <c r="R77" s="7"/>
      <c r="S77" s="7"/>
      <c r="T77" s="7"/>
      <c r="U77" s="7"/>
      <c r="V77" s="7"/>
      <c r="W77" s="7"/>
      <c r="X77" s="7"/>
      <c r="Y77" s="7"/>
      <c r="Z77" s="7"/>
      <c r="AA77" s="7"/>
      <c r="AB77" s="7"/>
      <c r="AC77" s="7"/>
      <c r="AD77" s="7"/>
      <c r="AE77" s="7"/>
    </row>
    <row r="78" spans="1:32" ht="11.25" x14ac:dyDescent="0.25">
      <c r="A78" s="307" t="s">
        <v>96</v>
      </c>
      <c r="B78" s="307"/>
      <c r="C78" s="277"/>
      <c r="D78" s="277"/>
      <c r="E78" s="277"/>
      <c r="F78" s="26"/>
      <c r="G78" s="26"/>
      <c r="H78" s="7"/>
      <c r="I78" s="7"/>
      <c r="J78" s="7"/>
      <c r="K78" s="7"/>
      <c r="L78" s="7"/>
      <c r="M78" s="7"/>
      <c r="N78" s="7"/>
      <c r="O78" s="7"/>
      <c r="P78" s="7"/>
      <c r="Q78" s="7"/>
      <c r="R78" s="7"/>
      <c r="S78" s="7"/>
      <c r="T78" s="7"/>
      <c r="U78" s="7"/>
      <c r="V78" s="7"/>
      <c r="W78" s="7"/>
      <c r="X78" s="7"/>
      <c r="Y78" s="7"/>
      <c r="Z78" s="7"/>
      <c r="AA78" s="7"/>
      <c r="AB78" s="7"/>
      <c r="AC78" s="7"/>
      <c r="AD78" s="7"/>
      <c r="AE78" s="7"/>
    </row>
    <row r="79" spans="1:32" ht="26.45" customHeight="1" x14ac:dyDescent="0.25">
      <c r="A79" s="307" t="s">
        <v>381</v>
      </c>
      <c r="B79" s="307"/>
      <c r="C79" s="307"/>
      <c r="D79" s="277"/>
      <c r="E79" s="277"/>
      <c r="F79" s="277"/>
      <c r="G79" s="277"/>
      <c r="H79" s="27"/>
      <c r="I79" s="27"/>
      <c r="J79" s="27"/>
      <c r="K79" s="27"/>
      <c r="L79" s="7"/>
      <c r="M79" s="7"/>
      <c r="N79" s="7"/>
      <c r="O79" s="7"/>
      <c r="P79" s="7"/>
      <c r="Q79" s="7"/>
      <c r="R79" s="7"/>
      <c r="S79" s="7"/>
      <c r="T79" s="7"/>
      <c r="U79" s="7"/>
      <c r="V79" s="7"/>
      <c r="W79" s="7"/>
      <c r="X79" s="7"/>
      <c r="Y79" s="7"/>
      <c r="Z79" s="7"/>
      <c r="AA79" s="7"/>
      <c r="AB79" s="7"/>
      <c r="AC79" s="7"/>
      <c r="AD79" s="7"/>
      <c r="AE79" s="61"/>
    </row>
    <row r="80" spans="1:32" ht="26.45" customHeight="1" x14ac:dyDescent="0.25">
      <c r="A80" s="307" t="s">
        <v>382</v>
      </c>
      <c r="B80" s="307"/>
      <c r="C80" s="307"/>
      <c r="D80" s="277"/>
      <c r="E80" s="277"/>
      <c r="F80" s="277"/>
      <c r="G80" s="277"/>
      <c r="H80" s="27"/>
      <c r="I80" s="27"/>
      <c r="J80" s="27"/>
      <c r="K80" s="27"/>
      <c r="L80" s="7"/>
      <c r="M80" s="7"/>
      <c r="N80" s="7"/>
      <c r="O80" s="7"/>
      <c r="P80" s="7"/>
      <c r="Q80" s="7"/>
      <c r="R80" s="7"/>
      <c r="S80" s="7"/>
      <c r="T80" s="7"/>
      <c r="U80" s="7"/>
      <c r="V80" s="7"/>
      <c r="W80" s="7"/>
      <c r="X80" s="7"/>
      <c r="Y80" s="7"/>
      <c r="Z80" s="7"/>
      <c r="AA80" s="7"/>
      <c r="AB80" s="7"/>
      <c r="AC80" s="7"/>
      <c r="AD80" s="7"/>
      <c r="AE80" s="7"/>
    </row>
    <row r="81" spans="1:31" ht="26.45" customHeight="1" x14ac:dyDescent="0.25">
      <c r="A81" s="307" t="s">
        <v>151</v>
      </c>
      <c r="B81" s="307"/>
      <c r="C81" s="307"/>
      <c r="D81" s="277"/>
      <c r="E81" s="277"/>
      <c r="F81" s="277"/>
      <c r="G81" s="277"/>
      <c r="H81" s="27"/>
      <c r="I81" s="27"/>
      <c r="J81" s="27"/>
      <c r="K81" s="27"/>
      <c r="L81" s="7"/>
      <c r="M81" s="7"/>
      <c r="N81" s="7"/>
      <c r="O81" s="7"/>
      <c r="P81" s="7"/>
      <c r="Q81" s="7"/>
      <c r="R81" s="7"/>
      <c r="S81" s="7"/>
      <c r="T81" s="7"/>
      <c r="U81" s="7"/>
      <c r="V81" s="7"/>
      <c r="W81" s="7"/>
      <c r="X81" s="7"/>
      <c r="Y81" s="7"/>
      <c r="Z81" s="7"/>
      <c r="AA81" s="7"/>
      <c r="AB81" s="7"/>
      <c r="AC81" s="7"/>
      <c r="AD81" s="7"/>
      <c r="AE81" s="7"/>
    </row>
    <row r="82" spans="1:31" s="29" customFormat="1" ht="46.5" customHeight="1" x14ac:dyDescent="0.25">
      <c r="A82" s="307" t="s">
        <v>384</v>
      </c>
      <c r="B82" s="307"/>
      <c r="C82" s="307"/>
      <c r="D82" s="307"/>
      <c r="E82" s="307"/>
      <c r="F82" s="307"/>
      <c r="G82" s="307"/>
      <c r="H82" s="28"/>
      <c r="I82" s="28"/>
      <c r="J82" s="28"/>
    </row>
    <row r="83" spans="1:31" ht="19.899999999999999" customHeight="1" x14ac:dyDescent="0.25">
      <c r="A83" s="276"/>
      <c r="B83" s="276"/>
      <c r="C83" s="276"/>
      <c r="D83" s="276"/>
      <c r="E83" s="276"/>
      <c r="F83" s="276"/>
      <c r="G83" s="276"/>
      <c r="H83" s="28"/>
      <c r="I83" s="28"/>
      <c r="J83" s="28"/>
      <c r="K83" s="7"/>
      <c r="L83" s="7"/>
      <c r="M83" s="7"/>
      <c r="N83" s="7"/>
      <c r="O83" s="7"/>
      <c r="P83" s="7"/>
      <c r="Q83" s="7"/>
      <c r="R83" s="7"/>
      <c r="S83" s="7"/>
      <c r="T83" s="7"/>
      <c r="U83" s="7"/>
      <c r="V83" s="7"/>
      <c r="W83" s="7"/>
      <c r="X83" s="7"/>
      <c r="Y83" s="7"/>
      <c r="Z83" s="7"/>
      <c r="AA83" s="7"/>
      <c r="AB83" s="7"/>
      <c r="AC83" s="7"/>
      <c r="AD83" s="7"/>
      <c r="AE83" s="7"/>
    </row>
    <row r="84" spans="1:31" ht="6.75" customHeight="1" x14ac:dyDescent="0.25">
      <c r="A84" s="7"/>
      <c r="B84" s="7"/>
      <c r="C84" s="7"/>
      <c r="D84" s="7"/>
      <c r="E84" s="7"/>
      <c r="F84" s="7"/>
      <c r="G84" s="7"/>
      <c r="H84" s="7"/>
      <c r="I84" s="7"/>
      <c r="J84" s="7"/>
      <c r="K84" s="7"/>
      <c r="L84" s="7"/>
      <c r="M84" s="7"/>
      <c r="N84" s="7"/>
      <c r="O84" s="7"/>
      <c r="P84" s="7"/>
      <c r="Q84" s="7"/>
      <c r="R84" s="7"/>
      <c r="S84" s="7"/>
      <c r="T84" s="7"/>
      <c r="U84" s="7"/>
      <c r="V84" s="7"/>
      <c r="W84" s="7"/>
      <c r="X84" s="7"/>
      <c r="Y84" s="7"/>
      <c r="Z84" s="7"/>
      <c r="AA84" s="7"/>
      <c r="AB84" s="7"/>
      <c r="AC84" s="7"/>
      <c r="AD84" s="7"/>
      <c r="AE84" s="7"/>
    </row>
    <row r="85" spans="1:31" ht="0" hidden="1" customHeight="1" x14ac:dyDescent="0.25"/>
    <row r="86" spans="1:31" ht="0" hidden="1" customHeight="1" x14ac:dyDescent="0.25"/>
    <row r="87" spans="1:31" ht="0" hidden="1" customHeight="1" x14ac:dyDescent="0.25"/>
    <row r="88" spans="1:31" ht="0" hidden="1" customHeight="1" x14ac:dyDescent="0.25"/>
    <row r="89" spans="1:31" ht="0" hidden="1" customHeight="1" x14ac:dyDescent="0.25"/>
    <row r="90" spans="1:31" ht="0" hidden="1" customHeight="1" x14ac:dyDescent="0.25"/>
    <row r="91" spans="1:31" ht="0" hidden="1" customHeight="1" x14ac:dyDescent="0.25"/>
    <row r="92" spans="1:31" ht="0" hidden="1" customHeight="1" x14ac:dyDescent="0.25"/>
    <row r="93" spans="1:31" ht="0" hidden="1" customHeight="1" x14ac:dyDescent="0.25"/>
    <row r="94" spans="1:31" ht="0" hidden="1" customHeight="1" x14ac:dyDescent="0.25"/>
  </sheetData>
  <mergeCells count="37">
    <mergeCell ref="Q4:Q5"/>
    <mergeCell ref="F4:F5"/>
    <mergeCell ref="G4:G5"/>
    <mergeCell ref="A82:G82"/>
    <mergeCell ref="W4:W5"/>
    <mergeCell ref="A79:C79"/>
    <mergeCell ref="A80:C80"/>
    <mergeCell ref="A81:C81"/>
    <mergeCell ref="A78:B78"/>
    <mergeCell ref="H4:H5"/>
    <mergeCell ref="X4:X5"/>
    <mergeCell ref="S4:S5"/>
    <mergeCell ref="T4:T5"/>
    <mergeCell ref="U4:U5"/>
    <mergeCell ref="V4:V5"/>
    <mergeCell ref="A2:C2"/>
    <mergeCell ref="B4:B5"/>
    <mergeCell ref="C4:C5"/>
    <mergeCell ref="D4:D5"/>
    <mergeCell ref="E4:E5"/>
    <mergeCell ref="A4:A5"/>
    <mergeCell ref="AB4:AB5"/>
    <mergeCell ref="I4:I5"/>
    <mergeCell ref="O4:O5"/>
    <mergeCell ref="AE4:AE5"/>
    <mergeCell ref="J4:J5"/>
    <mergeCell ref="AA4:AA5"/>
    <mergeCell ref="Z4:Z5"/>
    <mergeCell ref="Y4:Y5"/>
    <mergeCell ref="R4:R5"/>
    <mergeCell ref="K4:K5"/>
    <mergeCell ref="L4:L5"/>
    <mergeCell ref="M4:M5"/>
    <mergeCell ref="N4:N5"/>
    <mergeCell ref="AC4:AC5"/>
    <mergeCell ref="P4:P5"/>
    <mergeCell ref="AD4:AD5"/>
  </mergeCells>
  <pageMargins left="0.74803149606299213" right="0.74803149606299213" top="0.98425196850393704" bottom="0.98425196850393704" header="0" footer="0"/>
  <pageSetup paperSize="9" scale="65" fitToWidth="19" orientation="portrait" r:id="rId1"/>
  <headerFooter alignWithMargins="0"/>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5"/>
  <dimension ref="A1:DW94"/>
  <sheetViews>
    <sheetView zoomScale="115" zoomScaleNormal="115" workbookViewId="0">
      <pane xSplit="2" ySplit="5" topLeftCell="C6" activePane="bottomRight" state="frozen"/>
      <selection activeCell="C6" sqref="C6"/>
      <selection pane="topRight" activeCell="C6" sqref="C6"/>
      <selection pane="bottomLeft" activeCell="C6" sqref="C6"/>
      <selection pane="bottomRight" activeCell="C6" sqref="C6"/>
    </sheetView>
  </sheetViews>
  <sheetFormatPr baseColWidth="10" defaultColWidth="0" defaultRowHeight="0" customHeight="1" zeroHeight="1" x14ac:dyDescent="0.25"/>
  <cols>
    <col min="1" max="1" width="5.7109375" style="8" customWidth="1"/>
    <col min="2" max="2" width="62.7109375" style="8" customWidth="1"/>
    <col min="3" max="4" width="11.140625" style="30" customWidth="1"/>
    <col min="5" max="6" width="11.140625" style="8" customWidth="1"/>
    <col min="7" max="7" width="11.140625" style="31" customWidth="1"/>
    <col min="8" max="31" width="11.140625" style="8" customWidth="1"/>
    <col min="32" max="32" width="4.28515625" style="7" customWidth="1"/>
    <col min="33" max="127" width="0" style="8" hidden="1" customWidth="1"/>
    <col min="128" max="16384" width="11.140625" style="8" hidden="1"/>
  </cols>
  <sheetData>
    <row r="1" spans="1:32" s="5" customFormat="1" ht="25.5" customHeight="1" thickBot="1" x14ac:dyDescent="0.25">
      <c r="A1" s="1"/>
      <c r="B1" s="2"/>
      <c r="C1" s="3"/>
      <c r="D1" s="172" t="s">
        <v>0</v>
      </c>
      <c r="E1" s="171"/>
      <c r="F1" s="171"/>
      <c r="G1" s="173"/>
      <c r="H1" s="171"/>
      <c r="I1" s="171"/>
      <c r="J1" s="171"/>
      <c r="K1" s="171"/>
      <c r="L1" s="171"/>
      <c r="M1" s="171"/>
      <c r="N1" s="171"/>
      <c r="O1" s="171"/>
      <c r="P1" s="171"/>
      <c r="Q1" s="171"/>
      <c r="R1" s="171"/>
      <c r="S1" s="171"/>
      <c r="T1" s="171"/>
      <c r="U1" s="171"/>
      <c r="V1" s="171"/>
      <c r="W1" s="171"/>
      <c r="X1" s="171"/>
      <c r="Y1" s="171"/>
      <c r="Z1" s="171"/>
      <c r="AA1" s="171"/>
      <c r="AB1" s="171"/>
      <c r="AC1" s="171"/>
      <c r="AD1" s="171"/>
      <c r="AE1" s="171"/>
      <c r="AF1" s="2"/>
    </row>
    <row r="2" spans="1:32" s="7" customFormat="1" ht="22.5" customHeight="1" thickBot="1" x14ac:dyDescent="0.3">
      <c r="A2" s="303" t="s">
        <v>120</v>
      </c>
      <c r="B2" s="304"/>
      <c r="C2" s="304"/>
      <c r="D2" s="140"/>
      <c r="E2" s="140"/>
      <c r="F2" s="140"/>
      <c r="G2" s="140"/>
      <c r="H2" s="140"/>
      <c r="I2" s="140"/>
      <c r="J2" s="140"/>
      <c r="K2" s="140"/>
      <c r="L2" s="140"/>
      <c r="M2" s="140"/>
      <c r="N2" s="140"/>
      <c r="O2" s="140"/>
      <c r="P2" s="140"/>
      <c r="Q2" s="140"/>
      <c r="R2" s="140"/>
      <c r="S2" s="140"/>
      <c r="T2" s="140"/>
      <c r="U2" s="140"/>
      <c r="V2" s="140"/>
      <c r="W2" s="140"/>
      <c r="X2" s="140"/>
      <c r="Y2" s="140"/>
      <c r="Z2" s="140"/>
      <c r="AA2" s="140"/>
      <c r="AB2" s="140"/>
      <c r="AC2" s="140"/>
      <c r="AD2" s="140"/>
      <c r="AE2" s="141"/>
    </row>
    <row r="3" spans="1:32" ht="16.5" customHeight="1" thickBot="1" x14ac:dyDescent="0.25">
      <c r="A3" s="142" t="s">
        <v>299</v>
      </c>
      <c r="B3" s="57"/>
      <c r="C3" s="57"/>
      <c r="D3" s="58"/>
      <c r="E3" s="58"/>
      <c r="F3" s="58"/>
      <c r="G3" s="58"/>
      <c r="H3" s="59"/>
      <c r="I3" s="59"/>
      <c r="J3" s="59"/>
      <c r="K3" s="59"/>
      <c r="L3" s="59"/>
      <c r="M3" s="59"/>
      <c r="N3" s="59"/>
      <c r="O3" s="59"/>
      <c r="P3" s="59"/>
      <c r="Q3" s="59"/>
      <c r="R3" s="59"/>
      <c r="S3" s="59"/>
      <c r="T3" s="59"/>
      <c r="U3" s="59"/>
      <c r="V3" s="59"/>
      <c r="W3" s="59"/>
      <c r="X3" s="59"/>
      <c r="Y3" s="59"/>
      <c r="Z3" s="59"/>
      <c r="AA3" s="59"/>
      <c r="AB3" s="59"/>
      <c r="AC3" s="59"/>
      <c r="AD3" s="59"/>
      <c r="AE3" s="143"/>
    </row>
    <row r="4" spans="1:32" ht="15.75" customHeight="1" x14ac:dyDescent="0.25">
      <c r="A4" s="310"/>
      <c r="B4" s="308" t="s">
        <v>2</v>
      </c>
      <c r="C4" s="301">
        <v>1996</v>
      </c>
      <c r="D4" s="301">
        <v>1997</v>
      </c>
      <c r="E4" s="301">
        <v>1998</v>
      </c>
      <c r="F4" s="301">
        <v>1999</v>
      </c>
      <c r="G4" s="301">
        <v>2000</v>
      </c>
      <c r="H4" s="301">
        <v>2001</v>
      </c>
      <c r="I4" s="301">
        <v>2002</v>
      </c>
      <c r="J4" s="301">
        <v>2003</v>
      </c>
      <c r="K4" s="301">
        <v>2004</v>
      </c>
      <c r="L4" s="301">
        <v>2005</v>
      </c>
      <c r="M4" s="301">
        <v>2006</v>
      </c>
      <c r="N4" s="301">
        <v>2007</v>
      </c>
      <c r="O4" s="301">
        <v>2008</v>
      </c>
      <c r="P4" s="301">
        <v>2009</v>
      </c>
      <c r="Q4" s="301">
        <v>2010</v>
      </c>
      <c r="R4" s="301">
        <v>2011</v>
      </c>
      <c r="S4" s="301">
        <v>2012</v>
      </c>
      <c r="T4" s="301">
        <v>2013</v>
      </c>
      <c r="U4" s="301">
        <v>2014</v>
      </c>
      <c r="V4" s="301">
        <v>2015</v>
      </c>
      <c r="W4" s="301">
        <v>2016</v>
      </c>
      <c r="X4" s="301">
        <v>2017</v>
      </c>
      <c r="Y4" s="301">
        <v>2018</v>
      </c>
      <c r="Z4" s="301">
        <v>2019</v>
      </c>
      <c r="AA4" s="301">
        <v>2020</v>
      </c>
      <c r="AB4" s="301">
        <v>2021</v>
      </c>
      <c r="AC4" s="301">
        <v>2022</v>
      </c>
      <c r="AD4" s="301">
        <v>2023</v>
      </c>
      <c r="AE4" s="299">
        <v>2024</v>
      </c>
    </row>
    <row r="5" spans="1:32" ht="15.75" customHeight="1" thickBot="1" x14ac:dyDescent="0.3">
      <c r="A5" s="311"/>
      <c r="B5" s="309"/>
      <c r="C5" s="302"/>
      <c r="D5" s="302" t="s">
        <v>3</v>
      </c>
      <c r="E5" s="302"/>
      <c r="F5" s="302" t="s">
        <v>4</v>
      </c>
      <c r="G5" s="302"/>
      <c r="H5" s="302" t="s">
        <v>5</v>
      </c>
      <c r="I5" s="302"/>
      <c r="J5" s="302" t="s">
        <v>6</v>
      </c>
      <c r="K5" s="302"/>
      <c r="L5" s="302" t="s">
        <v>7</v>
      </c>
      <c r="M5" s="302"/>
      <c r="N5" s="302" t="s">
        <v>8</v>
      </c>
      <c r="O5" s="302"/>
      <c r="P5" s="302" t="s">
        <v>9</v>
      </c>
      <c r="Q5" s="302"/>
      <c r="R5" s="302" t="s">
        <v>10</v>
      </c>
      <c r="S5" s="302"/>
      <c r="T5" s="302"/>
      <c r="U5" s="302"/>
      <c r="V5" s="302"/>
      <c r="W5" s="302"/>
      <c r="X5" s="302"/>
      <c r="Y5" s="302"/>
      <c r="Z5" s="302"/>
      <c r="AA5" s="302"/>
      <c r="AB5" s="302"/>
      <c r="AC5" s="302"/>
      <c r="AD5" s="302"/>
      <c r="AE5" s="300"/>
    </row>
    <row r="6" spans="1:32" s="11" customFormat="1" ht="15" customHeight="1" thickBot="1" x14ac:dyDescent="0.3">
      <c r="A6" s="144" t="s">
        <v>11</v>
      </c>
      <c r="B6" s="9" t="s">
        <v>12</v>
      </c>
      <c r="C6" s="64">
        <v>1937</v>
      </c>
      <c r="D6" s="64">
        <v>1917</v>
      </c>
      <c r="E6" s="64">
        <v>1877</v>
      </c>
      <c r="F6" s="64">
        <v>1845</v>
      </c>
      <c r="G6" s="64">
        <v>1778</v>
      </c>
      <c r="H6" s="64">
        <v>1737</v>
      </c>
      <c r="I6" s="64">
        <v>1756</v>
      </c>
      <c r="J6" s="64">
        <v>1869</v>
      </c>
      <c r="K6" s="64">
        <v>1968</v>
      </c>
      <c r="L6" s="64">
        <v>2076</v>
      </c>
      <c r="M6" s="64">
        <v>2124</v>
      </c>
      <c r="N6" s="64">
        <v>2099</v>
      </c>
      <c r="O6" s="64">
        <v>2072</v>
      </c>
      <c r="P6" s="64">
        <v>1913</v>
      </c>
      <c r="Q6" s="64">
        <v>1876</v>
      </c>
      <c r="R6" s="64">
        <v>1927</v>
      </c>
      <c r="S6" s="64">
        <v>1934</v>
      </c>
      <c r="T6" s="64">
        <v>1894</v>
      </c>
      <c r="U6" s="64">
        <v>1818</v>
      </c>
      <c r="V6" s="64">
        <v>1735</v>
      </c>
      <c r="W6" s="64">
        <v>1756</v>
      </c>
      <c r="X6" s="64">
        <v>1707</v>
      </c>
      <c r="Y6" s="64">
        <v>1713</v>
      </c>
      <c r="Z6" s="64">
        <v>1715</v>
      </c>
      <c r="AA6" s="64">
        <v>1717</v>
      </c>
      <c r="AB6" s="64">
        <v>1734</v>
      </c>
      <c r="AC6" s="64">
        <v>1766</v>
      </c>
      <c r="AD6" s="64">
        <v>1715</v>
      </c>
      <c r="AE6" s="145">
        <v>1644</v>
      </c>
      <c r="AF6" s="10"/>
    </row>
    <row r="7" spans="1:32" ht="15" customHeight="1" x14ac:dyDescent="0.25">
      <c r="A7" s="146">
        <v>1</v>
      </c>
      <c r="B7" s="12" t="s">
        <v>13</v>
      </c>
      <c r="C7" s="68">
        <v>1932</v>
      </c>
      <c r="D7" s="68" t="s">
        <v>383</v>
      </c>
      <c r="E7" s="68">
        <v>1873</v>
      </c>
      <c r="F7" s="68" t="s">
        <v>383</v>
      </c>
      <c r="G7" s="68" t="s">
        <v>383</v>
      </c>
      <c r="H7" s="68" t="s">
        <v>383</v>
      </c>
      <c r="I7" s="68" t="s">
        <v>383</v>
      </c>
      <c r="J7" s="68" t="s">
        <v>383</v>
      </c>
      <c r="K7" s="68" t="s">
        <v>383</v>
      </c>
      <c r="L7" s="68">
        <v>2072</v>
      </c>
      <c r="M7" s="68">
        <v>2119</v>
      </c>
      <c r="N7" s="68" t="s">
        <v>383</v>
      </c>
      <c r="O7" s="68" t="s">
        <v>383</v>
      </c>
      <c r="P7" s="68" t="s">
        <v>383</v>
      </c>
      <c r="Q7" s="68">
        <v>1872</v>
      </c>
      <c r="R7" s="68">
        <v>1922</v>
      </c>
      <c r="S7" s="68">
        <v>1927</v>
      </c>
      <c r="T7" s="68">
        <v>1888</v>
      </c>
      <c r="U7" s="68">
        <v>1813</v>
      </c>
      <c r="V7" s="68">
        <v>1729</v>
      </c>
      <c r="W7" s="68">
        <v>1752</v>
      </c>
      <c r="X7" s="68">
        <v>1703</v>
      </c>
      <c r="Y7" s="68">
        <v>1709</v>
      </c>
      <c r="Z7" s="68" t="s">
        <v>383</v>
      </c>
      <c r="AA7" s="68">
        <v>1713</v>
      </c>
      <c r="AB7" s="68">
        <v>1730</v>
      </c>
      <c r="AC7" s="68" t="s">
        <v>383</v>
      </c>
      <c r="AD7" s="68" t="s">
        <v>383</v>
      </c>
      <c r="AE7" s="147" t="s">
        <v>383</v>
      </c>
    </row>
    <row r="8" spans="1:32" ht="15" customHeight="1" thickBot="1" x14ac:dyDescent="0.3">
      <c r="A8" s="148">
        <v>2</v>
      </c>
      <c r="B8" s="13" t="s">
        <v>14</v>
      </c>
      <c r="C8" s="69">
        <v>5</v>
      </c>
      <c r="D8" s="69" t="s">
        <v>383</v>
      </c>
      <c r="E8" s="69">
        <v>4</v>
      </c>
      <c r="F8" s="69" t="s">
        <v>383</v>
      </c>
      <c r="G8" s="69" t="s">
        <v>383</v>
      </c>
      <c r="H8" s="69" t="s">
        <v>383</v>
      </c>
      <c r="I8" s="69" t="s">
        <v>383</v>
      </c>
      <c r="J8" s="69" t="s">
        <v>383</v>
      </c>
      <c r="K8" s="69" t="s">
        <v>383</v>
      </c>
      <c r="L8" s="69">
        <v>4</v>
      </c>
      <c r="M8" s="69">
        <v>5</v>
      </c>
      <c r="N8" s="69" t="s">
        <v>383</v>
      </c>
      <c r="O8" s="69" t="s">
        <v>383</v>
      </c>
      <c r="P8" s="69" t="s">
        <v>383</v>
      </c>
      <c r="Q8" s="69">
        <v>4</v>
      </c>
      <c r="R8" s="69">
        <v>5</v>
      </c>
      <c r="S8" s="69">
        <v>7</v>
      </c>
      <c r="T8" s="69">
        <v>6</v>
      </c>
      <c r="U8" s="69">
        <v>5</v>
      </c>
      <c r="V8" s="69">
        <v>6</v>
      </c>
      <c r="W8" s="69">
        <v>4</v>
      </c>
      <c r="X8" s="69">
        <v>4</v>
      </c>
      <c r="Y8" s="69">
        <v>4</v>
      </c>
      <c r="Z8" s="69" t="s">
        <v>383</v>
      </c>
      <c r="AA8" s="69">
        <v>4</v>
      </c>
      <c r="AB8" s="69">
        <v>4</v>
      </c>
      <c r="AC8" s="69" t="s">
        <v>383</v>
      </c>
      <c r="AD8" s="69" t="s">
        <v>383</v>
      </c>
      <c r="AE8" s="149" t="s">
        <v>383</v>
      </c>
    </row>
    <row r="9" spans="1:32" s="11" customFormat="1" ht="15" customHeight="1" thickBot="1" x14ac:dyDescent="0.3">
      <c r="A9" s="144" t="s">
        <v>15</v>
      </c>
      <c r="B9" s="9" t="s">
        <v>16</v>
      </c>
      <c r="C9" s="64" t="s">
        <v>383</v>
      </c>
      <c r="D9" s="64" t="s">
        <v>383</v>
      </c>
      <c r="E9" s="64" t="s">
        <v>383</v>
      </c>
      <c r="F9" s="64" t="s">
        <v>383</v>
      </c>
      <c r="G9" s="64" t="s">
        <v>383</v>
      </c>
      <c r="H9" s="64" t="s">
        <v>383</v>
      </c>
      <c r="I9" s="64" t="s">
        <v>383</v>
      </c>
      <c r="J9" s="64" t="s">
        <v>383</v>
      </c>
      <c r="K9" s="64" t="s">
        <v>383</v>
      </c>
      <c r="L9" s="64" t="s">
        <v>383</v>
      </c>
      <c r="M9" s="64" t="s">
        <v>383</v>
      </c>
      <c r="N9" s="64" t="s">
        <v>383</v>
      </c>
      <c r="O9" s="64" t="s">
        <v>383</v>
      </c>
      <c r="P9" s="64" t="s">
        <v>383</v>
      </c>
      <c r="Q9" s="64" t="s">
        <v>383</v>
      </c>
      <c r="R9" s="64" t="s">
        <v>383</v>
      </c>
      <c r="S9" s="64" t="s">
        <v>383</v>
      </c>
      <c r="T9" s="64" t="s">
        <v>383</v>
      </c>
      <c r="U9" s="64" t="s">
        <v>383</v>
      </c>
      <c r="V9" s="64" t="s">
        <v>383</v>
      </c>
      <c r="W9" s="64" t="s">
        <v>383</v>
      </c>
      <c r="X9" s="64" t="s">
        <v>383</v>
      </c>
      <c r="Y9" s="64" t="s">
        <v>383</v>
      </c>
      <c r="Z9" s="64" t="s">
        <v>383</v>
      </c>
      <c r="AA9" s="64" t="s">
        <v>383</v>
      </c>
      <c r="AB9" s="64" t="s">
        <v>383</v>
      </c>
      <c r="AC9" s="64" t="s">
        <v>383</v>
      </c>
      <c r="AD9" s="64" t="s">
        <v>383</v>
      </c>
      <c r="AE9" s="145" t="s">
        <v>383</v>
      </c>
      <c r="AF9" s="10"/>
    </row>
    <row r="10" spans="1:32" ht="15" customHeight="1" thickBot="1" x14ac:dyDescent="0.3">
      <c r="A10" s="150">
        <v>5</v>
      </c>
      <c r="B10" s="14" t="s">
        <v>17</v>
      </c>
      <c r="C10" s="67" t="s">
        <v>383</v>
      </c>
      <c r="D10" s="67" t="s">
        <v>383</v>
      </c>
      <c r="E10" s="67" t="s">
        <v>383</v>
      </c>
      <c r="F10" s="67" t="s">
        <v>383</v>
      </c>
      <c r="G10" s="67" t="s">
        <v>383</v>
      </c>
      <c r="H10" s="67" t="s">
        <v>383</v>
      </c>
      <c r="I10" s="67" t="s">
        <v>383</v>
      </c>
      <c r="J10" s="67" t="s">
        <v>383</v>
      </c>
      <c r="K10" s="67" t="s">
        <v>383</v>
      </c>
      <c r="L10" s="67" t="s">
        <v>383</v>
      </c>
      <c r="M10" s="67" t="s">
        <v>383</v>
      </c>
      <c r="N10" s="67" t="s">
        <v>383</v>
      </c>
      <c r="O10" s="67" t="s">
        <v>383</v>
      </c>
      <c r="P10" s="67" t="s">
        <v>383</v>
      </c>
      <c r="Q10" s="67" t="s">
        <v>383</v>
      </c>
      <c r="R10" s="67" t="s">
        <v>383</v>
      </c>
      <c r="S10" s="67" t="s">
        <v>383</v>
      </c>
      <c r="T10" s="67" t="s">
        <v>383</v>
      </c>
      <c r="U10" s="67" t="s">
        <v>383</v>
      </c>
      <c r="V10" s="67" t="s">
        <v>383</v>
      </c>
      <c r="W10" s="67" t="s">
        <v>383</v>
      </c>
      <c r="X10" s="67" t="s">
        <v>383</v>
      </c>
      <c r="Y10" s="67" t="s">
        <v>383</v>
      </c>
      <c r="Z10" s="67" t="s">
        <v>383</v>
      </c>
      <c r="AA10" s="67" t="s">
        <v>383</v>
      </c>
      <c r="AB10" s="67" t="s">
        <v>383</v>
      </c>
      <c r="AC10" s="67" t="s">
        <v>383</v>
      </c>
      <c r="AD10" s="67" t="s">
        <v>383</v>
      </c>
      <c r="AE10" s="151" t="s">
        <v>383</v>
      </c>
    </row>
    <row r="11" spans="1:32" s="11" customFormat="1" ht="15" customHeight="1" thickBot="1" x14ac:dyDescent="0.3">
      <c r="A11" s="144" t="s">
        <v>18</v>
      </c>
      <c r="B11" s="9" t="s">
        <v>19</v>
      </c>
      <c r="C11" s="64">
        <v>22</v>
      </c>
      <c r="D11" s="64">
        <v>18</v>
      </c>
      <c r="E11" s="64">
        <v>14</v>
      </c>
      <c r="F11" s="64">
        <v>18</v>
      </c>
      <c r="G11" s="64">
        <v>18</v>
      </c>
      <c r="H11" s="64">
        <v>19</v>
      </c>
      <c r="I11" s="64">
        <v>14</v>
      </c>
      <c r="J11" s="64">
        <v>15</v>
      </c>
      <c r="K11" s="64">
        <v>15</v>
      </c>
      <c r="L11" s="64">
        <v>17</v>
      </c>
      <c r="M11" s="64">
        <v>19</v>
      </c>
      <c r="N11" s="64">
        <v>24</v>
      </c>
      <c r="O11" s="64">
        <v>24</v>
      </c>
      <c r="P11" s="64">
        <v>28</v>
      </c>
      <c r="Q11" s="64">
        <v>32</v>
      </c>
      <c r="R11" s="64">
        <v>30</v>
      </c>
      <c r="S11" s="64">
        <v>28</v>
      </c>
      <c r="T11" s="64">
        <v>28</v>
      </c>
      <c r="U11" s="64">
        <v>29</v>
      </c>
      <c r="V11" s="64">
        <v>34</v>
      </c>
      <c r="W11" s="64">
        <v>31</v>
      </c>
      <c r="X11" s="64">
        <v>30</v>
      </c>
      <c r="Y11" s="64">
        <v>29</v>
      </c>
      <c r="Z11" s="64">
        <v>29</v>
      </c>
      <c r="AA11" s="64">
        <v>28</v>
      </c>
      <c r="AB11" s="64">
        <v>31</v>
      </c>
      <c r="AC11" s="64">
        <v>29</v>
      </c>
      <c r="AD11" s="64">
        <v>27</v>
      </c>
      <c r="AE11" s="145">
        <v>29</v>
      </c>
      <c r="AF11" s="10"/>
    </row>
    <row r="12" spans="1:32" ht="15" customHeight="1" x14ac:dyDescent="0.25">
      <c r="A12" s="152">
        <v>11</v>
      </c>
      <c r="B12" s="15" t="s">
        <v>20</v>
      </c>
      <c r="C12" s="68" t="s">
        <v>383</v>
      </c>
      <c r="D12" s="68" t="s">
        <v>383</v>
      </c>
      <c r="E12" s="68" t="s">
        <v>383</v>
      </c>
      <c r="F12" s="68" t="s">
        <v>383</v>
      </c>
      <c r="G12" s="68" t="s">
        <v>383</v>
      </c>
      <c r="H12" s="68" t="s">
        <v>383</v>
      </c>
      <c r="I12" s="68" t="s">
        <v>383</v>
      </c>
      <c r="J12" s="68" t="s">
        <v>383</v>
      </c>
      <c r="K12" s="68" t="s">
        <v>383</v>
      </c>
      <c r="L12" s="68" t="s">
        <v>383</v>
      </c>
      <c r="M12" s="68" t="s">
        <v>383</v>
      </c>
      <c r="N12" s="68" t="s">
        <v>383</v>
      </c>
      <c r="O12" s="68" t="s">
        <v>383</v>
      </c>
      <c r="P12" s="68" t="s">
        <v>383</v>
      </c>
      <c r="Q12" s="68" t="s">
        <v>383</v>
      </c>
      <c r="R12" s="68" t="s">
        <v>383</v>
      </c>
      <c r="S12" s="68" t="s">
        <v>383</v>
      </c>
      <c r="T12" s="68" t="s">
        <v>383</v>
      </c>
      <c r="U12" s="68" t="s">
        <v>383</v>
      </c>
      <c r="V12" s="68" t="s">
        <v>383</v>
      </c>
      <c r="W12" s="68" t="s">
        <v>383</v>
      </c>
      <c r="X12" s="68" t="s">
        <v>383</v>
      </c>
      <c r="Y12" s="68" t="s">
        <v>383</v>
      </c>
      <c r="Z12" s="68">
        <v>19</v>
      </c>
      <c r="AA12" s="68">
        <v>19</v>
      </c>
      <c r="AB12" s="68" t="s">
        <v>383</v>
      </c>
      <c r="AC12" s="68" t="s">
        <v>383</v>
      </c>
      <c r="AD12" s="68">
        <v>18</v>
      </c>
      <c r="AE12" s="153" t="s">
        <v>383</v>
      </c>
    </row>
    <row r="13" spans="1:32" ht="15" customHeight="1" x14ac:dyDescent="0.25">
      <c r="A13" s="154">
        <v>13</v>
      </c>
      <c r="B13" s="16" t="s">
        <v>21</v>
      </c>
      <c r="C13" s="69" t="s">
        <v>383</v>
      </c>
      <c r="D13" s="69" t="s">
        <v>383</v>
      </c>
      <c r="E13" s="69" t="s">
        <v>383</v>
      </c>
      <c r="F13" s="69" t="s">
        <v>383</v>
      </c>
      <c r="G13" s="69" t="s">
        <v>383</v>
      </c>
      <c r="H13" s="69" t="s">
        <v>383</v>
      </c>
      <c r="I13" s="69" t="s">
        <v>383</v>
      </c>
      <c r="J13" s="69" t="s">
        <v>383</v>
      </c>
      <c r="K13" s="69" t="s">
        <v>383</v>
      </c>
      <c r="L13" s="69" t="s">
        <v>383</v>
      </c>
      <c r="M13" s="69" t="s">
        <v>383</v>
      </c>
      <c r="N13" s="69" t="s">
        <v>383</v>
      </c>
      <c r="O13" s="69" t="s">
        <v>383</v>
      </c>
      <c r="P13" s="69" t="s">
        <v>383</v>
      </c>
      <c r="Q13" s="69" t="s">
        <v>383</v>
      </c>
      <c r="R13" s="69" t="s">
        <v>383</v>
      </c>
      <c r="S13" s="69" t="s">
        <v>383</v>
      </c>
      <c r="T13" s="69" t="s">
        <v>383</v>
      </c>
      <c r="U13" s="69" t="s">
        <v>383</v>
      </c>
      <c r="V13" s="69" t="s">
        <v>383</v>
      </c>
      <c r="W13" s="69" t="s">
        <v>383</v>
      </c>
      <c r="X13" s="69" t="s">
        <v>383</v>
      </c>
      <c r="Y13" s="69" t="s">
        <v>383</v>
      </c>
      <c r="Z13" s="69" t="s">
        <v>383</v>
      </c>
      <c r="AA13" s="69" t="s">
        <v>383</v>
      </c>
      <c r="AB13" s="69" t="s">
        <v>383</v>
      </c>
      <c r="AC13" s="69" t="s">
        <v>383</v>
      </c>
      <c r="AD13" s="69" t="s">
        <v>383</v>
      </c>
      <c r="AE13" s="155" t="s">
        <v>383</v>
      </c>
    </row>
    <row r="14" spans="1:32" ht="15" customHeight="1" thickBot="1" x14ac:dyDescent="0.3">
      <c r="A14" s="152">
        <v>14</v>
      </c>
      <c r="B14" s="15" t="s">
        <v>22</v>
      </c>
      <c r="C14" s="68">
        <v>16</v>
      </c>
      <c r="D14" s="68">
        <v>15</v>
      </c>
      <c r="E14" s="68">
        <v>11</v>
      </c>
      <c r="F14" s="68">
        <v>13</v>
      </c>
      <c r="G14" s="68">
        <v>12</v>
      </c>
      <c r="H14" s="68">
        <v>10</v>
      </c>
      <c r="I14" s="68">
        <v>9</v>
      </c>
      <c r="J14" s="68">
        <v>10</v>
      </c>
      <c r="K14" s="68">
        <v>9</v>
      </c>
      <c r="L14" s="68">
        <v>10</v>
      </c>
      <c r="M14" s="68">
        <v>9</v>
      </c>
      <c r="N14" s="68">
        <v>11</v>
      </c>
      <c r="O14" s="68">
        <v>10</v>
      </c>
      <c r="P14" s="68">
        <v>10</v>
      </c>
      <c r="Q14" s="68">
        <v>11</v>
      </c>
      <c r="R14" s="68">
        <v>10</v>
      </c>
      <c r="S14" s="68">
        <v>8</v>
      </c>
      <c r="T14" s="68">
        <v>8</v>
      </c>
      <c r="U14" s="68">
        <v>9</v>
      </c>
      <c r="V14" s="68">
        <v>10</v>
      </c>
      <c r="W14" s="68">
        <v>9</v>
      </c>
      <c r="X14" s="68">
        <v>9</v>
      </c>
      <c r="Y14" s="68">
        <v>10</v>
      </c>
      <c r="Z14" s="68" t="s">
        <v>383</v>
      </c>
      <c r="AA14" s="68" t="s">
        <v>383</v>
      </c>
      <c r="AB14" s="68">
        <v>11</v>
      </c>
      <c r="AC14" s="68">
        <v>10</v>
      </c>
      <c r="AD14" s="68" t="s">
        <v>383</v>
      </c>
      <c r="AE14" s="153" t="s">
        <v>383</v>
      </c>
    </row>
    <row r="15" spans="1:32" s="11" customFormat="1" ht="15" customHeight="1" thickBot="1" x14ac:dyDescent="0.3">
      <c r="A15" s="144" t="s">
        <v>23</v>
      </c>
      <c r="B15" s="9" t="s">
        <v>24</v>
      </c>
      <c r="C15" s="64">
        <v>428</v>
      </c>
      <c r="D15" s="64">
        <v>393</v>
      </c>
      <c r="E15" s="64">
        <v>380</v>
      </c>
      <c r="F15" s="64">
        <v>355</v>
      </c>
      <c r="G15" s="64">
        <v>298</v>
      </c>
      <c r="H15" s="64">
        <v>294</v>
      </c>
      <c r="I15" s="64">
        <v>277</v>
      </c>
      <c r="J15" s="64">
        <v>300</v>
      </c>
      <c r="K15" s="64">
        <v>329</v>
      </c>
      <c r="L15" s="64">
        <v>331</v>
      </c>
      <c r="M15" s="64">
        <v>341</v>
      </c>
      <c r="N15" s="64">
        <v>381</v>
      </c>
      <c r="O15" s="64">
        <v>380</v>
      </c>
      <c r="P15" s="64">
        <v>377</v>
      </c>
      <c r="Q15" s="64">
        <v>377</v>
      </c>
      <c r="R15" s="64">
        <v>401</v>
      </c>
      <c r="S15" s="64">
        <v>389</v>
      </c>
      <c r="T15" s="64">
        <v>398</v>
      </c>
      <c r="U15" s="64">
        <v>395</v>
      </c>
      <c r="V15" s="64">
        <v>405</v>
      </c>
      <c r="W15" s="64">
        <v>415</v>
      </c>
      <c r="X15" s="64">
        <v>408</v>
      </c>
      <c r="Y15" s="64">
        <v>408</v>
      </c>
      <c r="Z15" s="64">
        <v>408</v>
      </c>
      <c r="AA15" s="64">
        <v>388</v>
      </c>
      <c r="AB15" s="64">
        <v>392</v>
      </c>
      <c r="AC15" s="64">
        <v>410</v>
      </c>
      <c r="AD15" s="64">
        <v>432</v>
      </c>
      <c r="AE15" s="145">
        <v>414</v>
      </c>
      <c r="AF15" s="10"/>
    </row>
    <row r="16" spans="1:32" ht="15" customHeight="1" x14ac:dyDescent="0.25">
      <c r="A16" s="152">
        <v>15</v>
      </c>
      <c r="B16" s="15" t="s">
        <v>25</v>
      </c>
      <c r="C16" s="68">
        <v>159</v>
      </c>
      <c r="D16" s="68">
        <v>150</v>
      </c>
      <c r="E16" s="68">
        <v>138</v>
      </c>
      <c r="F16" s="68">
        <v>126</v>
      </c>
      <c r="G16" s="68">
        <v>106</v>
      </c>
      <c r="H16" s="68">
        <v>109</v>
      </c>
      <c r="I16" s="68">
        <v>100</v>
      </c>
      <c r="J16" s="68">
        <v>121</v>
      </c>
      <c r="K16" s="68">
        <v>132</v>
      </c>
      <c r="L16" s="68">
        <v>124</v>
      </c>
      <c r="M16" s="68">
        <v>123</v>
      </c>
      <c r="N16" s="68">
        <v>135</v>
      </c>
      <c r="O16" s="68">
        <v>142</v>
      </c>
      <c r="P16" s="68">
        <v>143</v>
      </c>
      <c r="Q16" s="68">
        <v>151</v>
      </c>
      <c r="R16" s="68">
        <v>157</v>
      </c>
      <c r="S16" s="68">
        <v>153</v>
      </c>
      <c r="T16" s="68">
        <v>157</v>
      </c>
      <c r="U16" s="68">
        <v>159</v>
      </c>
      <c r="V16" s="68">
        <v>172</v>
      </c>
      <c r="W16" s="68">
        <v>179</v>
      </c>
      <c r="X16" s="68">
        <v>173</v>
      </c>
      <c r="Y16" s="68">
        <v>174</v>
      </c>
      <c r="Z16" s="68">
        <v>168</v>
      </c>
      <c r="AA16" s="68">
        <v>161</v>
      </c>
      <c r="AB16" s="68">
        <v>157</v>
      </c>
      <c r="AC16" s="68">
        <v>158</v>
      </c>
      <c r="AD16" s="68">
        <v>181</v>
      </c>
      <c r="AE16" s="153">
        <v>168</v>
      </c>
    </row>
    <row r="17" spans="1:31" ht="15" customHeight="1" x14ac:dyDescent="0.25">
      <c r="A17" s="156">
        <v>16</v>
      </c>
      <c r="B17" s="17" t="s">
        <v>26</v>
      </c>
      <c r="C17" s="70" t="s">
        <v>383</v>
      </c>
      <c r="D17" s="70" t="s">
        <v>383</v>
      </c>
      <c r="E17" s="70" t="s">
        <v>383</v>
      </c>
      <c r="F17" s="70" t="s">
        <v>383</v>
      </c>
      <c r="G17" s="70" t="s">
        <v>383</v>
      </c>
      <c r="H17" s="70" t="s">
        <v>383</v>
      </c>
      <c r="I17" s="70" t="s">
        <v>383</v>
      </c>
      <c r="J17" s="70" t="s">
        <v>383</v>
      </c>
      <c r="K17" s="70" t="s">
        <v>383</v>
      </c>
      <c r="L17" s="70" t="s">
        <v>383</v>
      </c>
      <c r="M17" s="70" t="s">
        <v>383</v>
      </c>
      <c r="N17" s="70" t="s">
        <v>383</v>
      </c>
      <c r="O17" s="70" t="s">
        <v>383</v>
      </c>
      <c r="P17" s="70" t="s">
        <v>383</v>
      </c>
      <c r="Q17" s="70" t="s">
        <v>383</v>
      </c>
      <c r="R17" s="70" t="s">
        <v>383</v>
      </c>
      <c r="S17" s="70" t="s">
        <v>383</v>
      </c>
      <c r="T17" s="70" t="s">
        <v>383</v>
      </c>
      <c r="U17" s="70" t="s">
        <v>383</v>
      </c>
      <c r="V17" s="70" t="s">
        <v>383</v>
      </c>
      <c r="W17" s="70" t="s">
        <v>383</v>
      </c>
      <c r="X17" s="70" t="s">
        <v>383</v>
      </c>
      <c r="Y17" s="70" t="s">
        <v>383</v>
      </c>
      <c r="Z17" s="70" t="s">
        <v>383</v>
      </c>
      <c r="AA17" s="70" t="s">
        <v>383</v>
      </c>
      <c r="AB17" s="70" t="s">
        <v>383</v>
      </c>
      <c r="AC17" s="70" t="s">
        <v>383</v>
      </c>
      <c r="AD17" s="70" t="s">
        <v>383</v>
      </c>
      <c r="AE17" s="157" t="s">
        <v>383</v>
      </c>
    </row>
    <row r="18" spans="1:31" ht="15" customHeight="1" x14ac:dyDescent="0.25">
      <c r="A18" s="156">
        <v>17</v>
      </c>
      <c r="B18" s="17" t="s">
        <v>27</v>
      </c>
      <c r="C18" s="70">
        <v>7</v>
      </c>
      <c r="D18" s="70">
        <v>6</v>
      </c>
      <c r="E18" s="70">
        <v>7</v>
      </c>
      <c r="F18" s="70">
        <v>7</v>
      </c>
      <c r="G18" s="70">
        <v>5</v>
      </c>
      <c r="H18" s="70">
        <v>5</v>
      </c>
      <c r="I18" s="70" t="s">
        <v>383</v>
      </c>
      <c r="J18" s="70">
        <v>4</v>
      </c>
      <c r="K18" s="70">
        <v>5</v>
      </c>
      <c r="L18" s="70">
        <v>5</v>
      </c>
      <c r="M18" s="70">
        <v>7</v>
      </c>
      <c r="N18" s="70">
        <v>4</v>
      </c>
      <c r="O18" s="70">
        <v>5</v>
      </c>
      <c r="P18" s="70">
        <v>6</v>
      </c>
      <c r="Q18" s="70">
        <v>6</v>
      </c>
      <c r="R18" s="70">
        <v>9</v>
      </c>
      <c r="S18" s="70">
        <v>9</v>
      </c>
      <c r="T18" s="70">
        <v>9</v>
      </c>
      <c r="U18" s="70">
        <v>8</v>
      </c>
      <c r="V18" s="70">
        <v>6</v>
      </c>
      <c r="W18" s="70">
        <v>8</v>
      </c>
      <c r="X18" s="70">
        <v>7</v>
      </c>
      <c r="Y18" s="70">
        <v>6</v>
      </c>
      <c r="Z18" s="70" t="s">
        <v>383</v>
      </c>
      <c r="AA18" s="70" t="s">
        <v>383</v>
      </c>
      <c r="AB18" s="70" t="s">
        <v>383</v>
      </c>
      <c r="AC18" s="70" t="s">
        <v>383</v>
      </c>
      <c r="AD18" s="70" t="s">
        <v>383</v>
      </c>
      <c r="AE18" s="157" t="s">
        <v>383</v>
      </c>
    </row>
    <row r="19" spans="1:31" ht="15" customHeight="1" x14ac:dyDescent="0.25">
      <c r="A19" s="156">
        <v>18</v>
      </c>
      <c r="B19" s="17" t="s">
        <v>28</v>
      </c>
      <c r="C19" s="70">
        <v>14</v>
      </c>
      <c r="D19" s="70">
        <v>15</v>
      </c>
      <c r="E19" s="70">
        <v>12</v>
      </c>
      <c r="F19" s="70">
        <v>12</v>
      </c>
      <c r="G19" s="70">
        <v>11</v>
      </c>
      <c r="H19" s="70">
        <v>10</v>
      </c>
      <c r="I19" s="70">
        <v>10</v>
      </c>
      <c r="J19" s="70">
        <v>10</v>
      </c>
      <c r="K19" s="70">
        <v>9</v>
      </c>
      <c r="L19" s="70">
        <v>12</v>
      </c>
      <c r="M19" s="70">
        <v>11</v>
      </c>
      <c r="N19" s="70">
        <v>11</v>
      </c>
      <c r="O19" s="70">
        <v>10</v>
      </c>
      <c r="P19" s="70">
        <v>10</v>
      </c>
      <c r="Q19" s="70">
        <v>10</v>
      </c>
      <c r="R19" s="70">
        <v>13</v>
      </c>
      <c r="S19" s="70">
        <v>11</v>
      </c>
      <c r="T19" s="70">
        <v>13</v>
      </c>
      <c r="U19" s="70">
        <v>14</v>
      </c>
      <c r="V19" s="70">
        <v>17</v>
      </c>
      <c r="W19" s="70">
        <v>15</v>
      </c>
      <c r="X19" s="70">
        <v>15</v>
      </c>
      <c r="Y19" s="70">
        <v>12</v>
      </c>
      <c r="Z19" s="70">
        <v>9</v>
      </c>
      <c r="AA19" s="70">
        <v>8</v>
      </c>
      <c r="AB19" s="70">
        <v>9</v>
      </c>
      <c r="AC19" s="70">
        <v>9</v>
      </c>
      <c r="AD19" s="70">
        <v>10</v>
      </c>
      <c r="AE19" s="157">
        <v>11</v>
      </c>
    </row>
    <row r="20" spans="1:31" ht="15" customHeight="1" x14ac:dyDescent="0.25">
      <c r="A20" s="156">
        <v>19</v>
      </c>
      <c r="B20" s="17" t="s">
        <v>105</v>
      </c>
      <c r="C20" s="70" t="s">
        <v>383</v>
      </c>
      <c r="D20" s="70" t="s">
        <v>383</v>
      </c>
      <c r="E20" s="70" t="s">
        <v>383</v>
      </c>
      <c r="F20" s="70" t="s">
        <v>383</v>
      </c>
      <c r="G20" s="70" t="s">
        <v>383</v>
      </c>
      <c r="H20" s="70" t="s">
        <v>383</v>
      </c>
      <c r="I20" s="70" t="s">
        <v>383</v>
      </c>
      <c r="J20" s="70" t="s">
        <v>383</v>
      </c>
      <c r="K20" s="70" t="s">
        <v>383</v>
      </c>
      <c r="L20" s="70" t="s">
        <v>383</v>
      </c>
      <c r="M20" s="70" t="s">
        <v>383</v>
      </c>
      <c r="N20" s="70" t="s">
        <v>383</v>
      </c>
      <c r="O20" s="70" t="s">
        <v>383</v>
      </c>
      <c r="P20" s="70" t="s">
        <v>383</v>
      </c>
      <c r="Q20" s="70" t="s">
        <v>383</v>
      </c>
      <c r="R20" s="70" t="s">
        <v>383</v>
      </c>
      <c r="S20" s="70" t="s">
        <v>383</v>
      </c>
      <c r="T20" s="70" t="s">
        <v>383</v>
      </c>
      <c r="U20" s="70" t="s">
        <v>383</v>
      </c>
      <c r="V20" s="70" t="s">
        <v>383</v>
      </c>
      <c r="W20" s="70" t="s">
        <v>383</v>
      </c>
      <c r="X20" s="70" t="s">
        <v>383</v>
      </c>
      <c r="Y20" s="70" t="s">
        <v>383</v>
      </c>
      <c r="Z20" s="70" t="s">
        <v>383</v>
      </c>
      <c r="AA20" s="70" t="s">
        <v>383</v>
      </c>
      <c r="AB20" s="70" t="s">
        <v>383</v>
      </c>
      <c r="AC20" s="70" t="s">
        <v>383</v>
      </c>
      <c r="AD20" s="70" t="s">
        <v>383</v>
      </c>
      <c r="AE20" s="157" t="s">
        <v>383</v>
      </c>
    </row>
    <row r="21" spans="1:31" ht="15" customHeight="1" x14ac:dyDescent="0.25">
      <c r="A21" s="156">
        <v>20</v>
      </c>
      <c r="B21" s="17" t="s">
        <v>30</v>
      </c>
      <c r="C21" s="70">
        <v>21</v>
      </c>
      <c r="D21" s="70">
        <v>19</v>
      </c>
      <c r="E21" s="70">
        <v>20</v>
      </c>
      <c r="F21" s="70">
        <v>17</v>
      </c>
      <c r="G21" s="70">
        <v>18</v>
      </c>
      <c r="H21" s="70">
        <v>17</v>
      </c>
      <c r="I21" s="70">
        <v>15</v>
      </c>
      <c r="J21" s="70">
        <v>16</v>
      </c>
      <c r="K21" s="70">
        <v>17</v>
      </c>
      <c r="L21" s="70">
        <v>21</v>
      </c>
      <c r="M21" s="70">
        <v>24</v>
      </c>
      <c r="N21" s="70">
        <v>26</v>
      </c>
      <c r="O21" s="70">
        <v>27</v>
      </c>
      <c r="P21" s="70">
        <v>25</v>
      </c>
      <c r="Q21" s="70">
        <v>24</v>
      </c>
      <c r="R21" s="70">
        <v>25</v>
      </c>
      <c r="S21" s="70">
        <v>25</v>
      </c>
      <c r="T21" s="70">
        <v>23</v>
      </c>
      <c r="U21" s="70">
        <v>21</v>
      </c>
      <c r="V21" s="70">
        <v>17</v>
      </c>
      <c r="W21" s="70">
        <v>18</v>
      </c>
      <c r="X21" s="70">
        <v>18</v>
      </c>
      <c r="Y21" s="70">
        <v>18</v>
      </c>
      <c r="Z21" s="70">
        <v>16</v>
      </c>
      <c r="AA21" s="70">
        <v>19</v>
      </c>
      <c r="AB21" s="70">
        <v>18</v>
      </c>
      <c r="AC21" s="70">
        <v>21</v>
      </c>
      <c r="AD21" s="70">
        <v>24</v>
      </c>
      <c r="AE21" s="157">
        <v>26</v>
      </c>
    </row>
    <row r="22" spans="1:31" ht="15" customHeight="1" x14ac:dyDescent="0.25">
      <c r="A22" s="156">
        <v>21</v>
      </c>
      <c r="B22" s="17" t="s">
        <v>31</v>
      </c>
      <c r="C22" s="70" t="s">
        <v>383</v>
      </c>
      <c r="D22" s="70" t="s">
        <v>383</v>
      </c>
      <c r="E22" s="70" t="s">
        <v>383</v>
      </c>
      <c r="F22" s="70" t="s">
        <v>383</v>
      </c>
      <c r="G22" s="70" t="s">
        <v>383</v>
      </c>
      <c r="H22" s="70" t="s">
        <v>383</v>
      </c>
      <c r="I22" s="70" t="s">
        <v>383</v>
      </c>
      <c r="J22" s="70" t="s">
        <v>383</v>
      </c>
      <c r="K22" s="70" t="s">
        <v>383</v>
      </c>
      <c r="L22" s="70" t="s">
        <v>383</v>
      </c>
      <c r="M22" s="70" t="s">
        <v>383</v>
      </c>
      <c r="N22" s="70" t="s">
        <v>383</v>
      </c>
      <c r="O22" s="70" t="s">
        <v>383</v>
      </c>
      <c r="P22" s="70" t="s">
        <v>383</v>
      </c>
      <c r="Q22" s="70" t="s">
        <v>383</v>
      </c>
      <c r="R22" s="70" t="s">
        <v>383</v>
      </c>
      <c r="S22" s="70" t="s">
        <v>383</v>
      </c>
      <c r="T22" s="70" t="s">
        <v>383</v>
      </c>
      <c r="U22" s="70" t="s">
        <v>383</v>
      </c>
      <c r="V22" s="70" t="s">
        <v>383</v>
      </c>
      <c r="W22" s="70" t="s">
        <v>383</v>
      </c>
      <c r="X22" s="70" t="s">
        <v>383</v>
      </c>
      <c r="Y22" s="70" t="s">
        <v>383</v>
      </c>
      <c r="Z22" s="70" t="s">
        <v>383</v>
      </c>
      <c r="AA22" s="70" t="s">
        <v>383</v>
      </c>
      <c r="AB22" s="70" t="s">
        <v>383</v>
      </c>
      <c r="AC22" s="70" t="s">
        <v>383</v>
      </c>
      <c r="AD22" s="70" t="s">
        <v>383</v>
      </c>
      <c r="AE22" s="157" t="s">
        <v>383</v>
      </c>
    </row>
    <row r="23" spans="1:31" ht="15" customHeight="1" x14ac:dyDescent="0.25">
      <c r="A23" s="156">
        <v>22</v>
      </c>
      <c r="B23" s="17" t="s">
        <v>98</v>
      </c>
      <c r="C23" s="70">
        <v>36</v>
      </c>
      <c r="D23" s="70">
        <v>30</v>
      </c>
      <c r="E23" s="70">
        <v>31</v>
      </c>
      <c r="F23" s="70">
        <v>31</v>
      </c>
      <c r="G23" s="70">
        <v>30</v>
      </c>
      <c r="H23" s="70">
        <v>23</v>
      </c>
      <c r="I23" s="70">
        <v>23</v>
      </c>
      <c r="J23" s="70">
        <v>23</v>
      </c>
      <c r="K23" s="70">
        <v>25</v>
      </c>
      <c r="L23" s="70">
        <v>25</v>
      </c>
      <c r="M23" s="70">
        <v>24</v>
      </c>
      <c r="N23" s="70">
        <v>28</v>
      </c>
      <c r="O23" s="70">
        <v>26</v>
      </c>
      <c r="P23" s="70">
        <v>24</v>
      </c>
      <c r="Q23" s="70">
        <v>22</v>
      </c>
      <c r="R23" s="70">
        <v>24</v>
      </c>
      <c r="S23" s="70">
        <v>23</v>
      </c>
      <c r="T23" s="70">
        <v>26</v>
      </c>
      <c r="U23" s="70">
        <v>24</v>
      </c>
      <c r="V23" s="70">
        <v>22</v>
      </c>
      <c r="W23" s="70">
        <v>22</v>
      </c>
      <c r="X23" s="70">
        <v>24</v>
      </c>
      <c r="Y23" s="70">
        <v>22</v>
      </c>
      <c r="Z23" s="70">
        <v>22</v>
      </c>
      <c r="AA23" s="70">
        <v>21</v>
      </c>
      <c r="AB23" s="70">
        <v>22</v>
      </c>
      <c r="AC23" s="70">
        <v>22</v>
      </c>
      <c r="AD23" s="70">
        <v>21</v>
      </c>
      <c r="AE23" s="157">
        <v>15</v>
      </c>
    </row>
    <row r="24" spans="1:31" ht="15" customHeight="1" x14ac:dyDescent="0.25">
      <c r="A24" s="156">
        <v>23</v>
      </c>
      <c r="B24" s="17" t="s">
        <v>33</v>
      </c>
      <c r="C24" s="70">
        <v>4</v>
      </c>
      <c r="D24" s="70">
        <v>4</v>
      </c>
      <c r="E24" s="70" t="s">
        <v>383</v>
      </c>
      <c r="F24" s="70">
        <v>4</v>
      </c>
      <c r="G24" s="70" t="s">
        <v>383</v>
      </c>
      <c r="H24" s="70" t="s">
        <v>383</v>
      </c>
      <c r="I24" s="70" t="s">
        <v>383</v>
      </c>
      <c r="J24" s="70" t="s">
        <v>383</v>
      </c>
      <c r="K24" s="70" t="s">
        <v>383</v>
      </c>
      <c r="L24" s="70" t="s">
        <v>383</v>
      </c>
      <c r="M24" s="70" t="s">
        <v>383</v>
      </c>
      <c r="N24" s="70" t="s">
        <v>383</v>
      </c>
      <c r="O24" s="70" t="s">
        <v>383</v>
      </c>
      <c r="P24" s="70" t="s">
        <v>383</v>
      </c>
      <c r="Q24" s="70" t="s">
        <v>383</v>
      </c>
      <c r="R24" s="70" t="s">
        <v>383</v>
      </c>
      <c r="S24" s="70" t="s">
        <v>383</v>
      </c>
      <c r="T24" s="70" t="s">
        <v>383</v>
      </c>
      <c r="U24" s="70" t="s">
        <v>383</v>
      </c>
      <c r="V24" s="70" t="s">
        <v>383</v>
      </c>
      <c r="W24" s="70" t="s">
        <v>383</v>
      </c>
      <c r="X24" s="70" t="s">
        <v>383</v>
      </c>
      <c r="Y24" s="70" t="s">
        <v>383</v>
      </c>
      <c r="Z24" s="70" t="s">
        <v>383</v>
      </c>
      <c r="AA24" s="70" t="s">
        <v>383</v>
      </c>
      <c r="AB24" s="70" t="s">
        <v>383</v>
      </c>
      <c r="AC24" s="70" t="s">
        <v>383</v>
      </c>
      <c r="AD24" s="70" t="s">
        <v>383</v>
      </c>
      <c r="AE24" s="157" t="s">
        <v>383</v>
      </c>
    </row>
    <row r="25" spans="1:31" ht="15" customHeight="1" x14ac:dyDescent="0.25">
      <c r="A25" s="156">
        <v>24</v>
      </c>
      <c r="B25" s="17" t="s">
        <v>34</v>
      </c>
      <c r="C25" s="70">
        <v>36</v>
      </c>
      <c r="D25" s="70">
        <v>33</v>
      </c>
      <c r="E25" s="70">
        <v>33</v>
      </c>
      <c r="F25" s="70">
        <v>35</v>
      </c>
      <c r="G25" s="70">
        <v>33</v>
      </c>
      <c r="H25" s="70">
        <v>39</v>
      </c>
      <c r="I25" s="70">
        <v>37</v>
      </c>
      <c r="J25" s="70">
        <v>31</v>
      </c>
      <c r="K25" s="70">
        <v>35</v>
      </c>
      <c r="L25" s="70">
        <v>28</v>
      </c>
      <c r="M25" s="70">
        <v>28</v>
      </c>
      <c r="N25" s="70">
        <v>32</v>
      </c>
      <c r="O25" s="70">
        <v>28</v>
      </c>
      <c r="P25" s="70">
        <v>27</v>
      </c>
      <c r="Q25" s="70">
        <v>30</v>
      </c>
      <c r="R25" s="70">
        <v>28</v>
      </c>
      <c r="S25" s="70">
        <v>28</v>
      </c>
      <c r="T25" s="70">
        <v>33</v>
      </c>
      <c r="U25" s="70">
        <v>29</v>
      </c>
      <c r="V25" s="70">
        <v>30</v>
      </c>
      <c r="W25" s="70">
        <v>26</v>
      </c>
      <c r="X25" s="70">
        <v>24</v>
      </c>
      <c r="Y25" s="70">
        <v>25</v>
      </c>
      <c r="Z25" s="70">
        <v>27</v>
      </c>
      <c r="AA25" s="70">
        <v>28</v>
      </c>
      <c r="AB25" s="70">
        <v>29</v>
      </c>
      <c r="AC25" s="70">
        <v>28</v>
      </c>
      <c r="AD25" s="70">
        <v>28</v>
      </c>
      <c r="AE25" s="157">
        <v>30</v>
      </c>
    </row>
    <row r="26" spans="1:31" ht="15" customHeight="1" x14ac:dyDescent="0.25">
      <c r="A26" s="156">
        <v>25</v>
      </c>
      <c r="B26" s="17" t="s">
        <v>35</v>
      </c>
      <c r="C26" s="70">
        <v>11</v>
      </c>
      <c r="D26" s="70">
        <v>13</v>
      </c>
      <c r="E26" s="70">
        <v>9</v>
      </c>
      <c r="F26" s="70">
        <v>11</v>
      </c>
      <c r="G26" s="70">
        <v>11</v>
      </c>
      <c r="H26" s="70">
        <v>12</v>
      </c>
      <c r="I26" s="70">
        <v>12</v>
      </c>
      <c r="J26" s="70">
        <v>14</v>
      </c>
      <c r="K26" s="70">
        <v>16</v>
      </c>
      <c r="L26" s="70">
        <v>17</v>
      </c>
      <c r="M26" s="70">
        <v>18</v>
      </c>
      <c r="N26" s="70">
        <v>18</v>
      </c>
      <c r="O26" s="70">
        <v>20</v>
      </c>
      <c r="P26" s="70">
        <v>20</v>
      </c>
      <c r="Q26" s="70">
        <v>19</v>
      </c>
      <c r="R26" s="70">
        <v>19</v>
      </c>
      <c r="S26" s="70">
        <v>19</v>
      </c>
      <c r="T26" s="70">
        <v>23</v>
      </c>
      <c r="U26" s="70">
        <v>24</v>
      </c>
      <c r="V26" s="70">
        <v>22</v>
      </c>
      <c r="W26" s="70">
        <v>22</v>
      </c>
      <c r="X26" s="70">
        <v>23</v>
      </c>
      <c r="Y26" s="70">
        <v>22</v>
      </c>
      <c r="Z26" s="70">
        <v>22</v>
      </c>
      <c r="AA26" s="70">
        <v>23</v>
      </c>
      <c r="AB26" s="70">
        <v>24</v>
      </c>
      <c r="AC26" s="70">
        <v>22</v>
      </c>
      <c r="AD26" s="70">
        <v>23</v>
      </c>
      <c r="AE26" s="157">
        <v>21</v>
      </c>
    </row>
    <row r="27" spans="1:31" ht="15" customHeight="1" x14ac:dyDescent="0.25">
      <c r="A27" s="156">
        <v>26</v>
      </c>
      <c r="B27" s="17" t="s">
        <v>36</v>
      </c>
      <c r="C27" s="70">
        <v>19</v>
      </c>
      <c r="D27" s="70">
        <v>20</v>
      </c>
      <c r="E27" s="70">
        <v>20</v>
      </c>
      <c r="F27" s="70">
        <v>16</v>
      </c>
      <c r="G27" s="70">
        <v>15</v>
      </c>
      <c r="H27" s="70">
        <v>16</v>
      </c>
      <c r="I27" s="70">
        <v>16</v>
      </c>
      <c r="J27" s="70">
        <v>16</v>
      </c>
      <c r="K27" s="70">
        <v>18</v>
      </c>
      <c r="L27" s="70">
        <v>17</v>
      </c>
      <c r="M27" s="70">
        <v>17</v>
      </c>
      <c r="N27" s="70">
        <v>23</v>
      </c>
      <c r="O27" s="70">
        <v>21</v>
      </c>
      <c r="P27" s="70">
        <v>20</v>
      </c>
      <c r="Q27" s="70">
        <v>18</v>
      </c>
      <c r="R27" s="70">
        <v>23</v>
      </c>
      <c r="S27" s="70">
        <v>27</v>
      </c>
      <c r="T27" s="70">
        <v>25</v>
      </c>
      <c r="U27" s="70">
        <v>27</v>
      </c>
      <c r="V27" s="70">
        <v>28</v>
      </c>
      <c r="W27" s="70">
        <v>32</v>
      </c>
      <c r="X27" s="70">
        <v>29</v>
      </c>
      <c r="Y27" s="70">
        <v>32</v>
      </c>
      <c r="Z27" s="70">
        <v>30</v>
      </c>
      <c r="AA27" s="70">
        <v>27</v>
      </c>
      <c r="AB27" s="70">
        <v>27</v>
      </c>
      <c r="AC27" s="70">
        <v>33</v>
      </c>
      <c r="AD27" s="70">
        <v>27</v>
      </c>
      <c r="AE27" s="157">
        <v>26</v>
      </c>
    </row>
    <row r="28" spans="1:31" ht="15" customHeight="1" x14ac:dyDescent="0.25">
      <c r="A28" s="156">
        <v>27</v>
      </c>
      <c r="B28" s="17" t="s">
        <v>37</v>
      </c>
      <c r="C28" s="70">
        <v>9</v>
      </c>
      <c r="D28" s="70">
        <v>8</v>
      </c>
      <c r="E28" s="70">
        <v>13</v>
      </c>
      <c r="F28" s="70">
        <v>10</v>
      </c>
      <c r="G28" s="70">
        <v>8</v>
      </c>
      <c r="H28" s="70">
        <v>7</v>
      </c>
      <c r="I28" s="70">
        <v>7</v>
      </c>
      <c r="J28" s="70">
        <v>7</v>
      </c>
      <c r="K28" s="70">
        <v>9</v>
      </c>
      <c r="L28" s="70">
        <v>10</v>
      </c>
      <c r="M28" s="70">
        <v>9</v>
      </c>
      <c r="N28" s="70">
        <v>10</v>
      </c>
      <c r="O28" s="70">
        <v>10</v>
      </c>
      <c r="P28" s="70">
        <v>11</v>
      </c>
      <c r="Q28" s="70">
        <v>11</v>
      </c>
      <c r="R28" s="70">
        <v>11</v>
      </c>
      <c r="S28" s="70">
        <v>12</v>
      </c>
      <c r="T28" s="70">
        <v>10</v>
      </c>
      <c r="U28" s="70">
        <v>10</v>
      </c>
      <c r="V28" s="70">
        <v>10</v>
      </c>
      <c r="W28" s="70">
        <v>8</v>
      </c>
      <c r="X28" s="70">
        <v>9</v>
      </c>
      <c r="Y28" s="70">
        <v>10</v>
      </c>
      <c r="Z28" s="70">
        <v>12</v>
      </c>
      <c r="AA28" s="70">
        <v>12</v>
      </c>
      <c r="AB28" s="70">
        <v>13</v>
      </c>
      <c r="AC28" s="70">
        <v>13</v>
      </c>
      <c r="AD28" s="70">
        <v>12</v>
      </c>
      <c r="AE28" s="157">
        <v>11</v>
      </c>
    </row>
    <row r="29" spans="1:31" ht="15" customHeight="1" x14ac:dyDescent="0.25">
      <c r="A29" s="156">
        <v>28</v>
      </c>
      <c r="B29" s="17" t="s">
        <v>38</v>
      </c>
      <c r="C29" s="70">
        <v>60</v>
      </c>
      <c r="D29" s="70">
        <v>47</v>
      </c>
      <c r="E29" s="70">
        <v>42</v>
      </c>
      <c r="F29" s="70">
        <v>41</v>
      </c>
      <c r="G29" s="70">
        <v>33</v>
      </c>
      <c r="H29" s="70">
        <v>28</v>
      </c>
      <c r="I29" s="70">
        <v>25</v>
      </c>
      <c r="J29" s="70">
        <v>27</v>
      </c>
      <c r="K29" s="70">
        <v>31</v>
      </c>
      <c r="L29" s="70">
        <v>34</v>
      </c>
      <c r="M29" s="70">
        <v>37</v>
      </c>
      <c r="N29" s="70">
        <v>40</v>
      </c>
      <c r="O29" s="70">
        <v>42</v>
      </c>
      <c r="P29" s="70">
        <v>45</v>
      </c>
      <c r="Q29" s="70">
        <v>41</v>
      </c>
      <c r="R29" s="70">
        <v>50</v>
      </c>
      <c r="S29" s="70">
        <v>44</v>
      </c>
      <c r="T29" s="70">
        <v>42</v>
      </c>
      <c r="U29" s="70">
        <v>40</v>
      </c>
      <c r="V29" s="70">
        <v>40</v>
      </c>
      <c r="W29" s="70">
        <v>40</v>
      </c>
      <c r="X29" s="70">
        <v>42</v>
      </c>
      <c r="Y29" s="70">
        <v>42</v>
      </c>
      <c r="Z29" s="70">
        <v>48</v>
      </c>
      <c r="AA29" s="70">
        <v>43</v>
      </c>
      <c r="AB29" s="70">
        <v>43</v>
      </c>
      <c r="AC29" s="70">
        <v>48</v>
      </c>
      <c r="AD29" s="70">
        <v>52</v>
      </c>
      <c r="AE29" s="157">
        <v>48</v>
      </c>
    </row>
    <row r="30" spans="1:31" ht="15" customHeight="1" x14ac:dyDescent="0.25">
      <c r="A30" s="156">
        <v>29</v>
      </c>
      <c r="B30" s="17" t="s">
        <v>39</v>
      </c>
      <c r="C30" s="70">
        <v>20</v>
      </c>
      <c r="D30" s="70">
        <v>18</v>
      </c>
      <c r="E30" s="70">
        <v>19</v>
      </c>
      <c r="F30" s="70">
        <v>19</v>
      </c>
      <c r="G30" s="70">
        <v>11</v>
      </c>
      <c r="H30" s="70">
        <v>12</v>
      </c>
      <c r="I30" s="70">
        <v>12</v>
      </c>
      <c r="J30" s="70">
        <v>12</v>
      </c>
      <c r="K30" s="70">
        <v>10</v>
      </c>
      <c r="L30" s="70">
        <v>11</v>
      </c>
      <c r="M30" s="70">
        <v>12</v>
      </c>
      <c r="N30" s="70">
        <v>16</v>
      </c>
      <c r="O30" s="70">
        <v>15</v>
      </c>
      <c r="P30" s="70">
        <v>13</v>
      </c>
      <c r="Q30" s="70">
        <v>12</v>
      </c>
      <c r="R30" s="70">
        <v>10</v>
      </c>
      <c r="S30" s="70">
        <v>13</v>
      </c>
      <c r="T30" s="70">
        <v>12</v>
      </c>
      <c r="U30" s="70">
        <v>11</v>
      </c>
      <c r="V30" s="70">
        <v>11</v>
      </c>
      <c r="W30" s="70">
        <v>12</v>
      </c>
      <c r="X30" s="70">
        <v>12</v>
      </c>
      <c r="Y30" s="70">
        <v>13</v>
      </c>
      <c r="Z30" s="70">
        <v>14</v>
      </c>
      <c r="AA30" s="70">
        <v>8</v>
      </c>
      <c r="AB30" s="70">
        <v>11</v>
      </c>
      <c r="AC30" s="70">
        <v>12</v>
      </c>
      <c r="AD30" s="70">
        <v>14</v>
      </c>
      <c r="AE30" s="157">
        <v>14</v>
      </c>
    </row>
    <row r="31" spans="1:31" ht="15" customHeight="1" x14ac:dyDescent="0.25">
      <c r="A31" s="156">
        <v>30</v>
      </c>
      <c r="B31" s="17" t="s">
        <v>40</v>
      </c>
      <c r="C31" s="70" t="s">
        <v>383</v>
      </c>
      <c r="D31" s="70" t="s">
        <v>383</v>
      </c>
      <c r="E31" s="70" t="s">
        <v>383</v>
      </c>
      <c r="F31" s="70" t="s">
        <v>383</v>
      </c>
      <c r="G31" s="70" t="s">
        <v>383</v>
      </c>
      <c r="H31" s="70" t="s">
        <v>383</v>
      </c>
      <c r="I31" s="70" t="s">
        <v>383</v>
      </c>
      <c r="J31" s="70" t="s">
        <v>383</v>
      </c>
      <c r="K31" s="70" t="s">
        <v>383</v>
      </c>
      <c r="L31" s="70" t="s">
        <v>383</v>
      </c>
      <c r="M31" s="70" t="s">
        <v>383</v>
      </c>
      <c r="N31" s="70" t="s">
        <v>383</v>
      </c>
      <c r="O31" s="70" t="s">
        <v>383</v>
      </c>
      <c r="P31" s="70" t="s">
        <v>383</v>
      </c>
      <c r="Q31" s="70" t="s">
        <v>383</v>
      </c>
      <c r="R31" s="70" t="s">
        <v>383</v>
      </c>
      <c r="S31" s="70" t="s">
        <v>383</v>
      </c>
      <c r="T31" s="70" t="s">
        <v>383</v>
      </c>
      <c r="U31" s="70" t="s">
        <v>383</v>
      </c>
      <c r="V31" s="70" t="s">
        <v>383</v>
      </c>
      <c r="W31" s="70" t="s">
        <v>383</v>
      </c>
      <c r="X31" s="70" t="s">
        <v>383</v>
      </c>
      <c r="Y31" s="70" t="s">
        <v>383</v>
      </c>
      <c r="Z31" s="70" t="s">
        <v>383</v>
      </c>
      <c r="AA31" s="70" t="s">
        <v>383</v>
      </c>
      <c r="AB31" s="70" t="s">
        <v>383</v>
      </c>
      <c r="AC31" s="70" t="s">
        <v>383</v>
      </c>
      <c r="AD31" s="70" t="s">
        <v>383</v>
      </c>
      <c r="AE31" s="157" t="s">
        <v>383</v>
      </c>
    </row>
    <row r="32" spans="1:31" ht="15" customHeight="1" x14ac:dyDescent="0.25">
      <c r="A32" s="156">
        <v>31</v>
      </c>
      <c r="B32" s="17" t="s">
        <v>41</v>
      </c>
      <c r="C32" s="70">
        <v>4</v>
      </c>
      <c r="D32" s="70">
        <v>4</v>
      </c>
      <c r="E32" s="70" t="s">
        <v>383</v>
      </c>
      <c r="F32" s="70" t="s">
        <v>383</v>
      </c>
      <c r="G32" s="70" t="s">
        <v>383</v>
      </c>
      <c r="H32" s="70" t="s">
        <v>383</v>
      </c>
      <c r="I32" s="70" t="s">
        <v>383</v>
      </c>
      <c r="J32" s="70" t="s">
        <v>383</v>
      </c>
      <c r="K32" s="70" t="s">
        <v>383</v>
      </c>
      <c r="L32" s="70" t="s">
        <v>383</v>
      </c>
      <c r="M32" s="70" t="s">
        <v>383</v>
      </c>
      <c r="N32" s="70">
        <v>4</v>
      </c>
      <c r="O32" s="70">
        <v>4</v>
      </c>
      <c r="P32" s="70" t="s">
        <v>383</v>
      </c>
      <c r="Q32" s="70" t="s">
        <v>383</v>
      </c>
      <c r="R32" s="70" t="s">
        <v>383</v>
      </c>
      <c r="S32" s="70" t="s">
        <v>383</v>
      </c>
      <c r="T32" s="70" t="s">
        <v>383</v>
      </c>
      <c r="U32" s="70" t="s">
        <v>383</v>
      </c>
      <c r="V32" s="70" t="s">
        <v>383</v>
      </c>
      <c r="W32" s="70">
        <v>4</v>
      </c>
      <c r="X32" s="70" t="s">
        <v>383</v>
      </c>
      <c r="Y32" s="70" t="s">
        <v>383</v>
      </c>
      <c r="Z32" s="70" t="s">
        <v>383</v>
      </c>
      <c r="AA32" s="70">
        <v>4</v>
      </c>
      <c r="AB32" s="70">
        <v>4</v>
      </c>
      <c r="AC32" s="70">
        <v>4</v>
      </c>
      <c r="AD32" s="70" t="s">
        <v>383</v>
      </c>
      <c r="AE32" s="157" t="s">
        <v>383</v>
      </c>
    </row>
    <row r="33" spans="1:32" ht="15" customHeight="1" x14ac:dyDescent="0.25">
      <c r="A33" s="156">
        <v>32</v>
      </c>
      <c r="B33" s="17" t="s">
        <v>42</v>
      </c>
      <c r="C33" s="70" t="s">
        <v>383</v>
      </c>
      <c r="D33" s="70" t="s">
        <v>383</v>
      </c>
      <c r="E33" s="70" t="s">
        <v>383</v>
      </c>
      <c r="F33" s="70" t="s">
        <v>383</v>
      </c>
      <c r="G33" s="70" t="s">
        <v>383</v>
      </c>
      <c r="H33" s="70" t="s">
        <v>383</v>
      </c>
      <c r="I33" s="70" t="s">
        <v>383</v>
      </c>
      <c r="J33" s="70" t="s">
        <v>383</v>
      </c>
      <c r="K33" s="70" t="s">
        <v>383</v>
      </c>
      <c r="L33" s="70" t="s">
        <v>383</v>
      </c>
      <c r="M33" s="70" t="s">
        <v>383</v>
      </c>
      <c r="N33" s="70" t="s">
        <v>383</v>
      </c>
      <c r="O33" s="70" t="s">
        <v>383</v>
      </c>
      <c r="P33" s="70" t="s">
        <v>383</v>
      </c>
      <c r="Q33" s="70" t="s">
        <v>383</v>
      </c>
      <c r="R33" s="70" t="s">
        <v>383</v>
      </c>
      <c r="S33" s="70" t="s">
        <v>383</v>
      </c>
      <c r="T33" s="70" t="s">
        <v>383</v>
      </c>
      <c r="U33" s="70" t="s">
        <v>383</v>
      </c>
      <c r="V33" s="70" t="s">
        <v>383</v>
      </c>
      <c r="W33" s="70" t="s">
        <v>383</v>
      </c>
      <c r="X33" s="70" t="s">
        <v>383</v>
      </c>
      <c r="Y33" s="70" t="s">
        <v>383</v>
      </c>
      <c r="Z33" s="70" t="s">
        <v>383</v>
      </c>
      <c r="AA33" s="70" t="s">
        <v>383</v>
      </c>
      <c r="AB33" s="70" t="s">
        <v>383</v>
      </c>
      <c r="AC33" s="70" t="s">
        <v>383</v>
      </c>
      <c r="AD33" s="70" t="s">
        <v>383</v>
      </c>
      <c r="AE33" s="157" t="s">
        <v>383</v>
      </c>
    </row>
    <row r="34" spans="1:32" ht="15" customHeight="1" x14ac:dyDescent="0.25">
      <c r="A34" s="156">
        <v>33</v>
      </c>
      <c r="B34" s="17" t="s">
        <v>43</v>
      </c>
      <c r="C34" s="70" t="s">
        <v>383</v>
      </c>
      <c r="D34" s="70" t="s">
        <v>383</v>
      </c>
      <c r="E34" s="70">
        <v>4</v>
      </c>
      <c r="F34" s="70" t="s">
        <v>383</v>
      </c>
      <c r="G34" s="70" t="s">
        <v>383</v>
      </c>
      <c r="H34" s="70" t="s">
        <v>383</v>
      </c>
      <c r="I34" s="70" t="s">
        <v>383</v>
      </c>
      <c r="J34" s="70" t="s">
        <v>383</v>
      </c>
      <c r="K34" s="70" t="s">
        <v>383</v>
      </c>
      <c r="L34" s="70" t="s">
        <v>383</v>
      </c>
      <c r="M34" s="70" t="s">
        <v>383</v>
      </c>
      <c r="N34" s="70" t="s">
        <v>383</v>
      </c>
      <c r="O34" s="70" t="s">
        <v>383</v>
      </c>
      <c r="P34" s="70" t="s">
        <v>383</v>
      </c>
      <c r="Q34" s="70" t="s">
        <v>383</v>
      </c>
      <c r="R34" s="70" t="s">
        <v>383</v>
      </c>
      <c r="S34" s="70" t="s">
        <v>383</v>
      </c>
      <c r="T34" s="70" t="s">
        <v>383</v>
      </c>
      <c r="U34" s="70" t="s">
        <v>383</v>
      </c>
      <c r="V34" s="70" t="s">
        <v>383</v>
      </c>
      <c r="W34" s="70" t="s">
        <v>383</v>
      </c>
      <c r="X34" s="70" t="s">
        <v>383</v>
      </c>
      <c r="Y34" s="70" t="s">
        <v>383</v>
      </c>
      <c r="Z34" s="70" t="s">
        <v>383</v>
      </c>
      <c r="AA34" s="70" t="s">
        <v>383</v>
      </c>
      <c r="AB34" s="70" t="s">
        <v>383</v>
      </c>
      <c r="AC34" s="70" t="s">
        <v>383</v>
      </c>
      <c r="AD34" s="70" t="s">
        <v>383</v>
      </c>
      <c r="AE34" s="157" t="s">
        <v>383</v>
      </c>
    </row>
    <row r="35" spans="1:32" ht="15" customHeight="1" x14ac:dyDescent="0.25">
      <c r="A35" s="156">
        <v>34</v>
      </c>
      <c r="B35" s="17" t="s">
        <v>44</v>
      </c>
      <c r="C35" s="70">
        <v>6</v>
      </c>
      <c r="D35" s="70">
        <v>7</v>
      </c>
      <c r="E35" s="70">
        <v>7</v>
      </c>
      <c r="F35" s="70">
        <v>6</v>
      </c>
      <c r="G35" s="70" t="s">
        <v>383</v>
      </c>
      <c r="H35" s="70" t="s">
        <v>383</v>
      </c>
      <c r="I35" s="70">
        <v>5</v>
      </c>
      <c r="J35" s="70">
        <v>5</v>
      </c>
      <c r="K35" s="70">
        <v>7</v>
      </c>
      <c r="L35" s="70">
        <v>8</v>
      </c>
      <c r="M35" s="70">
        <v>10</v>
      </c>
      <c r="N35" s="70">
        <v>11</v>
      </c>
      <c r="O35" s="70">
        <v>9</v>
      </c>
      <c r="P35" s="70">
        <v>6</v>
      </c>
      <c r="Q35" s="70">
        <v>7</v>
      </c>
      <c r="R35" s="70">
        <v>7</v>
      </c>
      <c r="S35" s="70">
        <v>6</v>
      </c>
      <c r="T35" s="70">
        <v>9</v>
      </c>
      <c r="U35" s="70">
        <v>9</v>
      </c>
      <c r="V35" s="70">
        <v>9</v>
      </c>
      <c r="W35" s="70">
        <v>11</v>
      </c>
      <c r="X35" s="70">
        <v>12</v>
      </c>
      <c r="Y35" s="70">
        <v>11</v>
      </c>
      <c r="Z35" s="70">
        <v>12</v>
      </c>
      <c r="AA35" s="70">
        <v>13</v>
      </c>
      <c r="AB35" s="70">
        <v>14</v>
      </c>
      <c r="AC35" s="70">
        <v>12</v>
      </c>
      <c r="AD35" s="70">
        <v>12</v>
      </c>
      <c r="AE35" s="157">
        <v>13</v>
      </c>
    </row>
    <row r="36" spans="1:32" ht="15" customHeight="1" x14ac:dyDescent="0.25">
      <c r="A36" s="156">
        <v>35</v>
      </c>
      <c r="B36" s="17" t="s">
        <v>45</v>
      </c>
      <c r="C36" s="70" t="s">
        <v>383</v>
      </c>
      <c r="D36" s="70" t="s">
        <v>383</v>
      </c>
      <c r="E36" s="70" t="s">
        <v>383</v>
      </c>
      <c r="F36" s="70" t="s">
        <v>383</v>
      </c>
      <c r="G36" s="70" t="s">
        <v>383</v>
      </c>
      <c r="H36" s="70" t="s">
        <v>383</v>
      </c>
      <c r="I36" s="70" t="s">
        <v>383</v>
      </c>
      <c r="J36" s="70" t="s">
        <v>383</v>
      </c>
      <c r="K36" s="70" t="s">
        <v>383</v>
      </c>
      <c r="L36" s="70" t="s">
        <v>383</v>
      </c>
      <c r="M36" s="70" t="s">
        <v>383</v>
      </c>
      <c r="N36" s="70" t="s">
        <v>383</v>
      </c>
      <c r="O36" s="70" t="s">
        <v>383</v>
      </c>
      <c r="P36" s="70" t="s">
        <v>383</v>
      </c>
      <c r="Q36" s="70" t="s">
        <v>383</v>
      </c>
      <c r="R36" s="70" t="s">
        <v>383</v>
      </c>
      <c r="S36" s="70" t="s">
        <v>383</v>
      </c>
      <c r="T36" s="70" t="s">
        <v>383</v>
      </c>
      <c r="U36" s="70" t="s">
        <v>383</v>
      </c>
      <c r="V36" s="70" t="s">
        <v>383</v>
      </c>
      <c r="W36" s="70" t="s">
        <v>383</v>
      </c>
      <c r="X36" s="70" t="s">
        <v>383</v>
      </c>
      <c r="Y36" s="70" t="s">
        <v>383</v>
      </c>
      <c r="Z36" s="70" t="s">
        <v>383</v>
      </c>
      <c r="AA36" s="70" t="s">
        <v>383</v>
      </c>
      <c r="AB36" s="70" t="s">
        <v>383</v>
      </c>
      <c r="AC36" s="70" t="s">
        <v>383</v>
      </c>
      <c r="AD36" s="70" t="s">
        <v>383</v>
      </c>
      <c r="AE36" s="157" t="s">
        <v>383</v>
      </c>
    </row>
    <row r="37" spans="1:32" ht="15" customHeight="1" x14ac:dyDescent="0.25">
      <c r="A37" s="156">
        <v>36</v>
      </c>
      <c r="B37" s="17" t="s">
        <v>46</v>
      </c>
      <c r="C37" s="70">
        <v>12</v>
      </c>
      <c r="D37" s="70">
        <v>10</v>
      </c>
      <c r="E37" s="70">
        <v>14</v>
      </c>
      <c r="F37" s="70">
        <v>10</v>
      </c>
      <c r="G37" s="70">
        <v>6</v>
      </c>
      <c r="H37" s="70">
        <v>7</v>
      </c>
      <c r="I37" s="70">
        <v>7</v>
      </c>
      <c r="J37" s="70">
        <v>7</v>
      </c>
      <c r="K37" s="70">
        <v>9</v>
      </c>
      <c r="L37" s="70">
        <v>12</v>
      </c>
      <c r="M37" s="70">
        <v>12</v>
      </c>
      <c r="N37" s="70">
        <v>16</v>
      </c>
      <c r="O37" s="70">
        <v>15</v>
      </c>
      <c r="P37" s="70">
        <v>17</v>
      </c>
      <c r="Q37" s="70">
        <v>16</v>
      </c>
      <c r="R37" s="70">
        <v>17</v>
      </c>
      <c r="S37" s="70">
        <v>14</v>
      </c>
      <c r="T37" s="70">
        <v>12</v>
      </c>
      <c r="U37" s="70">
        <v>13</v>
      </c>
      <c r="V37" s="70">
        <v>14</v>
      </c>
      <c r="W37" s="70">
        <v>14</v>
      </c>
      <c r="X37" s="70">
        <v>14</v>
      </c>
      <c r="Y37" s="70">
        <v>14</v>
      </c>
      <c r="Z37" s="70">
        <v>15</v>
      </c>
      <c r="AA37" s="70">
        <v>14</v>
      </c>
      <c r="AB37" s="70">
        <v>15</v>
      </c>
      <c r="AC37" s="70">
        <v>21</v>
      </c>
      <c r="AD37" s="70">
        <v>19</v>
      </c>
      <c r="AE37" s="157">
        <v>21</v>
      </c>
    </row>
    <row r="38" spans="1:32" ht="15" customHeight="1" thickBot="1" x14ac:dyDescent="0.3">
      <c r="A38" s="152">
        <v>37</v>
      </c>
      <c r="B38" s="15" t="s">
        <v>47</v>
      </c>
      <c r="C38" s="68" t="s">
        <v>383</v>
      </c>
      <c r="D38" s="68" t="s">
        <v>383</v>
      </c>
      <c r="E38" s="68" t="s">
        <v>383</v>
      </c>
      <c r="F38" s="68" t="s">
        <v>383</v>
      </c>
      <c r="G38" s="68" t="s">
        <v>383</v>
      </c>
      <c r="H38" s="68" t="s">
        <v>383</v>
      </c>
      <c r="I38" s="68" t="s">
        <v>383</v>
      </c>
      <c r="J38" s="68" t="s">
        <v>383</v>
      </c>
      <c r="K38" s="68" t="s">
        <v>383</v>
      </c>
      <c r="L38" s="68" t="s">
        <v>383</v>
      </c>
      <c r="M38" s="68" t="s">
        <v>383</v>
      </c>
      <c r="N38" s="68" t="s">
        <v>383</v>
      </c>
      <c r="O38" s="68" t="s">
        <v>383</v>
      </c>
      <c r="P38" s="68" t="s">
        <v>383</v>
      </c>
      <c r="Q38" s="68" t="s">
        <v>383</v>
      </c>
      <c r="R38" s="68" t="s">
        <v>383</v>
      </c>
      <c r="S38" s="68" t="s">
        <v>383</v>
      </c>
      <c r="T38" s="68" t="s">
        <v>383</v>
      </c>
      <c r="U38" s="68" t="s">
        <v>383</v>
      </c>
      <c r="V38" s="68" t="s">
        <v>383</v>
      </c>
      <c r="W38" s="68" t="s">
        <v>383</v>
      </c>
      <c r="X38" s="68" t="s">
        <v>383</v>
      </c>
      <c r="Y38" s="68" t="s">
        <v>383</v>
      </c>
      <c r="Z38" s="68" t="s">
        <v>383</v>
      </c>
      <c r="AA38" s="68" t="s">
        <v>383</v>
      </c>
      <c r="AB38" s="68" t="s">
        <v>383</v>
      </c>
      <c r="AC38" s="68" t="s">
        <v>383</v>
      </c>
      <c r="AD38" s="68" t="s">
        <v>383</v>
      </c>
      <c r="AE38" s="153" t="s">
        <v>383</v>
      </c>
    </row>
    <row r="39" spans="1:32" s="11" customFormat="1" ht="15" customHeight="1" thickBot="1" x14ac:dyDescent="0.3">
      <c r="A39" s="144" t="s">
        <v>48</v>
      </c>
      <c r="B39" s="9" t="s">
        <v>49</v>
      </c>
      <c r="C39" s="64">
        <v>40</v>
      </c>
      <c r="D39" s="64">
        <v>39</v>
      </c>
      <c r="E39" s="64">
        <v>37</v>
      </c>
      <c r="F39" s="64">
        <v>39</v>
      </c>
      <c r="G39" s="64">
        <v>33</v>
      </c>
      <c r="H39" s="64">
        <v>33</v>
      </c>
      <c r="I39" s="64">
        <v>33</v>
      </c>
      <c r="J39" s="64">
        <v>34</v>
      </c>
      <c r="K39" s="64">
        <v>35</v>
      </c>
      <c r="L39" s="64">
        <v>35</v>
      </c>
      <c r="M39" s="64">
        <v>36</v>
      </c>
      <c r="N39" s="64">
        <v>36</v>
      </c>
      <c r="O39" s="64">
        <v>36</v>
      </c>
      <c r="P39" s="64">
        <v>36</v>
      </c>
      <c r="Q39" s="64">
        <v>38</v>
      </c>
      <c r="R39" s="64">
        <v>38</v>
      </c>
      <c r="S39" s="64">
        <v>36</v>
      </c>
      <c r="T39" s="64">
        <v>36</v>
      </c>
      <c r="U39" s="64">
        <v>36</v>
      </c>
      <c r="V39" s="64">
        <v>36</v>
      </c>
      <c r="W39" s="64">
        <v>36</v>
      </c>
      <c r="X39" s="64">
        <v>37</v>
      </c>
      <c r="Y39" s="64">
        <v>39</v>
      </c>
      <c r="Z39" s="64">
        <v>39</v>
      </c>
      <c r="AA39" s="64">
        <v>38</v>
      </c>
      <c r="AB39" s="64">
        <v>40</v>
      </c>
      <c r="AC39" s="64">
        <v>40</v>
      </c>
      <c r="AD39" s="64">
        <v>41</v>
      </c>
      <c r="AE39" s="145">
        <v>42</v>
      </c>
      <c r="AF39" s="10"/>
    </row>
    <row r="40" spans="1:32" ht="15" customHeight="1" x14ac:dyDescent="0.25">
      <c r="A40" s="146">
        <v>40</v>
      </c>
      <c r="B40" s="12" t="s">
        <v>50</v>
      </c>
      <c r="C40" s="65">
        <v>35</v>
      </c>
      <c r="D40" s="65" t="s">
        <v>383</v>
      </c>
      <c r="E40" s="65" t="s">
        <v>383</v>
      </c>
      <c r="F40" s="65" t="s">
        <v>383</v>
      </c>
      <c r="G40" s="65" t="s">
        <v>383</v>
      </c>
      <c r="H40" s="65" t="s">
        <v>383</v>
      </c>
      <c r="I40" s="65" t="s">
        <v>383</v>
      </c>
      <c r="J40" s="65" t="s">
        <v>383</v>
      </c>
      <c r="K40" s="65">
        <v>31</v>
      </c>
      <c r="L40" s="65">
        <v>31</v>
      </c>
      <c r="M40" s="65">
        <v>31</v>
      </c>
      <c r="N40" s="65">
        <v>31</v>
      </c>
      <c r="O40" s="65">
        <v>31</v>
      </c>
      <c r="P40" s="65">
        <v>31</v>
      </c>
      <c r="Q40" s="65">
        <v>32</v>
      </c>
      <c r="R40" s="65">
        <v>32</v>
      </c>
      <c r="S40" s="65">
        <v>32</v>
      </c>
      <c r="T40" s="65">
        <v>32</v>
      </c>
      <c r="U40" s="65">
        <v>32</v>
      </c>
      <c r="V40" s="65">
        <v>32</v>
      </c>
      <c r="W40" s="65">
        <v>32</v>
      </c>
      <c r="X40" s="65">
        <v>32</v>
      </c>
      <c r="Y40" s="65">
        <v>34</v>
      </c>
      <c r="Z40" s="65">
        <v>34</v>
      </c>
      <c r="AA40" s="65">
        <v>34</v>
      </c>
      <c r="AB40" s="65">
        <v>34</v>
      </c>
      <c r="AC40" s="65">
        <v>34</v>
      </c>
      <c r="AD40" s="65">
        <v>34</v>
      </c>
      <c r="AE40" s="147">
        <v>35</v>
      </c>
    </row>
    <row r="41" spans="1:32" ht="15" customHeight="1" thickBot="1" x14ac:dyDescent="0.3">
      <c r="A41" s="158">
        <v>41</v>
      </c>
      <c r="B41" s="18" t="s">
        <v>51</v>
      </c>
      <c r="C41" s="71">
        <v>5</v>
      </c>
      <c r="D41" s="71" t="s">
        <v>383</v>
      </c>
      <c r="E41" s="71" t="s">
        <v>383</v>
      </c>
      <c r="F41" s="71" t="s">
        <v>383</v>
      </c>
      <c r="G41" s="71" t="s">
        <v>383</v>
      </c>
      <c r="H41" s="71" t="s">
        <v>383</v>
      </c>
      <c r="I41" s="71" t="s">
        <v>383</v>
      </c>
      <c r="J41" s="71" t="s">
        <v>383</v>
      </c>
      <c r="K41" s="71">
        <v>4</v>
      </c>
      <c r="L41" s="71">
        <v>4</v>
      </c>
      <c r="M41" s="71">
        <v>5</v>
      </c>
      <c r="N41" s="71">
        <v>5</v>
      </c>
      <c r="O41" s="71">
        <v>5</v>
      </c>
      <c r="P41" s="71">
        <v>5</v>
      </c>
      <c r="Q41" s="71">
        <v>6</v>
      </c>
      <c r="R41" s="71">
        <v>6</v>
      </c>
      <c r="S41" s="71">
        <v>4</v>
      </c>
      <c r="T41" s="71">
        <v>4</v>
      </c>
      <c r="U41" s="71">
        <v>4</v>
      </c>
      <c r="V41" s="71">
        <v>4</v>
      </c>
      <c r="W41" s="71">
        <v>4</v>
      </c>
      <c r="X41" s="71">
        <v>5</v>
      </c>
      <c r="Y41" s="71">
        <v>5</v>
      </c>
      <c r="Z41" s="71">
        <v>5</v>
      </c>
      <c r="AA41" s="71">
        <v>4</v>
      </c>
      <c r="AB41" s="71">
        <v>6</v>
      </c>
      <c r="AC41" s="71">
        <v>6</v>
      </c>
      <c r="AD41" s="71">
        <v>7</v>
      </c>
      <c r="AE41" s="159">
        <v>7</v>
      </c>
    </row>
    <row r="42" spans="1:32" s="11" customFormat="1" ht="15" customHeight="1" thickBot="1" x14ac:dyDescent="0.3">
      <c r="A42" s="160" t="s">
        <v>52</v>
      </c>
      <c r="B42" s="19" t="s">
        <v>53</v>
      </c>
      <c r="C42" s="64">
        <v>184</v>
      </c>
      <c r="D42" s="64">
        <v>176</v>
      </c>
      <c r="E42" s="64">
        <v>170</v>
      </c>
      <c r="F42" s="64">
        <v>150</v>
      </c>
      <c r="G42" s="64">
        <v>136</v>
      </c>
      <c r="H42" s="64">
        <v>113</v>
      </c>
      <c r="I42" s="64">
        <v>86</v>
      </c>
      <c r="J42" s="64">
        <v>103</v>
      </c>
      <c r="K42" s="64">
        <v>125</v>
      </c>
      <c r="L42" s="64">
        <v>169</v>
      </c>
      <c r="M42" s="64">
        <v>227</v>
      </c>
      <c r="N42" s="64">
        <v>249</v>
      </c>
      <c r="O42" s="64">
        <v>236</v>
      </c>
      <c r="P42" s="64">
        <v>206</v>
      </c>
      <c r="Q42" s="64">
        <v>205</v>
      </c>
      <c r="R42" s="64">
        <v>226</v>
      </c>
      <c r="S42" s="64">
        <v>207</v>
      </c>
      <c r="T42" s="64">
        <v>215</v>
      </c>
      <c r="U42" s="64">
        <v>195</v>
      </c>
      <c r="V42" s="64">
        <v>197</v>
      </c>
      <c r="W42" s="64">
        <v>204</v>
      </c>
      <c r="X42" s="64">
        <v>204</v>
      </c>
      <c r="Y42" s="64">
        <v>197</v>
      </c>
      <c r="Z42" s="64">
        <v>189</v>
      </c>
      <c r="AA42" s="64">
        <v>164</v>
      </c>
      <c r="AB42" s="64">
        <v>169</v>
      </c>
      <c r="AC42" s="64">
        <v>191</v>
      </c>
      <c r="AD42" s="64">
        <v>200</v>
      </c>
      <c r="AE42" s="145">
        <v>166</v>
      </c>
      <c r="AF42" s="10"/>
    </row>
    <row r="43" spans="1:32" ht="15" customHeight="1" thickBot="1" x14ac:dyDescent="0.3">
      <c r="A43" s="150">
        <v>45</v>
      </c>
      <c r="B43" s="14" t="s">
        <v>54</v>
      </c>
      <c r="C43" s="67">
        <v>184</v>
      </c>
      <c r="D43" s="67">
        <v>176</v>
      </c>
      <c r="E43" s="67">
        <v>170</v>
      </c>
      <c r="F43" s="67">
        <v>150</v>
      </c>
      <c r="G43" s="67">
        <v>136</v>
      </c>
      <c r="H43" s="67">
        <v>113</v>
      </c>
      <c r="I43" s="67">
        <v>86</v>
      </c>
      <c r="J43" s="67">
        <v>103</v>
      </c>
      <c r="K43" s="67">
        <v>125</v>
      </c>
      <c r="L43" s="67">
        <v>169</v>
      </c>
      <c r="M43" s="67">
        <v>227</v>
      </c>
      <c r="N43" s="67">
        <v>249</v>
      </c>
      <c r="O43" s="67">
        <v>236</v>
      </c>
      <c r="P43" s="67">
        <v>206</v>
      </c>
      <c r="Q43" s="67">
        <v>205</v>
      </c>
      <c r="R43" s="67">
        <v>226</v>
      </c>
      <c r="S43" s="67">
        <v>207</v>
      </c>
      <c r="T43" s="67">
        <v>215</v>
      </c>
      <c r="U43" s="67">
        <v>195</v>
      </c>
      <c r="V43" s="67">
        <v>197</v>
      </c>
      <c r="W43" s="67">
        <v>204</v>
      </c>
      <c r="X43" s="67">
        <v>204</v>
      </c>
      <c r="Y43" s="67">
        <v>197</v>
      </c>
      <c r="Z43" s="67">
        <v>189</v>
      </c>
      <c r="AA43" s="67">
        <v>164</v>
      </c>
      <c r="AB43" s="67">
        <v>169</v>
      </c>
      <c r="AC43" s="67">
        <v>191</v>
      </c>
      <c r="AD43" s="67">
        <v>200</v>
      </c>
      <c r="AE43" s="151">
        <v>166</v>
      </c>
    </row>
    <row r="44" spans="1:32" s="11" customFormat="1" ht="15" customHeight="1" thickBot="1" x14ac:dyDescent="0.3">
      <c r="A44" s="144" t="s">
        <v>55</v>
      </c>
      <c r="B44" s="9" t="s">
        <v>56</v>
      </c>
      <c r="C44" s="64">
        <v>1183</v>
      </c>
      <c r="D44" s="64">
        <v>1189</v>
      </c>
      <c r="E44" s="64">
        <v>1158</v>
      </c>
      <c r="F44" s="64">
        <v>1135</v>
      </c>
      <c r="G44" s="64">
        <v>1131</v>
      </c>
      <c r="H44" s="64">
        <v>1118</v>
      </c>
      <c r="I44" s="64">
        <v>1049</v>
      </c>
      <c r="J44" s="64">
        <v>1146</v>
      </c>
      <c r="K44" s="64">
        <v>1321</v>
      </c>
      <c r="L44" s="64">
        <v>1457</v>
      </c>
      <c r="M44" s="64">
        <v>1557</v>
      </c>
      <c r="N44" s="64">
        <v>1651</v>
      </c>
      <c r="O44" s="64">
        <v>1745</v>
      </c>
      <c r="P44" s="64">
        <v>1766</v>
      </c>
      <c r="Q44" s="64">
        <v>1789</v>
      </c>
      <c r="R44" s="64">
        <v>1807</v>
      </c>
      <c r="S44" s="64">
        <v>1839</v>
      </c>
      <c r="T44" s="64">
        <v>1874</v>
      </c>
      <c r="U44" s="64">
        <v>1875</v>
      </c>
      <c r="V44" s="64">
        <v>1903</v>
      </c>
      <c r="W44" s="64">
        <v>1946</v>
      </c>
      <c r="X44" s="64">
        <v>2033</v>
      </c>
      <c r="Y44" s="64">
        <v>1998</v>
      </c>
      <c r="Z44" s="64">
        <v>1959</v>
      </c>
      <c r="AA44" s="64">
        <v>1898</v>
      </c>
      <c r="AB44" s="64">
        <v>1935</v>
      </c>
      <c r="AC44" s="64">
        <v>2129</v>
      </c>
      <c r="AD44" s="64">
        <v>2175</v>
      </c>
      <c r="AE44" s="145">
        <v>2133</v>
      </c>
      <c r="AF44" s="10"/>
    </row>
    <row r="45" spans="1:32" ht="15" customHeight="1" x14ac:dyDescent="0.25">
      <c r="A45" s="146">
        <v>50</v>
      </c>
      <c r="B45" s="12" t="s">
        <v>57</v>
      </c>
      <c r="C45" s="65">
        <v>218</v>
      </c>
      <c r="D45" s="65">
        <v>208</v>
      </c>
      <c r="E45" s="65">
        <v>210</v>
      </c>
      <c r="F45" s="65">
        <v>206</v>
      </c>
      <c r="G45" s="65">
        <v>202</v>
      </c>
      <c r="H45" s="65">
        <v>195</v>
      </c>
      <c r="I45" s="65">
        <v>184</v>
      </c>
      <c r="J45" s="65">
        <v>199</v>
      </c>
      <c r="K45" s="65">
        <v>236</v>
      </c>
      <c r="L45" s="65">
        <v>257</v>
      </c>
      <c r="M45" s="65">
        <v>276</v>
      </c>
      <c r="N45" s="65">
        <v>292</v>
      </c>
      <c r="O45" s="65">
        <v>299</v>
      </c>
      <c r="P45" s="65">
        <v>290</v>
      </c>
      <c r="Q45" s="65">
        <v>290</v>
      </c>
      <c r="R45" s="65">
        <v>274</v>
      </c>
      <c r="S45" s="65">
        <v>290</v>
      </c>
      <c r="T45" s="65">
        <v>287</v>
      </c>
      <c r="U45" s="65">
        <v>277</v>
      </c>
      <c r="V45" s="65">
        <v>281</v>
      </c>
      <c r="W45" s="65">
        <v>285</v>
      </c>
      <c r="X45" s="65">
        <v>306</v>
      </c>
      <c r="Y45" s="65">
        <v>299</v>
      </c>
      <c r="Z45" s="65">
        <v>296</v>
      </c>
      <c r="AA45" s="65">
        <v>291</v>
      </c>
      <c r="AB45" s="65">
        <v>287</v>
      </c>
      <c r="AC45" s="65">
        <v>308</v>
      </c>
      <c r="AD45" s="65">
        <v>307</v>
      </c>
      <c r="AE45" s="147">
        <v>311</v>
      </c>
    </row>
    <row r="46" spans="1:32" ht="15" customHeight="1" x14ac:dyDescent="0.25">
      <c r="A46" s="156">
        <v>51</v>
      </c>
      <c r="B46" s="17" t="s">
        <v>58</v>
      </c>
      <c r="C46" s="70">
        <v>298</v>
      </c>
      <c r="D46" s="70">
        <v>318</v>
      </c>
      <c r="E46" s="70">
        <v>298</v>
      </c>
      <c r="F46" s="70">
        <v>297</v>
      </c>
      <c r="G46" s="70">
        <v>271</v>
      </c>
      <c r="H46" s="70">
        <v>268</v>
      </c>
      <c r="I46" s="70">
        <v>246</v>
      </c>
      <c r="J46" s="70">
        <v>264</v>
      </c>
      <c r="K46" s="70">
        <v>285</v>
      </c>
      <c r="L46" s="70">
        <v>312</v>
      </c>
      <c r="M46" s="70">
        <v>331</v>
      </c>
      <c r="N46" s="70">
        <v>333</v>
      </c>
      <c r="O46" s="70">
        <v>347</v>
      </c>
      <c r="P46" s="70">
        <v>348</v>
      </c>
      <c r="Q46" s="70">
        <v>349</v>
      </c>
      <c r="R46" s="70">
        <v>360</v>
      </c>
      <c r="S46" s="70">
        <v>353</v>
      </c>
      <c r="T46" s="70">
        <v>339</v>
      </c>
      <c r="U46" s="70">
        <v>350</v>
      </c>
      <c r="V46" s="70">
        <v>337</v>
      </c>
      <c r="W46" s="70">
        <v>340</v>
      </c>
      <c r="X46" s="70">
        <v>347</v>
      </c>
      <c r="Y46" s="70">
        <v>334</v>
      </c>
      <c r="Z46" s="70">
        <v>346</v>
      </c>
      <c r="AA46" s="70">
        <v>338</v>
      </c>
      <c r="AB46" s="70">
        <v>357</v>
      </c>
      <c r="AC46" s="70">
        <v>368</v>
      </c>
      <c r="AD46" s="70">
        <v>377</v>
      </c>
      <c r="AE46" s="157">
        <v>382</v>
      </c>
    </row>
    <row r="47" spans="1:32" ht="15" customHeight="1" thickBot="1" x14ac:dyDescent="0.3">
      <c r="A47" s="158">
        <v>52</v>
      </c>
      <c r="B47" s="18" t="s">
        <v>59</v>
      </c>
      <c r="C47" s="71">
        <v>667</v>
      </c>
      <c r="D47" s="71">
        <v>663</v>
      </c>
      <c r="E47" s="71">
        <v>650</v>
      </c>
      <c r="F47" s="71">
        <v>632</v>
      </c>
      <c r="G47" s="71">
        <v>658</v>
      </c>
      <c r="H47" s="71">
        <v>655</v>
      </c>
      <c r="I47" s="71">
        <v>619</v>
      </c>
      <c r="J47" s="71">
        <v>683</v>
      </c>
      <c r="K47" s="71">
        <v>800</v>
      </c>
      <c r="L47" s="71">
        <v>888</v>
      </c>
      <c r="M47" s="71">
        <v>950</v>
      </c>
      <c r="N47" s="71">
        <v>1026</v>
      </c>
      <c r="O47" s="71">
        <v>1099</v>
      </c>
      <c r="P47" s="71">
        <v>1128</v>
      </c>
      <c r="Q47" s="71">
        <v>1150</v>
      </c>
      <c r="R47" s="71">
        <v>1173</v>
      </c>
      <c r="S47" s="71">
        <v>1196</v>
      </c>
      <c r="T47" s="71">
        <v>1248</v>
      </c>
      <c r="U47" s="71">
        <v>1248</v>
      </c>
      <c r="V47" s="71">
        <v>1285</v>
      </c>
      <c r="W47" s="71">
        <v>1321</v>
      </c>
      <c r="X47" s="71">
        <v>1380</v>
      </c>
      <c r="Y47" s="71">
        <v>1365</v>
      </c>
      <c r="Z47" s="71">
        <v>1317</v>
      </c>
      <c r="AA47" s="71">
        <v>1269</v>
      </c>
      <c r="AB47" s="71">
        <v>1291</v>
      </c>
      <c r="AC47" s="71">
        <v>1453</v>
      </c>
      <c r="AD47" s="71">
        <v>1491</v>
      </c>
      <c r="AE47" s="159">
        <v>1440</v>
      </c>
    </row>
    <row r="48" spans="1:32" s="11" customFormat="1" ht="15" customHeight="1" thickBot="1" x14ac:dyDescent="0.3">
      <c r="A48" s="160" t="s">
        <v>60</v>
      </c>
      <c r="B48" s="19" t="s">
        <v>61</v>
      </c>
      <c r="C48" s="64">
        <v>109</v>
      </c>
      <c r="D48" s="64">
        <v>114</v>
      </c>
      <c r="E48" s="64">
        <v>109</v>
      </c>
      <c r="F48" s="64">
        <v>95</v>
      </c>
      <c r="G48" s="64">
        <v>87</v>
      </c>
      <c r="H48" s="64">
        <v>85</v>
      </c>
      <c r="I48" s="64">
        <v>86</v>
      </c>
      <c r="J48" s="64">
        <v>93</v>
      </c>
      <c r="K48" s="64">
        <v>114</v>
      </c>
      <c r="L48" s="64">
        <v>140</v>
      </c>
      <c r="M48" s="64">
        <v>144</v>
      </c>
      <c r="N48" s="64">
        <v>166</v>
      </c>
      <c r="O48" s="64">
        <v>179</v>
      </c>
      <c r="P48" s="64">
        <v>184</v>
      </c>
      <c r="Q48" s="64">
        <v>172</v>
      </c>
      <c r="R48" s="64">
        <v>192</v>
      </c>
      <c r="S48" s="64">
        <v>197</v>
      </c>
      <c r="T48" s="64">
        <v>201</v>
      </c>
      <c r="U48" s="64">
        <v>204</v>
      </c>
      <c r="V48" s="64">
        <v>211</v>
      </c>
      <c r="W48" s="64">
        <v>221</v>
      </c>
      <c r="X48" s="64">
        <v>229</v>
      </c>
      <c r="Y48" s="64">
        <v>232</v>
      </c>
      <c r="Z48" s="64">
        <v>227</v>
      </c>
      <c r="AA48" s="64">
        <v>201</v>
      </c>
      <c r="AB48" s="64">
        <v>207</v>
      </c>
      <c r="AC48" s="64">
        <v>225</v>
      </c>
      <c r="AD48" s="64">
        <v>237</v>
      </c>
      <c r="AE48" s="145">
        <v>220</v>
      </c>
      <c r="AF48" s="10"/>
    </row>
    <row r="49" spans="1:32" ht="15" customHeight="1" thickBot="1" x14ac:dyDescent="0.3">
      <c r="A49" s="150">
        <v>55</v>
      </c>
      <c r="B49" s="14" t="s">
        <v>62</v>
      </c>
      <c r="C49" s="67">
        <v>109</v>
      </c>
      <c r="D49" s="67">
        <v>114</v>
      </c>
      <c r="E49" s="67">
        <v>109</v>
      </c>
      <c r="F49" s="67">
        <v>95</v>
      </c>
      <c r="G49" s="67">
        <v>87</v>
      </c>
      <c r="H49" s="67">
        <v>85</v>
      </c>
      <c r="I49" s="67">
        <v>86</v>
      </c>
      <c r="J49" s="67">
        <v>93</v>
      </c>
      <c r="K49" s="67">
        <v>114</v>
      </c>
      <c r="L49" s="67">
        <v>140</v>
      </c>
      <c r="M49" s="67">
        <v>144</v>
      </c>
      <c r="N49" s="67">
        <v>166</v>
      </c>
      <c r="O49" s="67">
        <v>179</v>
      </c>
      <c r="P49" s="67">
        <v>184</v>
      </c>
      <c r="Q49" s="67">
        <v>172</v>
      </c>
      <c r="R49" s="67">
        <v>192</v>
      </c>
      <c r="S49" s="67">
        <v>197</v>
      </c>
      <c r="T49" s="67">
        <v>201</v>
      </c>
      <c r="U49" s="67">
        <v>204</v>
      </c>
      <c r="V49" s="67">
        <v>211</v>
      </c>
      <c r="W49" s="67">
        <v>221</v>
      </c>
      <c r="X49" s="67">
        <v>229</v>
      </c>
      <c r="Y49" s="67">
        <v>232</v>
      </c>
      <c r="Z49" s="67">
        <v>227</v>
      </c>
      <c r="AA49" s="67">
        <v>201</v>
      </c>
      <c r="AB49" s="67">
        <v>207</v>
      </c>
      <c r="AC49" s="67">
        <v>225</v>
      </c>
      <c r="AD49" s="67">
        <v>237</v>
      </c>
      <c r="AE49" s="151">
        <v>220</v>
      </c>
    </row>
    <row r="50" spans="1:32" s="11" customFormat="1" ht="15" customHeight="1" thickBot="1" x14ac:dyDescent="0.3">
      <c r="A50" s="144" t="s">
        <v>63</v>
      </c>
      <c r="B50" s="9" t="s">
        <v>64</v>
      </c>
      <c r="C50" s="64">
        <v>313</v>
      </c>
      <c r="D50" s="64">
        <v>308</v>
      </c>
      <c r="E50" s="64">
        <v>311</v>
      </c>
      <c r="F50" s="64">
        <v>300</v>
      </c>
      <c r="G50" s="64">
        <v>311</v>
      </c>
      <c r="H50" s="64">
        <v>294</v>
      </c>
      <c r="I50" s="64">
        <v>295</v>
      </c>
      <c r="J50" s="64">
        <v>294</v>
      </c>
      <c r="K50" s="64">
        <v>356</v>
      </c>
      <c r="L50" s="64">
        <v>414</v>
      </c>
      <c r="M50" s="64">
        <v>448</v>
      </c>
      <c r="N50" s="64">
        <v>508</v>
      </c>
      <c r="O50" s="64">
        <v>548</v>
      </c>
      <c r="P50" s="64">
        <v>501</v>
      </c>
      <c r="Q50" s="64">
        <v>512</v>
      </c>
      <c r="R50" s="64">
        <v>547</v>
      </c>
      <c r="S50" s="64">
        <v>593</v>
      </c>
      <c r="T50" s="64">
        <v>604</v>
      </c>
      <c r="U50" s="64">
        <v>572</v>
      </c>
      <c r="V50" s="64">
        <v>579</v>
      </c>
      <c r="W50" s="64">
        <v>604</v>
      </c>
      <c r="X50" s="64">
        <v>603</v>
      </c>
      <c r="Y50" s="64">
        <v>612</v>
      </c>
      <c r="Z50" s="64">
        <v>576</v>
      </c>
      <c r="AA50" s="64">
        <v>554</v>
      </c>
      <c r="AB50" s="64">
        <v>557</v>
      </c>
      <c r="AC50" s="64">
        <v>603</v>
      </c>
      <c r="AD50" s="64">
        <v>584</v>
      </c>
      <c r="AE50" s="145">
        <v>571</v>
      </c>
      <c r="AF50" s="10"/>
    </row>
    <row r="51" spans="1:32" ht="15" customHeight="1" x14ac:dyDescent="0.25">
      <c r="A51" s="152">
        <v>60</v>
      </c>
      <c r="B51" s="15" t="s">
        <v>65</v>
      </c>
      <c r="C51" s="68">
        <v>255</v>
      </c>
      <c r="D51" s="68">
        <v>242</v>
      </c>
      <c r="E51" s="68">
        <v>254</v>
      </c>
      <c r="F51" s="68">
        <v>243</v>
      </c>
      <c r="G51" s="68">
        <v>249</v>
      </c>
      <c r="H51" s="68">
        <v>243</v>
      </c>
      <c r="I51" s="68">
        <v>244</v>
      </c>
      <c r="J51" s="68">
        <v>239</v>
      </c>
      <c r="K51" s="68">
        <v>291</v>
      </c>
      <c r="L51" s="68">
        <v>353</v>
      </c>
      <c r="M51" s="68">
        <v>384</v>
      </c>
      <c r="N51" s="68">
        <v>433</v>
      </c>
      <c r="O51" s="68">
        <v>471</v>
      </c>
      <c r="P51" s="68">
        <v>425</v>
      </c>
      <c r="Q51" s="68">
        <v>438</v>
      </c>
      <c r="R51" s="68">
        <v>474</v>
      </c>
      <c r="S51" s="68">
        <v>511</v>
      </c>
      <c r="T51" s="68">
        <v>524</v>
      </c>
      <c r="U51" s="68">
        <v>497</v>
      </c>
      <c r="V51" s="68">
        <v>507</v>
      </c>
      <c r="W51" s="68">
        <v>531</v>
      </c>
      <c r="X51" s="68">
        <v>524</v>
      </c>
      <c r="Y51" s="68">
        <v>538</v>
      </c>
      <c r="Z51" s="68">
        <v>505</v>
      </c>
      <c r="AA51" s="68">
        <v>484</v>
      </c>
      <c r="AB51" s="68">
        <v>492</v>
      </c>
      <c r="AC51" s="68">
        <v>530</v>
      </c>
      <c r="AD51" s="68">
        <v>502</v>
      </c>
      <c r="AE51" s="153">
        <v>489</v>
      </c>
    </row>
    <row r="52" spans="1:32" ht="15" customHeight="1" x14ac:dyDescent="0.25">
      <c r="A52" s="161">
        <v>61</v>
      </c>
      <c r="B52" s="20" t="s">
        <v>66</v>
      </c>
      <c r="C52" s="73" t="s">
        <v>383</v>
      </c>
      <c r="D52" s="73" t="s">
        <v>383</v>
      </c>
      <c r="E52" s="73" t="s">
        <v>383</v>
      </c>
      <c r="F52" s="73" t="s">
        <v>383</v>
      </c>
      <c r="G52" s="73" t="s">
        <v>383</v>
      </c>
      <c r="H52" s="73" t="s">
        <v>383</v>
      </c>
      <c r="I52" s="73" t="s">
        <v>383</v>
      </c>
      <c r="J52" s="73" t="s">
        <v>383</v>
      </c>
      <c r="K52" s="73" t="s">
        <v>383</v>
      </c>
      <c r="L52" s="73" t="s">
        <v>383</v>
      </c>
      <c r="M52" s="73" t="s">
        <v>383</v>
      </c>
      <c r="N52" s="73" t="s">
        <v>383</v>
      </c>
      <c r="O52" s="73" t="s">
        <v>383</v>
      </c>
      <c r="P52" s="73" t="s">
        <v>383</v>
      </c>
      <c r="Q52" s="73" t="s">
        <v>383</v>
      </c>
      <c r="R52" s="73" t="s">
        <v>383</v>
      </c>
      <c r="S52" s="73" t="s">
        <v>383</v>
      </c>
      <c r="T52" s="73" t="s">
        <v>383</v>
      </c>
      <c r="U52" s="73" t="s">
        <v>383</v>
      </c>
      <c r="V52" s="73" t="s">
        <v>383</v>
      </c>
      <c r="W52" s="73" t="s">
        <v>383</v>
      </c>
      <c r="X52" s="73" t="s">
        <v>383</v>
      </c>
      <c r="Y52" s="73" t="s">
        <v>383</v>
      </c>
      <c r="Z52" s="73" t="s">
        <v>383</v>
      </c>
      <c r="AA52" s="73" t="s">
        <v>383</v>
      </c>
      <c r="AB52" s="73" t="s">
        <v>383</v>
      </c>
      <c r="AC52" s="73" t="s">
        <v>383</v>
      </c>
      <c r="AD52" s="73" t="s">
        <v>383</v>
      </c>
      <c r="AE52" s="162" t="s">
        <v>383</v>
      </c>
    </row>
    <row r="53" spans="1:32" ht="15" customHeight="1" x14ac:dyDescent="0.25">
      <c r="A53" s="152">
        <v>62</v>
      </c>
      <c r="B53" s="15" t="s">
        <v>67</v>
      </c>
      <c r="C53" s="68" t="s">
        <v>383</v>
      </c>
      <c r="D53" s="68" t="s">
        <v>383</v>
      </c>
      <c r="E53" s="68" t="s">
        <v>383</v>
      </c>
      <c r="F53" s="68" t="s">
        <v>383</v>
      </c>
      <c r="G53" s="68" t="s">
        <v>383</v>
      </c>
      <c r="H53" s="68" t="s">
        <v>383</v>
      </c>
      <c r="I53" s="68" t="s">
        <v>383</v>
      </c>
      <c r="J53" s="68" t="s">
        <v>383</v>
      </c>
      <c r="K53" s="68" t="s">
        <v>383</v>
      </c>
      <c r="L53" s="68" t="s">
        <v>383</v>
      </c>
      <c r="M53" s="68" t="s">
        <v>383</v>
      </c>
      <c r="N53" s="68" t="s">
        <v>383</v>
      </c>
      <c r="O53" s="68" t="s">
        <v>383</v>
      </c>
      <c r="P53" s="68" t="s">
        <v>383</v>
      </c>
      <c r="Q53" s="68" t="s">
        <v>383</v>
      </c>
      <c r="R53" s="68" t="s">
        <v>383</v>
      </c>
      <c r="S53" s="68" t="s">
        <v>383</v>
      </c>
      <c r="T53" s="68" t="s">
        <v>383</v>
      </c>
      <c r="U53" s="68" t="s">
        <v>383</v>
      </c>
      <c r="V53" s="68" t="s">
        <v>383</v>
      </c>
      <c r="W53" s="68" t="s">
        <v>383</v>
      </c>
      <c r="X53" s="68" t="s">
        <v>383</v>
      </c>
      <c r="Y53" s="68" t="s">
        <v>383</v>
      </c>
      <c r="Z53" s="68" t="s">
        <v>383</v>
      </c>
      <c r="AA53" s="68" t="s">
        <v>383</v>
      </c>
      <c r="AB53" s="68" t="s">
        <v>383</v>
      </c>
      <c r="AC53" s="68" t="s">
        <v>383</v>
      </c>
      <c r="AD53" s="68" t="s">
        <v>383</v>
      </c>
      <c r="AE53" s="153" t="s">
        <v>383</v>
      </c>
    </row>
    <row r="54" spans="1:32" ht="15" customHeight="1" x14ac:dyDescent="0.25">
      <c r="A54" s="163">
        <v>63</v>
      </c>
      <c r="B54" s="21" t="s">
        <v>68</v>
      </c>
      <c r="C54" s="74">
        <v>25</v>
      </c>
      <c r="D54" s="74">
        <v>25</v>
      </c>
      <c r="E54" s="74">
        <v>22</v>
      </c>
      <c r="F54" s="74">
        <v>19</v>
      </c>
      <c r="G54" s="74">
        <v>20</v>
      </c>
      <c r="H54" s="74">
        <v>15</v>
      </c>
      <c r="I54" s="74">
        <v>18</v>
      </c>
      <c r="J54" s="74">
        <v>19</v>
      </c>
      <c r="K54" s="74">
        <v>30</v>
      </c>
      <c r="L54" s="74">
        <v>27</v>
      </c>
      <c r="M54" s="74">
        <v>29</v>
      </c>
      <c r="N54" s="74">
        <v>34</v>
      </c>
      <c r="O54" s="74">
        <v>33</v>
      </c>
      <c r="P54" s="74">
        <v>36</v>
      </c>
      <c r="Q54" s="74">
        <v>38</v>
      </c>
      <c r="R54" s="74">
        <v>38</v>
      </c>
      <c r="S54" s="74">
        <v>44</v>
      </c>
      <c r="T54" s="74">
        <v>39</v>
      </c>
      <c r="U54" s="74">
        <v>37</v>
      </c>
      <c r="V54" s="74">
        <v>34</v>
      </c>
      <c r="W54" s="74">
        <v>36</v>
      </c>
      <c r="X54" s="74">
        <v>40</v>
      </c>
      <c r="Y54" s="74">
        <v>39</v>
      </c>
      <c r="Z54" s="74">
        <v>38</v>
      </c>
      <c r="AA54" s="74">
        <v>37</v>
      </c>
      <c r="AB54" s="74">
        <v>32</v>
      </c>
      <c r="AC54" s="74">
        <v>40</v>
      </c>
      <c r="AD54" s="74">
        <v>47</v>
      </c>
      <c r="AE54" s="164">
        <v>47</v>
      </c>
    </row>
    <row r="55" spans="1:32" ht="15" customHeight="1" thickBot="1" x14ac:dyDescent="0.3">
      <c r="A55" s="152">
        <v>64</v>
      </c>
      <c r="B55" s="15" t="s">
        <v>99</v>
      </c>
      <c r="C55" s="68">
        <v>32</v>
      </c>
      <c r="D55" s="68">
        <v>39</v>
      </c>
      <c r="E55" s="68">
        <v>33</v>
      </c>
      <c r="F55" s="68">
        <v>36</v>
      </c>
      <c r="G55" s="68">
        <v>40</v>
      </c>
      <c r="H55" s="68">
        <v>34</v>
      </c>
      <c r="I55" s="68">
        <v>32</v>
      </c>
      <c r="J55" s="68">
        <v>35</v>
      </c>
      <c r="K55" s="68">
        <v>35</v>
      </c>
      <c r="L55" s="68">
        <v>34</v>
      </c>
      <c r="M55" s="68">
        <v>35</v>
      </c>
      <c r="N55" s="68">
        <v>39</v>
      </c>
      <c r="O55" s="68">
        <v>43</v>
      </c>
      <c r="P55" s="68">
        <v>39</v>
      </c>
      <c r="Q55" s="68">
        <v>34</v>
      </c>
      <c r="R55" s="68">
        <v>33</v>
      </c>
      <c r="S55" s="68">
        <v>36</v>
      </c>
      <c r="T55" s="68">
        <v>39</v>
      </c>
      <c r="U55" s="68">
        <v>36</v>
      </c>
      <c r="V55" s="68">
        <v>35</v>
      </c>
      <c r="W55" s="68">
        <v>34</v>
      </c>
      <c r="X55" s="68">
        <v>36</v>
      </c>
      <c r="Y55" s="68">
        <v>32</v>
      </c>
      <c r="Z55" s="68">
        <v>30</v>
      </c>
      <c r="AA55" s="68">
        <v>30</v>
      </c>
      <c r="AB55" s="68">
        <v>31</v>
      </c>
      <c r="AC55" s="68">
        <v>31</v>
      </c>
      <c r="AD55" s="68">
        <v>33</v>
      </c>
      <c r="AE55" s="153">
        <v>33</v>
      </c>
    </row>
    <row r="56" spans="1:32" s="11" customFormat="1" ht="15" customHeight="1" thickBot="1" x14ac:dyDescent="0.3">
      <c r="A56" s="144" t="s">
        <v>70</v>
      </c>
      <c r="B56" s="9" t="s">
        <v>71</v>
      </c>
      <c r="C56" s="64">
        <v>54</v>
      </c>
      <c r="D56" s="64">
        <v>61</v>
      </c>
      <c r="E56" s="64">
        <v>69</v>
      </c>
      <c r="F56" s="64">
        <v>63</v>
      </c>
      <c r="G56" s="64">
        <v>58</v>
      </c>
      <c r="H56" s="64">
        <v>59</v>
      </c>
      <c r="I56" s="64">
        <v>57</v>
      </c>
      <c r="J56" s="64">
        <v>65</v>
      </c>
      <c r="K56" s="64">
        <v>73</v>
      </c>
      <c r="L56" s="64">
        <v>88</v>
      </c>
      <c r="M56" s="64">
        <v>92</v>
      </c>
      <c r="N56" s="64">
        <v>94</v>
      </c>
      <c r="O56" s="64">
        <v>96</v>
      </c>
      <c r="P56" s="64">
        <v>84</v>
      </c>
      <c r="Q56" s="64">
        <v>90</v>
      </c>
      <c r="R56" s="64">
        <v>97</v>
      </c>
      <c r="S56" s="64">
        <v>96</v>
      </c>
      <c r="T56" s="64">
        <v>95</v>
      </c>
      <c r="U56" s="64">
        <v>99</v>
      </c>
      <c r="V56" s="64">
        <v>102</v>
      </c>
      <c r="W56" s="64">
        <v>107</v>
      </c>
      <c r="X56" s="64">
        <v>105</v>
      </c>
      <c r="Y56" s="64">
        <v>102</v>
      </c>
      <c r="Z56" s="64">
        <v>108</v>
      </c>
      <c r="AA56" s="64">
        <v>107</v>
      </c>
      <c r="AB56" s="64">
        <v>105</v>
      </c>
      <c r="AC56" s="64">
        <v>100</v>
      </c>
      <c r="AD56" s="64">
        <v>91</v>
      </c>
      <c r="AE56" s="145">
        <v>94</v>
      </c>
      <c r="AF56" s="10"/>
    </row>
    <row r="57" spans="1:32" ht="15" customHeight="1" x14ac:dyDescent="0.25">
      <c r="A57" s="152">
        <v>65</v>
      </c>
      <c r="B57" s="15" t="s">
        <v>72</v>
      </c>
      <c r="C57" s="68">
        <v>18</v>
      </c>
      <c r="D57" s="68">
        <v>21</v>
      </c>
      <c r="E57" s="68">
        <v>28</v>
      </c>
      <c r="F57" s="68">
        <v>16</v>
      </c>
      <c r="G57" s="68">
        <v>15</v>
      </c>
      <c r="H57" s="68">
        <v>18</v>
      </c>
      <c r="I57" s="68">
        <v>19</v>
      </c>
      <c r="J57" s="68">
        <v>16</v>
      </c>
      <c r="K57" s="68">
        <v>22</v>
      </c>
      <c r="L57" s="68">
        <v>26</v>
      </c>
      <c r="M57" s="68">
        <v>26</v>
      </c>
      <c r="N57" s="68">
        <v>28</v>
      </c>
      <c r="O57" s="68">
        <v>31</v>
      </c>
      <c r="P57" s="68">
        <v>26</v>
      </c>
      <c r="Q57" s="68">
        <v>33</v>
      </c>
      <c r="R57" s="68">
        <v>33</v>
      </c>
      <c r="S57" s="68">
        <v>33</v>
      </c>
      <c r="T57" s="68">
        <v>33</v>
      </c>
      <c r="U57" s="68">
        <v>36</v>
      </c>
      <c r="V57" s="68">
        <v>37</v>
      </c>
      <c r="W57" s="68">
        <v>38</v>
      </c>
      <c r="X57" s="68">
        <v>41</v>
      </c>
      <c r="Y57" s="68">
        <v>39</v>
      </c>
      <c r="Z57" s="68">
        <v>38</v>
      </c>
      <c r="AA57" s="68">
        <v>33</v>
      </c>
      <c r="AB57" s="68">
        <v>32</v>
      </c>
      <c r="AC57" s="68">
        <v>29</v>
      </c>
      <c r="AD57" s="68">
        <v>25</v>
      </c>
      <c r="AE57" s="153">
        <v>25</v>
      </c>
    </row>
    <row r="58" spans="1:32" ht="15" customHeight="1" x14ac:dyDescent="0.25">
      <c r="A58" s="156">
        <v>66</v>
      </c>
      <c r="B58" s="17" t="s">
        <v>100</v>
      </c>
      <c r="C58" s="70">
        <v>18</v>
      </c>
      <c r="D58" s="70">
        <v>22</v>
      </c>
      <c r="E58" s="70">
        <v>23</v>
      </c>
      <c r="F58" s="70">
        <v>28</v>
      </c>
      <c r="G58" s="70">
        <v>26</v>
      </c>
      <c r="H58" s="70">
        <v>26</v>
      </c>
      <c r="I58" s="70">
        <v>25</v>
      </c>
      <c r="J58" s="70">
        <v>35</v>
      </c>
      <c r="K58" s="70">
        <v>32</v>
      </c>
      <c r="L58" s="70">
        <v>35</v>
      </c>
      <c r="M58" s="70">
        <v>37</v>
      </c>
      <c r="N58" s="70">
        <v>36</v>
      </c>
      <c r="O58" s="70">
        <v>33</v>
      </c>
      <c r="P58" s="70">
        <v>28</v>
      </c>
      <c r="Q58" s="70">
        <v>27</v>
      </c>
      <c r="R58" s="70">
        <v>28</v>
      </c>
      <c r="S58" s="70">
        <v>28</v>
      </c>
      <c r="T58" s="70">
        <v>28</v>
      </c>
      <c r="U58" s="70">
        <v>28</v>
      </c>
      <c r="V58" s="70">
        <v>30</v>
      </c>
      <c r="W58" s="70">
        <v>32</v>
      </c>
      <c r="X58" s="70">
        <v>31</v>
      </c>
      <c r="Y58" s="70">
        <v>30</v>
      </c>
      <c r="Z58" s="70">
        <v>32</v>
      </c>
      <c r="AA58" s="70">
        <v>34</v>
      </c>
      <c r="AB58" s="70">
        <v>32</v>
      </c>
      <c r="AC58" s="70">
        <v>31</v>
      </c>
      <c r="AD58" s="70">
        <v>32</v>
      </c>
      <c r="AE58" s="157">
        <v>34</v>
      </c>
    </row>
    <row r="59" spans="1:32" ht="15" customHeight="1" thickBot="1" x14ac:dyDescent="0.3">
      <c r="A59" s="152">
        <v>67</v>
      </c>
      <c r="B59" s="15" t="s">
        <v>74</v>
      </c>
      <c r="C59" s="68">
        <v>18</v>
      </c>
      <c r="D59" s="68">
        <v>18</v>
      </c>
      <c r="E59" s="68">
        <v>18</v>
      </c>
      <c r="F59" s="68">
        <v>19</v>
      </c>
      <c r="G59" s="68">
        <v>17</v>
      </c>
      <c r="H59" s="68">
        <v>15</v>
      </c>
      <c r="I59" s="68">
        <v>13</v>
      </c>
      <c r="J59" s="68">
        <v>14</v>
      </c>
      <c r="K59" s="68">
        <v>19</v>
      </c>
      <c r="L59" s="68">
        <v>27</v>
      </c>
      <c r="M59" s="68">
        <v>29</v>
      </c>
      <c r="N59" s="68">
        <v>30</v>
      </c>
      <c r="O59" s="68">
        <v>32</v>
      </c>
      <c r="P59" s="68">
        <v>30</v>
      </c>
      <c r="Q59" s="68">
        <v>30</v>
      </c>
      <c r="R59" s="68">
        <v>36</v>
      </c>
      <c r="S59" s="68">
        <v>35</v>
      </c>
      <c r="T59" s="68">
        <v>34</v>
      </c>
      <c r="U59" s="68">
        <v>35</v>
      </c>
      <c r="V59" s="68">
        <v>35</v>
      </c>
      <c r="W59" s="68">
        <v>37</v>
      </c>
      <c r="X59" s="68">
        <v>33</v>
      </c>
      <c r="Y59" s="68">
        <v>33</v>
      </c>
      <c r="Z59" s="68">
        <v>38</v>
      </c>
      <c r="AA59" s="68">
        <v>40</v>
      </c>
      <c r="AB59" s="68">
        <v>41</v>
      </c>
      <c r="AC59" s="68">
        <v>40</v>
      </c>
      <c r="AD59" s="68">
        <v>34</v>
      </c>
      <c r="AE59" s="153">
        <v>35</v>
      </c>
    </row>
    <row r="60" spans="1:32" s="11" customFormat="1" ht="15" customHeight="1" thickBot="1" x14ac:dyDescent="0.3">
      <c r="A60" s="144" t="s">
        <v>75</v>
      </c>
      <c r="B60" s="9" t="s">
        <v>76</v>
      </c>
      <c r="C60" s="64">
        <v>1081</v>
      </c>
      <c r="D60" s="64">
        <v>1091</v>
      </c>
      <c r="E60" s="64">
        <v>1045</v>
      </c>
      <c r="F60" s="64">
        <v>1032</v>
      </c>
      <c r="G60" s="64">
        <v>1004</v>
      </c>
      <c r="H60" s="64">
        <v>981</v>
      </c>
      <c r="I60" s="64">
        <v>952</v>
      </c>
      <c r="J60" s="64">
        <v>1012</v>
      </c>
      <c r="K60" s="64">
        <v>1115</v>
      </c>
      <c r="L60" s="64">
        <v>1190</v>
      </c>
      <c r="M60" s="64">
        <v>1216</v>
      </c>
      <c r="N60" s="64">
        <v>1222</v>
      </c>
      <c r="O60" s="64">
        <v>1205</v>
      </c>
      <c r="P60" s="64">
        <v>1163</v>
      </c>
      <c r="Q60" s="64">
        <v>1116</v>
      </c>
      <c r="R60" s="64">
        <v>1105</v>
      </c>
      <c r="S60" s="64">
        <v>1058</v>
      </c>
      <c r="T60" s="64">
        <v>1045</v>
      </c>
      <c r="U60" s="64">
        <v>988</v>
      </c>
      <c r="V60" s="64">
        <v>967</v>
      </c>
      <c r="W60" s="64">
        <v>927</v>
      </c>
      <c r="X60" s="64">
        <v>893</v>
      </c>
      <c r="Y60" s="64">
        <v>858</v>
      </c>
      <c r="Z60" s="64">
        <v>828</v>
      </c>
      <c r="AA60" s="64">
        <v>786</v>
      </c>
      <c r="AB60" s="64">
        <v>807</v>
      </c>
      <c r="AC60" s="64">
        <v>842</v>
      </c>
      <c r="AD60" s="64">
        <v>823</v>
      </c>
      <c r="AE60" s="145">
        <v>766</v>
      </c>
      <c r="AF60" s="10"/>
    </row>
    <row r="61" spans="1:32" ht="15" customHeight="1" x14ac:dyDescent="0.25">
      <c r="A61" s="146">
        <v>70</v>
      </c>
      <c r="B61" s="12" t="s">
        <v>77</v>
      </c>
      <c r="C61" s="65">
        <v>659</v>
      </c>
      <c r="D61" s="65">
        <v>660</v>
      </c>
      <c r="E61" s="65">
        <v>630</v>
      </c>
      <c r="F61" s="65">
        <v>619</v>
      </c>
      <c r="G61" s="65">
        <v>595</v>
      </c>
      <c r="H61" s="65">
        <v>555</v>
      </c>
      <c r="I61" s="65">
        <v>550</v>
      </c>
      <c r="J61" s="65">
        <v>575</v>
      </c>
      <c r="K61" s="65">
        <v>612</v>
      </c>
      <c r="L61" s="65">
        <v>634</v>
      </c>
      <c r="M61" s="65">
        <v>646</v>
      </c>
      <c r="N61" s="65">
        <v>636</v>
      </c>
      <c r="O61" s="65">
        <v>609</v>
      </c>
      <c r="P61" s="65">
        <v>575</v>
      </c>
      <c r="Q61" s="65">
        <v>543</v>
      </c>
      <c r="R61" s="65">
        <v>511</v>
      </c>
      <c r="S61" s="65">
        <v>466</v>
      </c>
      <c r="T61" s="65">
        <v>445</v>
      </c>
      <c r="U61" s="65">
        <v>416</v>
      </c>
      <c r="V61" s="65">
        <v>390</v>
      </c>
      <c r="W61" s="65">
        <v>373</v>
      </c>
      <c r="X61" s="65">
        <v>346</v>
      </c>
      <c r="Y61" s="65">
        <v>316</v>
      </c>
      <c r="Z61" s="65">
        <v>289</v>
      </c>
      <c r="AA61" s="65">
        <v>265</v>
      </c>
      <c r="AB61" s="65">
        <v>250</v>
      </c>
      <c r="AC61" s="65">
        <v>259</v>
      </c>
      <c r="AD61" s="65">
        <v>239</v>
      </c>
      <c r="AE61" s="147">
        <v>216</v>
      </c>
    </row>
    <row r="62" spans="1:32" ht="15" customHeight="1" x14ac:dyDescent="0.25">
      <c r="A62" s="156">
        <v>71</v>
      </c>
      <c r="B62" s="17" t="s">
        <v>78</v>
      </c>
      <c r="C62" s="70">
        <v>14</v>
      </c>
      <c r="D62" s="70">
        <v>15</v>
      </c>
      <c r="E62" s="70">
        <v>10</v>
      </c>
      <c r="F62" s="70">
        <v>9</v>
      </c>
      <c r="G62" s="70">
        <v>7</v>
      </c>
      <c r="H62" s="70">
        <v>9</v>
      </c>
      <c r="I62" s="70">
        <v>10</v>
      </c>
      <c r="J62" s="70">
        <v>11</v>
      </c>
      <c r="K62" s="70">
        <v>10</v>
      </c>
      <c r="L62" s="70">
        <v>11</v>
      </c>
      <c r="M62" s="70">
        <v>13</v>
      </c>
      <c r="N62" s="70">
        <v>11</v>
      </c>
      <c r="O62" s="70">
        <v>12</v>
      </c>
      <c r="P62" s="70">
        <v>13</v>
      </c>
      <c r="Q62" s="70" t="s">
        <v>383</v>
      </c>
      <c r="R62" s="70" t="s">
        <v>383</v>
      </c>
      <c r="S62" s="70">
        <v>8</v>
      </c>
      <c r="T62" s="70">
        <v>8</v>
      </c>
      <c r="U62" s="70">
        <v>8</v>
      </c>
      <c r="V62" s="70">
        <v>10</v>
      </c>
      <c r="W62" s="70">
        <v>8</v>
      </c>
      <c r="X62" s="70">
        <v>10</v>
      </c>
      <c r="Y62" s="70">
        <v>9</v>
      </c>
      <c r="Z62" s="70">
        <v>8</v>
      </c>
      <c r="AA62" s="70">
        <v>7</v>
      </c>
      <c r="AB62" s="70">
        <v>9</v>
      </c>
      <c r="AC62" s="70">
        <v>10</v>
      </c>
      <c r="AD62" s="70">
        <v>9</v>
      </c>
      <c r="AE62" s="157">
        <v>5</v>
      </c>
    </row>
    <row r="63" spans="1:32" ht="15" customHeight="1" x14ac:dyDescent="0.25">
      <c r="A63" s="156">
        <v>72</v>
      </c>
      <c r="B63" s="17" t="s">
        <v>79</v>
      </c>
      <c r="C63" s="70">
        <v>9</v>
      </c>
      <c r="D63" s="70">
        <v>7</v>
      </c>
      <c r="E63" s="70">
        <v>7</v>
      </c>
      <c r="F63" s="70">
        <v>8</v>
      </c>
      <c r="G63" s="70" t="s">
        <v>383</v>
      </c>
      <c r="H63" s="70" t="s">
        <v>383</v>
      </c>
      <c r="I63" s="70">
        <v>13</v>
      </c>
      <c r="J63" s="70">
        <v>17</v>
      </c>
      <c r="K63" s="70">
        <v>17</v>
      </c>
      <c r="L63" s="70">
        <v>22</v>
      </c>
      <c r="M63" s="70">
        <v>18</v>
      </c>
      <c r="N63" s="70">
        <v>22</v>
      </c>
      <c r="O63" s="70">
        <v>17</v>
      </c>
      <c r="P63" s="70" t="s">
        <v>383</v>
      </c>
      <c r="Q63" s="70" t="s">
        <v>383</v>
      </c>
      <c r="R63" s="70">
        <v>23</v>
      </c>
      <c r="S63" s="70">
        <v>24</v>
      </c>
      <c r="T63" s="70">
        <v>22</v>
      </c>
      <c r="U63" s="70">
        <v>23</v>
      </c>
      <c r="V63" s="70">
        <v>24</v>
      </c>
      <c r="W63" s="70">
        <v>23</v>
      </c>
      <c r="X63" s="70">
        <v>23</v>
      </c>
      <c r="Y63" s="70">
        <v>24</v>
      </c>
      <c r="Z63" s="70">
        <v>25</v>
      </c>
      <c r="AA63" s="70">
        <v>27</v>
      </c>
      <c r="AB63" s="70">
        <v>37</v>
      </c>
      <c r="AC63" s="70">
        <v>37</v>
      </c>
      <c r="AD63" s="70">
        <v>38</v>
      </c>
      <c r="AE63" s="157">
        <v>41</v>
      </c>
    </row>
    <row r="64" spans="1:32" ht="15" customHeight="1" x14ac:dyDescent="0.25">
      <c r="A64" s="156">
        <v>73</v>
      </c>
      <c r="B64" s="17" t="s">
        <v>80</v>
      </c>
      <c r="C64" s="70" t="s">
        <v>383</v>
      </c>
      <c r="D64" s="70" t="s">
        <v>383</v>
      </c>
      <c r="E64" s="70" t="s">
        <v>383</v>
      </c>
      <c r="F64" s="70" t="s">
        <v>383</v>
      </c>
      <c r="G64" s="70" t="s">
        <v>383</v>
      </c>
      <c r="H64" s="70" t="s">
        <v>383</v>
      </c>
      <c r="I64" s="70">
        <v>4</v>
      </c>
      <c r="J64" s="70">
        <v>4</v>
      </c>
      <c r="K64" s="70">
        <v>4</v>
      </c>
      <c r="L64" s="70">
        <v>5</v>
      </c>
      <c r="M64" s="70">
        <v>4</v>
      </c>
      <c r="N64" s="70">
        <v>4</v>
      </c>
      <c r="O64" s="70">
        <v>4</v>
      </c>
      <c r="P64" s="70" t="s">
        <v>383</v>
      </c>
      <c r="Q64" s="70" t="s">
        <v>383</v>
      </c>
      <c r="R64" s="70" t="s">
        <v>383</v>
      </c>
      <c r="S64" s="70">
        <v>5</v>
      </c>
      <c r="T64" s="70">
        <v>5</v>
      </c>
      <c r="U64" s="70">
        <v>5</v>
      </c>
      <c r="V64" s="70">
        <v>6</v>
      </c>
      <c r="W64" s="70">
        <v>5</v>
      </c>
      <c r="X64" s="70">
        <v>5</v>
      </c>
      <c r="Y64" s="70">
        <v>7</v>
      </c>
      <c r="Z64" s="70">
        <v>6</v>
      </c>
      <c r="AA64" s="70">
        <v>6</v>
      </c>
      <c r="AB64" s="70">
        <v>8</v>
      </c>
      <c r="AC64" s="70">
        <v>8</v>
      </c>
      <c r="AD64" s="70" t="s">
        <v>383</v>
      </c>
      <c r="AE64" s="157">
        <v>7</v>
      </c>
    </row>
    <row r="65" spans="1:32" ht="15" customHeight="1" x14ac:dyDescent="0.25">
      <c r="A65" s="156">
        <v>74</v>
      </c>
      <c r="B65" s="17" t="s">
        <v>81</v>
      </c>
      <c r="C65" s="70">
        <v>395</v>
      </c>
      <c r="D65" s="70">
        <v>403</v>
      </c>
      <c r="E65" s="70">
        <v>392</v>
      </c>
      <c r="F65" s="70">
        <v>390</v>
      </c>
      <c r="G65" s="70">
        <v>386</v>
      </c>
      <c r="H65" s="70">
        <v>398</v>
      </c>
      <c r="I65" s="70">
        <v>371</v>
      </c>
      <c r="J65" s="70">
        <v>398</v>
      </c>
      <c r="K65" s="70">
        <v>466</v>
      </c>
      <c r="L65" s="70">
        <v>507</v>
      </c>
      <c r="M65" s="70">
        <v>525</v>
      </c>
      <c r="N65" s="70">
        <v>540</v>
      </c>
      <c r="O65" s="70">
        <v>555</v>
      </c>
      <c r="P65" s="70">
        <v>550</v>
      </c>
      <c r="Q65" s="70">
        <v>533</v>
      </c>
      <c r="R65" s="70">
        <v>547</v>
      </c>
      <c r="S65" s="70">
        <v>545</v>
      </c>
      <c r="T65" s="70">
        <v>555</v>
      </c>
      <c r="U65" s="70">
        <v>524</v>
      </c>
      <c r="V65" s="70">
        <v>530</v>
      </c>
      <c r="W65" s="70">
        <v>512</v>
      </c>
      <c r="X65" s="70">
        <v>503</v>
      </c>
      <c r="Y65" s="70">
        <v>498</v>
      </c>
      <c r="Z65" s="70">
        <v>496</v>
      </c>
      <c r="AA65" s="70">
        <v>477</v>
      </c>
      <c r="AB65" s="70">
        <v>498</v>
      </c>
      <c r="AC65" s="70">
        <v>523</v>
      </c>
      <c r="AD65" s="70">
        <v>529</v>
      </c>
      <c r="AE65" s="157">
        <v>492</v>
      </c>
    </row>
    <row r="66" spans="1:32" ht="15" customHeight="1" thickBot="1" x14ac:dyDescent="0.3">
      <c r="A66" s="158">
        <v>75</v>
      </c>
      <c r="B66" s="18" t="s">
        <v>185</v>
      </c>
      <c r="C66" s="71" t="s">
        <v>383</v>
      </c>
      <c r="D66" s="71" t="s">
        <v>383</v>
      </c>
      <c r="E66" s="71" t="s">
        <v>383</v>
      </c>
      <c r="F66" s="71" t="s">
        <v>383</v>
      </c>
      <c r="G66" s="71">
        <v>5</v>
      </c>
      <c r="H66" s="71">
        <v>5</v>
      </c>
      <c r="I66" s="71">
        <v>4</v>
      </c>
      <c r="J66" s="71">
        <v>7</v>
      </c>
      <c r="K66" s="71">
        <v>6</v>
      </c>
      <c r="L66" s="71">
        <v>11</v>
      </c>
      <c r="M66" s="71">
        <v>10</v>
      </c>
      <c r="N66" s="71">
        <v>9</v>
      </c>
      <c r="O66" s="71">
        <v>8</v>
      </c>
      <c r="P66" s="71">
        <v>6</v>
      </c>
      <c r="Q66" s="71">
        <v>7</v>
      </c>
      <c r="R66" s="71">
        <v>9</v>
      </c>
      <c r="S66" s="71">
        <v>10</v>
      </c>
      <c r="T66" s="71">
        <v>10</v>
      </c>
      <c r="U66" s="71">
        <v>12</v>
      </c>
      <c r="V66" s="71">
        <v>7</v>
      </c>
      <c r="W66" s="71">
        <v>6</v>
      </c>
      <c r="X66" s="71">
        <v>6</v>
      </c>
      <c r="Y66" s="71">
        <v>4</v>
      </c>
      <c r="Z66" s="71">
        <v>4</v>
      </c>
      <c r="AA66" s="71">
        <v>4</v>
      </c>
      <c r="AB66" s="71">
        <v>5</v>
      </c>
      <c r="AC66" s="71">
        <v>5</v>
      </c>
      <c r="AD66" s="71" t="s">
        <v>383</v>
      </c>
      <c r="AE66" s="159">
        <v>5</v>
      </c>
    </row>
    <row r="67" spans="1:32" s="11" customFormat="1" ht="15" customHeight="1" thickBot="1" x14ac:dyDescent="0.3">
      <c r="A67" s="160" t="s">
        <v>83</v>
      </c>
      <c r="B67" s="19" t="s">
        <v>84</v>
      </c>
      <c r="C67" s="64">
        <v>70</v>
      </c>
      <c r="D67" s="64">
        <v>76</v>
      </c>
      <c r="E67" s="64">
        <v>89</v>
      </c>
      <c r="F67" s="64">
        <v>85</v>
      </c>
      <c r="G67" s="64">
        <v>57</v>
      </c>
      <c r="H67" s="64">
        <v>61</v>
      </c>
      <c r="I67" s="64">
        <v>57</v>
      </c>
      <c r="J67" s="64">
        <v>60</v>
      </c>
      <c r="K67" s="64">
        <v>60</v>
      </c>
      <c r="L67" s="64">
        <v>65</v>
      </c>
      <c r="M67" s="64">
        <v>66</v>
      </c>
      <c r="N67" s="64">
        <v>69</v>
      </c>
      <c r="O67" s="64">
        <v>72</v>
      </c>
      <c r="P67" s="64">
        <v>71</v>
      </c>
      <c r="Q67" s="64">
        <v>75</v>
      </c>
      <c r="R67" s="64">
        <v>68</v>
      </c>
      <c r="S67" s="64">
        <v>70</v>
      </c>
      <c r="T67" s="64">
        <v>70</v>
      </c>
      <c r="U67" s="64">
        <v>78</v>
      </c>
      <c r="V67" s="64">
        <v>78</v>
      </c>
      <c r="W67" s="64">
        <v>74</v>
      </c>
      <c r="X67" s="64">
        <v>76</v>
      </c>
      <c r="Y67" s="64">
        <v>72</v>
      </c>
      <c r="Z67" s="64">
        <v>65</v>
      </c>
      <c r="AA67" s="64">
        <v>63</v>
      </c>
      <c r="AB67" s="64">
        <v>59</v>
      </c>
      <c r="AC67" s="64">
        <v>62</v>
      </c>
      <c r="AD67" s="64">
        <v>63</v>
      </c>
      <c r="AE67" s="145">
        <v>62</v>
      </c>
      <c r="AF67" s="10"/>
    </row>
    <row r="68" spans="1:32" ht="15" customHeight="1" thickBot="1" x14ac:dyDescent="0.3">
      <c r="A68" s="150">
        <v>80</v>
      </c>
      <c r="B68" s="14" t="s">
        <v>85</v>
      </c>
      <c r="C68" s="70">
        <v>70</v>
      </c>
      <c r="D68" s="67">
        <v>76</v>
      </c>
      <c r="E68" s="67">
        <v>89</v>
      </c>
      <c r="F68" s="67">
        <v>85</v>
      </c>
      <c r="G68" s="67">
        <v>57</v>
      </c>
      <c r="H68" s="67">
        <v>61</v>
      </c>
      <c r="I68" s="67">
        <v>57</v>
      </c>
      <c r="J68" s="67">
        <v>60</v>
      </c>
      <c r="K68" s="67">
        <v>60</v>
      </c>
      <c r="L68" s="67">
        <v>65</v>
      </c>
      <c r="M68" s="67">
        <v>66</v>
      </c>
      <c r="N68" s="67">
        <v>69</v>
      </c>
      <c r="O68" s="67">
        <v>72</v>
      </c>
      <c r="P68" s="67">
        <v>71</v>
      </c>
      <c r="Q68" s="67">
        <v>75</v>
      </c>
      <c r="R68" s="67">
        <v>68</v>
      </c>
      <c r="S68" s="67">
        <v>70</v>
      </c>
      <c r="T68" s="67">
        <v>70</v>
      </c>
      <c r="U68" s="67">
        <v>78</v>
      </c>
      <c r="V68" s="67">
        <v>78</v>
      </c>
      <c r="W68" s="67">
        <v>74</v>
      </c>
      <c r="X68" s="67">
        <v>76</v>
      </c>
      <c r="Y68" s="67">
        <v>72</v>
      </c>
      <c r="Z68" s="67">
        <v>65</v>
      </c>
      <c r="AA68" s="67">
        <v>63</v>
      </c>
      <c r="AB68" s="67">
        <v>59</v>
      </c>
      <c r="AC68" s="67">
        <v>62</v>
      </c>
      <c r="AD68" s="67">
        <v>63</v>
      </c>
      <c r="AE68" s="151">
        <v>62</v>
      </c>
    </row>
    <row r="69" spans="1:32" s="11" customFormat="1" ht="15" customHeight="1" thickBot="1" x14ac:dyDescent="0.3">
      <c r="A69" s="144" t="s">
        <v>86</v>
      </c>
      <c r="B69" s="9" t="s">
        <v>87</v>
      </c>
      <c r="C69" s="64">
        <v>223</v>
      </c>
      <c r="D69" s="64">
        <v>239</v>
      </c>
      <c r="E69" s="64">
        <v>234</v>
      </c>
      <c r="F69" s="64">
        <v>219</v>
      </c>
      <c r="G69" s="64">
        <v>219</v>
      </c>
      <c r="H69" s="64">
        <v>216</v>
      </c>
      <c r="I69" s="64">
        <v>221</v>
      </c>
      <c r="J69" s="64">
        <v>220</v>
      </c>
      <c r="K69" s="64">
        <v>241</v>
      </c>
      <c r="L69" s="64">
        <v>250</v>
      </c>
      <c r="M69" s="64">
        <v>267</v>
      </c>
      <c r="N69" s="64">
        <v>294</v>
      </c>
      <c r="O69" s="64">
        <v>307</v>
      </c>
      <c r="P69" s="64">
        <v>321</v>
      </c>
      <c r="Q69" s="64">
        <v>330</v>
      </c>
      <c r="R69" s="64">
        <v>341</v>
      </c>
      <c r="S69" s="64">
        <v>350</v>
      </c>
      <c r="T69" s="64">
        <v>355</v>
      </c>
      <c r="U69" s="64">
        <v>350</v>
      </c>
      <c r="V69" s="64">
        <v>352</v>
      </c>
      <c r="W69" s="64">
        <v>360</v>
      </c>
      <c r="X69" s="64">
        <v>373</v>
      </c>
      <c r="Y69" s="64">
        <v>359</v>
      </c>
      <c r="Z69" s="64">
        <v>363</v>
      </c>
      <c r="AA69" s="64">
        <v>346</v>
      </c>
      <c r="AB69" s="64">
        <v>335</v>
      </c>
      <c r="AC69" s="64">
        <v>349</v>
      </c>
      <c r="AD69" s="64">
        <v>369</v>
      </c>
      <c r="AE69" s="145">
        <v>375</v>
      </c>
      <c r="AF69" s="10"/>
    </row>
    <row r="70" spans="1:32" ht="15" customHeight="1" thickBot="1" x14ac:dyDescent="0.3">
      <c r="A70" s="150">
        <v>85</v>
      </c>
      <c r="B70" s="14" t="s">
        <v>88</v>
      </c>
      <c r="C70" s="67">
        <v>223</v>
      </c>
      <c r="D70" s="67">
        <v>239</v>
      </c>
      <c r="E70" s="67">
        <v>234</v>
      </c>
      <c r="F70" s="67">
        <v>219</v>
      </c>
      <c r="G70" s="67">
        <v>219</v>
      </c>
      <c r="H70" s="67">
        <v>216</v>
      </c>
      <c r="I70" s="67">
        <v>221</v>
      </c>
      <c r="J70" s="67">
        <v>220</v>
      </c>
      <c r="K70" s="67">
        <v>241</v>
      </c>
      <c r="L70" s="67">
        <v>250</v>
      </c>
      <c r="M70" s="67">
        <v>267</v>
      </c>
      <c r="N70" s="67">
        <v>294</v>
      </c>
      <c r="O70" s="67">
        <v>307</v>
      </c>
      <c r="P70" s="67">
        <v>321</v>
      </c>
      <c r="Q70" s="67">
        <v>330</v>
      </c>
      <c r="R70" s="67">
        <v>341</v>
      </c>
      <c r="S70" s="67">
        <v>350</v>
      </c>
      <c r="T70" s="67">
        <v>355</v>
      </c>
      <c r="U70" s="67">
        <v>350</v>
      </c>
      <c r="V70" s="67">
        <v>352</v>
      </c>
      <c r="W70" s="67">
        <v>360</v>
      </c>
      <c r="X70" s="67">
        <v>373</v>
      </c>
      <c r="Y70" s="67">
        <v>359</v>
      </c>
      <c r="Z70" s="67">
        <v>363</v>
      </c>
      <c r="AA70" s="67">
        <v>346</v>
      </c>
      <c r="AB70" s="67">
        <v>335</v>
      </c>
      <c r="AC70" s="67">
        <v>349</v>
      </c>
      <c r="AD70" s="67">
        <v>369</v>
      </c>
      <c r="AE70" s="151">
        <v>375</v>
      </c>
    </row>
    <row r="71" spans="1:32" s="11" customFormat="1" ht="15" customHeight="1" thickBot="1" x14ac:dyDescent="0.3">
      <c r="A71" s="144" t="s">
        <v>89</v>
      </c>
      <c r="B71" s="9" t="s">
        <v>90</v>
      </c>
      <c r="C71" s="64">
        <v>415</v>
      </c>
      <c r="D71" s="64">
        <v>425</v>
      </c>
      <c r="E71" s="64">
        <v>431</v>
      </c>
      <c r="F71" s="64">
        <v>402</v>
      </c>
      <c r="G71" s="64">
        <v>393</v>
      </c>
      <c r="H71" s="64">
        <v>392</v>
      </c>
      <c r="I71" s="64">
        <v>366</v>
      </c>
      <c r="J71" s="64">
        <v>387</v>
      </c>
      <c r="K71" s="64">
        <v>460</v>
      </c>
      <c r="L71" s="64">
        <v>504</v>
      </c>
      <c r="M71" s="64">
        <v>516</v>
      </c>
      <c r="N71" s="64">
        <v>540</v>
      </c>
      <c r="O71" s="64">
        <v>535</v>
      </c>
      <c r="P71" s="64">
        <v>541</v>
      </c>
      <c r="Q71" s="64">
        <v>538</v>
      </c>
      <c r="R71" s="64">
        <v>533</v>
      </c>
      <c r="S71" s="64">
        <v>513</v>
      </c>
      <c r="T71" s="64">
        <v>484</v>
      </c>
      <c r="U71" s="64">
        <v>477</v>
      </c>
      <c r="V71" s="64">
        <v>480</v>
      </c>
      <c r="W71" s="64">
        <v>477</v>
      </c>
      <c r="X71" s="64">
        <v>462</v>
      </c>
      <c r="Y71" s="64">
        <v>446</v>
      </c>
      <c r="Z71" s="64">
        <v>435</v>
      </c>
      <c r="AA71" s="64">
        <v>413</v>
      </c>
      <c r="AB71" s="64">
        <v>408</v>
      </c>
      <c r="AC71" s="64">
        <v>430</v>
      </c>
      <c r="AD71" s="64">
        <v>425</v>
      </c>
      <c r="AE71" s="145">
        <v>396</v>
      </c>
      <c r="AF71" s="10"/>
    </row>
    <row r="72" spans="1:32" ht="15" customHeight="1" x14ac:dyDescent="0.25">
      <c r="A72" s="146">
        <v>90</v>
      </c>
      <c r="B72" s="12" t="s">
        <v>91</v>
      </c>
      <c r="C72" s="65">
        <v>6</v>
      </c>
      <c r="D72" s="65">
        <v>9</v>
      </c>
      <c r="E72" s="65">
        <v>8</v>
      </c>
      <c r="F72" s="65">
        <v>5</v>
      </c>
      <c r="G72" s="65">
        <v>5</v>
      </c>
      <c r="H72" s="65">
        <v>4</v>
      </c>
      <c r="I72" s="65" t="s">
        <v>383</v>
      </c>
      <c r="J72" s="65" t="s">
        <v>383</v>
      </c>
      <c r="K72" s="65">
        <v>5</v>
      </c>
      <c r="L72" s="65">
        <v>5</v>
      </c>
      <c r="M72" s="65">
        <v>5</v>
      </c>
      <c r="N72" s="65">
        <v>4</v>
      </c>
      <c r="O72" s="65" t="s">
        <v>383</v>
      </c>
      <c r="P72" s="65">
        <v>5</v>
      </c>
      <c r="Q72" s="65">
        <v>4</v>
      </c>
      <c r="R72" s="65">
        <v>5</v>
      </c>
      <c r="S72" s="65">
        <v>4</v>
      </c>
      <c r="T72" s="65">
        <v>5</v>
      </c>
      <c r="U72" s="65">
        <v>6</v>
      </c>
      <c r="V72" s="65">
        <v>4</v>
      </c>
      <c r="W72" s="65">
        <v>5</v>
      </c>
      <c r="X72" s="65">
        <v>4</v>
      </c>
      <c r="Y72" s="65">
        <v>6</v>
      </c>
      <c r="Z72" s="65">
        <v>4</v>
      </c>
      <c r="AA72" s="65">
        <v>4</v>
      </c>
      <c r="AB72" s="65">
        <v>5</v>
      </c>
      <c r="AC72" s="65">
        <v>5</v>
      </c>
      <c r="AD72" s="65">
        <v>6</v>
      </c>
      <c r="AE72" s="147">
        <v>5</v>
      </c>
    </row>
    <row r="73" spans="1:32" ht="15" customHeight="1" x14ac:dyDescent="0.25">
      <c r="A73" s="156">
        <v>91</v>
      </c>
      <c r="B73" s="17" t="s">
        <v>92</v>
      </c>
      <c r="C73" s="70">
        <v>170</v>
      </c>
      <c r="D73" s="70">
        <v>172</v>
      </c>
      <c r="E73" s="70">
        <v>179</v>
      </c>
      <c r="F73" s="70">
        <v>175</v>
      </c>
      <c r="G73" s="70">
        <v>165</v>
      </c>
      <c r="H73" s="70">
        <v>166</v>
      </c>
      <c r="I73" s="70">
        <v>165</v>
      </c>
      <c r="J73" s="70">
        <v>160</v>
      </c>
      <c r="K73" s="70">
        <v>173</v>
      </c>
      <c r="L73" s="70">
        <v>184</v>
      </c>
      <c r="M73" s="70">
        <v>191</v>
      </c>
      <c r="N73" s="70">
        <v>198</v>
      </c>
      <c r="O73" s="70">
        <v>206</v>
      </c>
      <c r="P73" s="70">
        <v>207</v>
      </c>
      <c r="Q73" s="70">
        <v>214</v>
      </c>
      <c r="R73" s="70">
        <v>214</v>
      </c>
      <c r="S73" s="70">
        <v>214</v>
      </c>
      <c r="T73" s="70">
        <v>215</v>
      </c>
      <c r="U73" s="70">
        <v>213</v>
      </c>
      <c r="V73" s="70">
        <v>216</v>
      </c>
      <c r="W73" s="70">
        <v>223</v>
      </c>
      <c r="X73" s="70">
        <v>222</v>
      </c>
      <c r="Y73" s="70">
        <v>224</v>
      </c>
      <c r="Z73" s="70">
        <v>216</v>
      </c>
      <c r="AA73" s="70">
        <v>213</v>
      </c>
      <c r="AB73" s="70">
        <v>210</v>
      </c>
      <c r="AC73" s="70">
        <v>218</v>
      </c>
      <c r="AD73" s="70">
        <v>207</v>
      </c>
      <c r="AE73" s="157">
        <v>202</v>
      </c>
    </row>
    <row r="74" spans="1:32" ht="15" customHeight="1" x14ac:dyDescent="0.25">
      <c r="A74" s="156">
        <v>92</v>
      </c>
      <c r="B74" s="17" t="s">
        <v>93</v>
      </c>
      <c r="C74" s="70">
        <v>78</v>
      </c>
      <c r="D74" s="70">
        <v>89</v>
      </c>
      <c r="E74" s="70">
        <v>90</v>
      </c>
      <c r="F74" s="70">
        <v>89</v>
      </c>
      <c r="G74" s="70">
        <v>85</v>
      </c>
      <c r="H74" s="70">
        <v>84</v>
      </c>
      <c r="I74" s="70">
        <v>80</v>
      </c>
      <c r="J74" s="70">
        <v>82</v>
      </c>
      <c r="K74" s="70">
        <v>92</v>
      </c>
      <c r="L74" s="70">
        <v>98</v>
      </c>
      <c r="M74" s="70">
        <v>115</v>
      </c>
      <c r="N74" s="70">
        <v>126</v>
      </c>
      <c r="O74" s="70">
        <v>134</v>
      </c>
      <c r="P74" s="70">
        <v>139</v>
      </c>
      <c r="Q74" s="70">
        <v>140</v>
      </c>
      <c r="R74" s="70">
        <v>140</v>
      </c>
      <c r="S74" s="70">
        <v>137</v>
      </c>
      <c r="T74" s="70">
        <v>137</v>
      </c>
      <c r="U74" s="70">
        <v>137</v>
      </c>
      <c r="V74" s="70">
        <v>138</v>
      </c>
      <c r="W74" s="70">
        <v>138</v>
      </c>
      <c r="X74" s="70">
        <v>131</v>
      </c>
      <c r="Y74" s="70">
        <v>122</v>
      </c>
      <c r="Z74" s="70">
        <v>119</v>
      </c>
      <c r="AA74" s="70">
        <v>110</v>
      </c>
      <c r="AB74" s="70">
        <v>110</v>
      </c>
      <c r="AC74" s="70">
        <v>117</v>
      </c>
      <c r="AD74" s="70">
        <v>116</v>
      </c>
      <c r="AE74" s="157">
        <v>101</v>
      </c>
    </row>
    <row r="75" spans="1:32" ht="15" customHeight="1" thickBot="1" x14ac:dyDescent="0.3">
      <c r="A75" s="158">
        <v>93</v>
      </c>
      <c r="B75" s="18" t="s">
        <v>94</v>
      </c>
      <c r="C75" s="76">
        <v>161</v>
      </c>
      <c r="D75" s="76">
        <v>155</v>
      </c>
      <c r="E75" s="76">
        <v>154</v>
      </c>
      <c r="F75" s="76">
        <v>133</v>
      </c>
      <c r="G75" s="76">
        <v>138</v>
      </c>
      <c r="H75" s="76">
        <v>138</v>
      </c>
      <c r="I75" s="76" t="s">
        <v>383</v>
      </c>
      <c r="J75" s="76" t="s">
        <v>383</v>
      </c>
      <c r="K75" s="76">
        <v>190</v>
      </c>
      <c r="L75" s="76">
        <v>217</v>
      </c>
      <c r="M75" s="76">
        <v>205</v>
      </c>
      <c r="N75" s="76">
        <v>212</v>
      </c>
      <c r="O75" s="76" t="s">
        <v>383</v>
      </c>
      <c r="P75" s="76">
        <v>190</v>
      </c>
      <c r="Q75" s="76">
        <v>180</v>
      </c>
      <c r="R75" s="76">
        <v>174</v>
      </c>
      <c r="S75" s="76">
        <v>158</v>
      </c>
      <c r="T75" s="76">
        <v>127</v>
      </c>
      <c r="U75" s="76">
        <v>121</v>
      </c>
      <c r="V75" s="76">
        <v>122</v>
      </c>
      <c r="W75" s="76">
        <v>111</v>
      </c>
      <c r="X75" s="76">
        <v>105</v>
      </c>
      <c r="Y75" s="76">
        <v>94</v>
      </c>
      <c r="Z75" s="76">
        <v>96</v>
      </c>
      <c r="AA75" s="76">
        <v>86</v>
      </c>
      <c r="AB75" s="76">
        <v>83</v>
      </c>
      <c r="AC75" s="76">
        <v>90</v>
      </c>
      <c r="AD75" s="76">
        <v>96</v>
      </c>
      <c r="AE75" s="165">
        <v>88</v>
      </c>
    </row>
    <row r="76" spans="1:32" s="23" customFormat="1" ht="15" customHeight="1" thickBot="1" x14ac:dyDescent="0.3">
      <c r="A76" s="166"/>
      <c r="B76" s="167" t="s">
        <v>95</v>
      </c>
      <c r="C76" s="168">
        <v>6059</v>
      </c>
      <c r="D76" s="168">
        <v>6046</v>
      </c>
      <c r="E76" s="168">
        <v>5924</v>
      </c>
      <c r="F76" s="168">
        <v>5738</v>
      </c>
      <c r="G76" s="168">
        <v>5523</v>
      </c>
      <c r="H76" s="168">
        <v>5402</v>
      </c>
      <c r="I76" s="168">
        <v>5249</v>
      </c>
      <c r="J76" s="168">
        <v>5598</v>
      </c>
      <c r="K76" s="168">
        <v>6212</v>
      </c>
      <c r="L76" s="168">
        <v>6736</v>
      </c>
      <c r="M76" s="168">
        <v>7053</v>
      </c>
      <c r="N76" s="168">
        <v>7333</v>
      </c>
      <c r="O76" s="168">
        <v>7435</v>
      </c>
      <c r="P76" s="168">
        <v>7191</v>
      </c>
      <c r="Q76" s="168">
        <v>7150</v>
      </c>
      <c r="R76" s="168">
        <v>7312</v>
      </c>
      <c r="S76" s="168">
        <v>7310</v>
      </c>
      <c r="T76" s="168">
        <v>7299</v>
      </c>
      <c r="U76" s="168">
        <v>7116</v>
      </c>
      <c r="V76" s="168">
        <v>7079</v>
      </c>
      <c r="W76" s="168">
        <v>7158</v>
      </c>
      <c r="X76" s="168">
        <v>7160</v>
      </c>
      <c r="Y76" s="168">
        <v>7065</v>
      </c>
      <c r="Z76" s="168">
        <v>6941</v>
      </c>
      <c r="AA76" s="168">
        <v>6703</v>
      </c>
      <c r="AB76" s="168">
        <v>6779</v>
      </c>
      <c r="AC76" s="168">
        <v>7176</v>
      </c>
      <c r="AD76" s="168">
        <v>7182</v>
      </c>
      <c r="AE76" s="169">
        <v>6912</v>
      </c>
      <c r="AF76" s="22"/>
    </row>
    <row r="77" spans="1:32" ht="12" customHeight="1" x14ac:dyDescent="0.25">
      <c r="A77" s="7"/>
      <c r="B77" s="7"/>
      <c r="C77" s="7"/>
      <c r="D77" s="7"/>
      <c r="E77" s="24"/>
      <c r="F77" s="7"/>
      <c r="G77" s="25"/>
      <c r="H77" s="7"/>
      <c r="I77" s="7"/>
      <c r="J77" s="7"/>
      <c r="K77" s="7"/>
      <c r="L77" s="7"/>
      <c r="M77" s="7"/>
      <c r="N77" s="7"/>
      <c r="O77" s="7"/>
      <c r="P77" s="7"/>
      <c r="Q77" s="7"/>
      <c r="R77" s="7"/>
      <c r="S77" s="7"/>
      <c r="T77" s="7"/>
      <c r="U77" s="7"/>
      <c r="V77" s="7"/>
      <c r="W77" s="7"/>
      <c r="X77" s="7"/>
      <c r="Y77" s="7"/>
      <c r="Z77" s="7"/>
      <c r="AA77" s="7"/>
      <c r="AB77" s="7"/>
      <c r="AC77" s="7"/>
      <c r="AD77" s="7"/>
      <c r="AE77" s="7"/>
    </row>
    <row r="78" spans="1:32" ht="11.25" x14ac:dyDescent="0.25">
      <c r="A78" s="307" t="s">
        <v>96</v>
      </c>
      <c r="B78" s="307"/>
      <c r="C78" s="277"/>
      <c r="D78" s="277"/>
      <c r="E78" s="277"/>
      <c r="F78" s="26"/>
      <c r="G78" s="26"/>
      <c r="H78" s="7"/>
      <c r="I78" s="7"/>
      <c r="J78" s="7"/>
      <c r="K78" s="7"/>
      <c r="L78" s="7"/>
      <c r="M78" s="7"/>
      <c r="N78" s="7"/>
      <c r="O78" s="7"/>
      <c r="P78" s="7"/>
      <c r="Q78" s="7"/>
      <c r="R78" s="7"/>
      <c r="S78" s="7"/>
      <c r="T78" s="7"/>
      <c r="U78" s="7"/>
      <c r="V78" s="7"/>
      <c r="W78" s="7"/>
      <c r="X78" s="7"/>
      <c r="Y78" s="7"/>
      <c r="Z78" s="7"/>
      <c r="AA78" s="7"/>
      <c r="AB78" s="7"/>
      <c r="AC78" s="7"/>
      <c r="AD78" s="7"/>
      <c r="AE78" s="7"/>
    </row>
    <row r="79" spans="1:32" ht="26.45" customHeight="1" x14ac:dyDescent="0.25">
      <c r="A79" s="307" t="s">
        <v>381</v>
      </c>
      <c r="B79" s="307"/>
      <c r="C79" s="307"/>
      <c r="D79" s="277"/>
      <c r="E79" s="277"/>
      <c r="F79" s="277"/>
      <c r="G79" s="277"/>
      <c r="H79" s="27"/>
      <c r="I79" s="27"/>
      <c r="J79" s="27"/>
      <c r="K79" s="27"/>
      <c r="L79" s="7"/>
      <c r="M79" s="7"/>
      <c r="N79" s="7"/>
      <c r="O79" s="7"/>
      <c r="P79" s="7"/>
      <c r="Q79" s="7"/>
      <c r="R79" s="7"/>
      <c r="S79" s="7"/>
      <c r="T79" s="7"/>
      <c r="U79" s="7"/>
      <c r="V79" s="7"/>
      <c r="W79" s="7"/>
      <c r="X79" s="7"/>
      <c r="Y79" s="7"/>
      <c r="Z79" s="7"/>
      <c r="AA79" s="7"/>
      <c r="AB79" s="7"/>
      <c r="AC79" s="7"/>
      <c r="AD79" s="7"/>
      <c r="AE79" s="7"/>
    </row>
    <row r="80" spans="1:32" ht="26.45" customHeight="1" x14ac:dyDescent="0.25">
      <c r="A80" s="307" t="s">
        <v>382</v>
      </c>
      <c r="B80" s="307"/>
      <c r="C80" s="307"/>
      <c r="D80" s="277"/>
      <c r="E80" s="277"/>
      <c r="F80" s="277"/>
      <c r="G80" s="277"/>
      <c r="H80" s="27"/>
      <c r="I80" s="27"/>
      <c r="J80" s="27"/>
      <c r="K80" s="27"/>
      <c r="L80" s="7"/>
      <c r="M80" s="7"/>
      <c r="N80" s="7"/>
      <c r="O80" s="7"/>
      <c r="P80" s="7"/>
      <c r="Q80" s="7"/>
      <c r="R80" s="7"/>
      <c r="S80" s="7"/>
      <c r="T80" s="7"/>
      <c r="U80" s="7"/>
      <c r="V80" s="7"/>
      <c r="W80" s="7"/>
      <c r="X80" s="7"/>
      <c r="Y80" s="7"/>
      <c r="Z80" s="7"/>
      <c r="AA80" s="7"/>
      <c r="AB80" s="7"/>
      <c r="AC80" s="7"/>
      <c r="AD80" s="7"/>
      <c r="AE80" s="7"/>
    </row>
    <row r="81" spans="1:31" ht="26.45" customHeight="1" x14ac:dyDescent="0.25">
      <c r="A81" s="307" t="s">
        <v>151</v>
      </c>
      <c r="B81" s="307"/>
      <c r="C81" s="307"/>
      <c r="D81" s="277"/>
      <c r="E81" s="277"/>
      <c r="F81" s="277"/>
      <c r="G81" s="277"/>
      <c r="H81" s="27"/>
      <c r="I81" s="27"/>
      <c r="J81" s="27"/>
      <c r="K81" s="27"/>
      <c r="L81" s="7"/>
      <c r="M81" s="7"/>
      <c r="N81" s="7"/>
      <c r="O81" s="7"/>
      <c r="P81" s="7"/>
      <c r="Q81" s="7"/>
      <c r="R81" s="7"/>
      <c r="S81" s="7"/>
      <c r="T81" s="7"/>
      <c r="U81" s="7"/>
      <c r="V81" s="7"/>
      <c r="W81" s="7"/>
      <c r="X81" s="7"/>
      <c r="Y81" s="7"/>
      <c r="Z81" s="7"/>
      <c r="AA81" s="7"/>
      <c r="AB81" s="7"/>
      <c r="AC81" s="7"/>
      <c r="AD81" s="7"/>
      <c r="AE81" s="7"/>
    </row>
    <row r="82" spans="1:31" s="29" customFormat="1" ht="46.5" customHeight="1" x14ac:dyDescent="0.25">
      <c r="A82" s="307" t="s">
        <v>384</v>
      </c>
      <c r="B82" s="307"/>
      <c r="C82" s="307"/>
      <c r="D82" s="307"/>
      <c r="E82" s="307"/>
      <c r="F82" s="307"/>
      <c r="G82" s="307"/>
      <c r="H82" s="28"/>
      <c r="I82" s="28"/>
      <c r="J82" s="28"/>
    </row>
    <row r="83" spans="1:31" ht="19.899999999999999" customHeight="1" x14ac:dyDescent="0.25">
      <c r="A83" s="276"/>
      <c r="B83" s="276"/>
      <c r="C83" s="276"/>
      <c r="D83" s="276"/>
      <c r="E83" s="276"/>
      <c r="F83" s="276"/>
      <c r="G83" s="276"/>
      <c r="H83" s="28"/>
      <c r="I83" s="28"/>
      <c r="J83" s="28"/>
      <c r="K83" s="7"/>
      <c r="L83" s="7"/>
      <c r="M83" s="7"/>
      <c r="N83" s="7"/>
      <c r="O83" s="7"/>
      <c r="P83" s="7"/>
      <c r="Q83" s="7"/>
      <c r="R83" s="7"/>
      <c r="S83" s="7"/>
      <c r="T83" s="7"/>
      <c r="U83" s="7"/>
      <c r="V83" s="7"/>
      <c r="W83" s="7"/>
      <c r="X83" s="7"/>
      <c r="Y83" s="7"/>
      <c r="Z83" s="7"/>
      <c r="AA83" s="7"/>
      <c r="AB83" s="7"/>
      <c r="AC83" s="7"/>
      <c r="AD83" s="7"/>
      <c r="AE83" s="7"/>
    </row>
    <row r="84" spans="1:31" ht="6.75" customHeight="1" x14ac:dyDescent="0.25">
      <c r="A84" s="7"/>
      <c r="B84" s="7"/>
      <c r="C84" s="7"/>
      <c r="D84" s="7"/>
      <c r="E84" s="7"/>
      <c r="F84" s="7"/>
      <c r="G84" s="7"/>
      <c r="H84" s="7"/>
      <c r="I84" s="7"/>
      <c r="J84" s="7"/>
      <c r="K84" s="7"/>
      <c r="L84" s="7"/>
      <c r="M84" s="7"/>
      <c r="N84" s="7"/>
      <c r="O84" s="7"/>
      <c r="P84" s="7"/>
      <c r="Q84" s="7"/>
      <c r="R84" s="7"/>
      <c r="S84" s="7"/>
      <c r="T84" s="7"/>
      <c r="U84" s="7"/>
      <c r="V84" s="7"/>
      <c r="W84" s="7"/>
      <c r="X84" s="7"/>
      <c r="Y84" s="7"/>
      <c r="Z84" s="7"/>
      <c r="AA84" s="7"/>
      <c r="AB84" s="7"/>
      <c r="AC84" s="7"/>
      <c r="AD84" s="7"/>
      <c r="AE84" s="7"/>
    </row>
    <row r="85" spans="1:31" ht="0" hidden="1" customHeight="1" x14ac:dyDescent="0.25"/>
    <row r="86" spans="1:31" ht="0" hidden="1" customHeight="1" x14ac:dyDescent="0.25"/>
    <row r="87" spans="1:31" ht="0" hidden="1" customHeight="1" x14ac:dyDescent="0.25"/>
    <row r="88" spans="1:31" ht="0" hidden="1" customHeight="1" x14ac:dyDescent="0.25"/>
    <row r="89" spans="1:31" ht="0" hidden="1" customHeight="1" x14ac:dyDescent="0.25"/>
    <row r="90" spans="1:31" ht="0" hidden="1" customHeight="1" x14ac:dyDescent="0.25"/>
    <row r="91" spans="1:31" ht="0" hidden="1" customHeight="1" x14ac:dyDescent="0.25"/>
    <row r="92" spans="1:31" ht="0" hidden="1" customHeight="1" x14ac:dyDescent="0.25"/>
    <row r="93" spans="1:31" ht="0" hidden="1" customHeight="1" x14ac:dyDescent="0.25"/>
    <row r="94" spans="1:31" ht="0" hidden="1" customHeight="1" x14ac:dyDescent="0.25"/>
  </sheetData>
  <mergeCells count="37">
    <mergeCell ref="AE4:AE5"/>
    <mergeCell ref="H4:H5"/>
    <mergeCell ref="I4:I5"/>
    <mergeCell ref="J4:J5"/>
    <mergeCell ref="K4:K5"/>
    <mergeCell ref="L4:L5"/>
    <mergeCell ref="M4:M5"/>
    <mergeCell ref="W4:W5"/>
    <mergeCell ref="S4:S5"/>
    <mergeCell ref="Q4:Q5"/>
    <mergeCell ref="R4:R5"/>
    <mergeCell ref="X4:X5"/>
    <mergeCell ref="N4:N5"/>
    <mergeCell ref="O4:O5"/>
    <mergeCell ref="AA4:AA5"/>
    <mergeCell ref="Z4:Z5"/>
    <mergeCell ref="A2:C2"/>
    <mergeCell ref="B4:B5"/>
    <mergeCell ref="C4:C5"/>
    <mergeCell ref="D4:D5"/>
    <mergeCell ref="E4:E5"/>
    <mergeCell ref="A82:G82"/>
    <mergeCell ref="V4:V5"/>
    <mergeCell ref="A78:B78"/>
    <mergeCell ref="T4:T5"/>
    <mergeCell ref="U4:U5"/>
    <mergeCell ref="G4:G5"/>
    <mergeCell ref="A4:A5"/>
    <mergeCell ref="F4:F5"/>
    <mergeCell ref="Y4:Y5"/>
    <mergeCell ref="A81:C81"/>
    <mergeCell ref="AD4:AD5"/>
    <mergeCell ref="A79:C79"/>
    <mergeCell ref="A80:C80"/>
    <mergeCell ref="P4:P5"/>
    <mergeCell ref="AC4:AC5"/>
    <mergeCell ref="AB4:AB5"/>
  </mergeCells>
  <pageMargins left="0.74803149606299213" right="0.74803149606299213" top="0.98425196850393704" bottom="0.98425196850393704" header="0" footer="0"/>
  <pageSetup paperSize="9" scale="65" fitToWidth="19" orientation="portrait" r:id="rId1"/>
  <headerFooter alignWithMargins="0"/>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6"/>
  <dimension ref="A1:DW94"/>
  <sheetViews>
    <sheetView zoomScale="115" zoomScaleNormal="115" workbookViewId="0">
      <pane xSplit="2" ySplit="5" topLeftCell="C6" activePane="bottomRight" state="frozen"/>
      <selection activeCell="C6" sqref="C6"/>
      <selection pane="topRight" activeCell="C6" sqref="C6"/>
      <selection pane="bottomLeft" activeCell="C6" sqref="C6"/>
      <selection pane="bottomRight" activeCell="C6" sqref="C6"/>
    </sheetView>
  </sheetViews>
  <sheetFormatPr baseColWidth="10" defaultColWidth="0" defaultRowHeight="0" customHeight="1" zeroHeight="1" x14ac:dyDescent="0.25"/>
  <cols>
    <col min="1" max="1" width="5.7109375" style="8" customWidth="1"/>
    <col min="2" max="2" width="62.7109375" style="8" customWidth="1"/>
    <col min="3" max="4" width="11.140625" style="30" customWidth="1"/>
    <col min="5" max="6" width="11.140625" style="8" customWidth="1"/>
    <col min="7" max="7" width="11.140625" style="31" customWidth="1"/>
    <col min="8" max="31" width="11.140625" style="8" customWidth="1"/>
    <col min="32" max="32" width="4.28515625" style="7" customWidth="1"/>
    <col min="33" max="127" width="0" style="8" hidden="1" customWidth="1"/>
    <col min="128" max="16384" width="11.140625" style="8" hidden="1"/>
  </cols>
  <sheetData>
    <row r="1" spans="1:32" s="5" customFormat="1" ht="25.5" customHeight="1" thickBot="1" x14ac:dyDescent="0.25">
      <c r="A1" s="1"/>
      <c r="B1" s="2"/>
      <c r="C1" s="3"/>
      <c r="D1" s="172" t="s">
        <v>0</v>
      </c>
      <c r="E1" s="171"/>
      <c r="F1" s="171"/>
      <c r="G1" s="173"/>
      <c r="H1" s="171"/>
      <c r="I1" s="171"/>
      <c r="J1" s="171"/>
      <c r="K1" s="171"/>
      <c r="L1" s="171"/>
      <c r="M1" s="171"/>
      <c r="N1" s="171"/>
      <c r="O1" s="171"/>
      <c r="P1" s="171"/>
      <c r="Q1" s="171"/>
      <c r="R1" s="171"/>
      <c r="S1" s="171"/>
      <c r="T1" s="171"/>
      <c r="U1" s="171"/>
      <c r="V1" s="171"/>
      <c r="W1" s="171"/>
      <c r="X1" s="171"/>
      <c r="Y1" s="171"/>
      <c r="Z1" s="171"/>
      <c r="AA1" s="171"/>
      <c r="AB1" s="171"/>
      <c r="AC1" s="171"/>
      <c r="AD1" s="171"/>
      <c r="AE1" s="171"/>
      <c r="AF1" s="2"/>
    </row>
    <row r="2" spans="1:32" s="7" customFormat="1" ht="22.5" customHeight="1" thickBot="1" x14ac:dyDescent="0.3">
      <c r="A2" s="303" t="s">
        <v>107</v>
      </c>
      <c r="B2" s="304"/>
      <c r="C2" s="304"/>
      <c r="D2" s="140"/>
      <c r="E2" s="140"/>
      <c r="F2" s="140"/>
      <c r="G2" s="140"/>
      <c r="H2" s="140"/>
      <c r="I2" s="140"/>
      <c r="J2" s="140"/>
      <c r="K2" s="140"/>
      <c r="L2" s="140"/>
      <c r="M2" s="140"/>
      <c r="N2" s="140"/>
      <c r="O2" s="140"/>
      <c r="P2" s="140"/>
      <c r="Q2" s="140"/>
      <c r="R2" s="140"/>
      <c r="S2" s="140"/>
      <c r="T2" s="140"/>
      <c r="U2" s="140"/>
      <c r="V2" s="140"/>
      <c r="W2" s="140"/>
      <c r="X2" s="140"/>
      <c r="Y2" s="140"/>
      <c r="Z2" s="140"/>
      <c r="AA2" s="140"/>
      <c r="AB2" s="140"/>
      <c r="AC2" s="140"/>
      <c r="AD2" s="140"/>
      <c r="AE2" s="141"/>
    </row>
    <row r="3" spans="1:32" ht="16.5" customHeight="1" thickBot="1" x14ac:dyDescent="0.25">
      <c r="A3" s="142" t="s">
        <v>299</v>
      </c>
      <c r="B3" s="57"/>
      <c r="C3" s="57"/>
      <c r="D3" s="58"/>
      <c r="E3" s="58"/>
      <c r="F3" s="58"/>
      <c r="G3" s="58"/>
      <c r="H3" s="59"/>
      <c r="I3" s="59"/>
      <c r="J3" s="59"/>
      <c r="K3" s="59"/>
      <c r="L3" s="59"/>
      <c r="M3" s="59"/>
      <c r="N3" s="59"/>
      <c r="O3" s="59"/>
      <c r="P3" s="59"/>
      <c r="Q3" s="59"/>
      <c r="R3" s="59"/>
      <c r="S3" s="59"/>
      <c r="T3" s="59"/>
      <c r="U3" s="59"/>
      <c r="V3" s="59"/>
      <c r="W3" s="59"/>
      <c r="X3" s="59"/>
      <c r="Y3" s="59"/>
      <c r="Z3" s="59"/>
      <c r="AA3" s="59"/>
      <c r="AB3" s="59"/>
      <c r="AC3" s="59"/>
      <c r="AD3" s="59"/>
      <c r="AE3" s="143"/>
    </row>
    <row r="4" spans="1:32" ht="15.75" customHeight="1" x14ac:dyDescent="0.25">
      <c r="A4" s="310"/>
      <c r="B4" s="308" t="s">
        <v>2</v>
      </c>
      <c r="C4" s="301">
        <v>1996</v>
      </c>
      <c r="D4" s="301">
        <v>1997</v>
      </c>
      <c r="E4" s="301">
        <v>1998</v>
      </c>
      <c r="F4" s="301">
        <v>1999</v>
      </c>
      <c r="G4" s="301">
        <v>2000</v>
      </c>
      <c r="H4" s="301">
        <v>2001</v>
      </c>
      <c r="I4" s="301">
        <v>2002</v>
      </c>
      <c r="J4" s="301">
        <v>2003</v>
      </c>
      <c r="K4" s="301">
        <v>2004</v>
      </c>
      <c r="L4" s="301">
        <v>2005</v>
      </c>
      <c r="M4" s="301">
        <v>2006</v>
      </c>
      <c r="N4" s="301">
        <v>2007</v>
      </c>
      <c r="O4" s="301">
        <v>2008</v>
      </c>
      <c r="P4" s="301">
        <v>2009</v>
      </c>
      <c r="Q4" s="301">
        <v>2010</v>
      </c>
      <c r="R4" s="301">
        <v>2011</v>
      </c>
      <c r="S4" s="301">
        <v>2012</v>
      </c>
      <c r="T4" s="301">
        <v>2013</v>
      </c>
      <c r="U4" s="301">
        <v>2014</v>
      </c>
      <c r="V4" s="301">
        <v>2015</v>
      </c>
      <c r="W4" s="301">
        <v>2016</v>
      </c>
      <c r="X4" s="301">
        <v>2017</v>
      </c>
      <c r="Y4" s="301">
        <v>2018</v>
      </c>
      <c r="Z4" s="301">
        <v>2019</v>
      </c>
      <c r="AA4" s="301">
        <v>2020</v>
      </c>
      <c r="AB4" s="301">
        <v>2021</v>
      </c>
      <c r="AC4" s="301">
        <v>2022</v>
      </c>
      <c r="AD4" s="301">
        <v>2023</v>
      </c>
      <c r="AE4" s="299">
        <v>2024</v>
      </c>
    </row>
    <row r="5" spans="1:32" ht="15.75" customHeight="1" thickBot="1" x14ac:dyDescent="0.3">
      <c r="A5" s="311"/>
      <c r="B5" s="309"/>
      <c r="C5" s="302"/>
      <c r="D5" s="302" t="s">
        <v>3</v>
      </c>
      <c r="E5" s="302"/>
      <c r="F5" s="302" t="s">
        <v>4</v>
      </c>
      <c r="G5" s="302"/>
      <c r="H5" s="302" t="s">
        <v>5</v>
      </c>
      <c r="I5" s="302"/>
      <c r="J5" s="302" t="s">
        <v>6</v>
      </c>
      <c r="K5" s="302"/>
      <c r="L5" s="302" t="s">
        <v>7</v>
      </c>
      <c r="M5" s="302"/>
      <c r="N5" s="302" t="s">
        <v>8</v>
      </c>
      <c r="O5" s="302"/>
      <c r="P5" s="302" t="s">
        <v>9</v>
      </c>
      <c r="Q5" s="302"/>
      <c r="R5" s="302" t="s">
        <v>10</v>
      </c>
      <c r="S5" s="302"/>
      <c r="T5" s="302"/>
      <c r="U5" s="302"/>
      <c r="V5" s="302"/>
      <c r="W5" s="302"/>
      <c r="X5" s="302"/>
      <c r="Y5" s="302"/>
      <c r="Z5" s="302"/>
      <c r="AA5" s="302"/>
      <c r="AB5" s="302"/>
      <c r="AC5" s="302"/>
      <c r="AD5" s="302"/>
      <c r="AE5" s="300"/>
    </row>
    <row r="6" spans="1:32" s="11" customFormat="1" ht="15" customHeight="1" thickBot="1" x14ac:dyDescent="0.3">
      <c r="A6" s="144" t="s">
        <v>11</v>
      </c>
      <c r="B6" s="9" t="s">
        <v>12</v>
      </c>
      <c r="C6" s="64">
        <v>294</v>
      </c>
      <c r="D6" s="64">
        <v>297</v>
      </c>
      <c r="E6" s="64">
        <v>313</v>
      </c>
      <c r="F6" s="64">
        <v>328</v>
      </c>
      <c r="G6" s="64">
        <v>309</v>
      </c>
      <c r="H6" s="64">
        <v>292</v>
      </c>
      <c r="I6" s="64">
        <v>266</v>
      </c>
      <c r="J6" s="64">
        <v>264</v>
      </c>
      <c r="K6" s="64">
        <v>262</v>
      </c>
      <c r="L6" s="64">
        <v>271</v>
      </c>
      <c r="M6" s="64">
        <v>263</v>
      </c>
      <c r="N6" s="64">
        <v>268</v>
      </c>
      <c r="O6" s="64">
        <v>265</v>
      </c>
      <c r="P6" s="64">
        <v>263</v>
      </c>
      <c r="Q6" s="64">
        <v>274</v>
      </c>
      <c r="R6" s="64">
        <v>288</v>
      </c>
      <c r="S6" s="64">
        <v>292</v>
      </c>
      <c r="T6" s="64">
        <v>285</v>
      </c>
      <c r="U6" s="64">
        <v>265</v>
      </c>
      <c r="V6" s="64">
        <v>264</v>
      </c>
      <c r="W6" s="64">
        <v>260</v>
      </c>
      <c r="X6" s="64">
        <v>255</v>
      </c>
      <c r="Y6" s="64">
        <v>259</v>
      </c>
      <c r="Z6" s="64">
        <v>254</v>
      </c>
      <c r="AA6" s="64">
        <v>243</v>
      </c>
      <c r="AB6" s="64">
        <v>241</v>
      </c>
      <c r="AC6" s="64">
        <v>245</v>
      </c>
      <c r="AD6" s="64">
        <v>255</v>
      </c>
      <c r="AE6" s="145">
        <v>241</v>
      </c>
      <c r="AF6" s="10"/>
    </row>
    <row r="7" spans="1:32" ht="15" customHeight="1" x14ac:dyDescent="0.25">
      <c r="A7" s="146">
        <v>1</v>
      </c>
      <c r="B7" s="12" t="s">
        <v>13</v>
      </c>
      <c r="C7" s="68" t="s">
        <v>383</v>
      </c>
      <c r="D7" s="68" t="s">
        <v>383</v>
      </c>
      <c r="E7" s="68" t="s">
        <v>383</v>
      </c>
      <c r="F7" s="68" t="s">
        <v>383</v>
      </c>
      <c r="G7" s="68" t="s">
        <v>383</v>
      </c>
      <c r="H7" s="68" t="s">
        <v>383</v>
      </c>
      <c r="I7" s="68" t="s">
        <v>383</v>
      </c>
      <c r="J7" s="68" t="s">
        <v>383</v>
      </c>
      <c r="K7" s="68" t="s">
        <v>383</v>
      </c>
      <c r="L7" s="68" t="s">
        <v>383</v>
      </c>
      <c r="M7" s="68" t="s">
        <v>383</v>
      </c>
      <c r="N7" s="68" t="s">
        <v>383</v>
      </c>
      <c r="O7" s="68" t="s">
        <v>383</v>
      </c>
      <c r="P7" s="68" t="s">
        <v>383</v>
      </c>
      <c r="Q7" s="68" t="s">
        <v>383</v>
      </c>
      <c r="R7" s="68" t="s">
        <v>383</v>
      </c>
      <c r="S7" s="68" t="s">
        <v>383</v>
      </c>
      <c r="T7" s="68" t="s">
        <v>383</v>
      </c>
      <c r="U7" s="68" t="s">
        <v>383</v>
      </c>
      <c r="V7" s="68" t="s">
        <v>383</v>
      </c>
      <c r="W7" s="68" t="s">
        <v>383</v>
      </c>
      <c r="X7" s="68" t="s">
        <v>383</v>
      </c>
      <c r="Y7" s="68" t="s">
        <v>383</v>
      </c>
      <c r="Z7" s="68" t="s">
        <v>383</v>
      </c>
      <c r="AA7" s="68" t="s">
        <v>383</v>
      </c>
      <c r="AB7" s="68" t="s">
        <v>383</v>
      </c>
      <c r="AC7" s="68" t="s">
        <v>383</v>
      </c>
      <c r="AD7" s="68" t="s">
        <v>383</v>
      </c>
      <c r="AE7" s="147" t="s">
        <v>383</v>
      </c>
    </row>
    <row r="8" spans="1:32" ht="15" customHeight="1" thickBot="1" x14ac:dyDescent="0.3">
      <c r="A8" s="148">
        <v>2</v>
      </c>
      <c r="B8" s="13" t="s">
        <v>14</v>
      </c>
      <c r="C8" s="69" t="s">
        <v>383</v>
      </c>
      <c r="D8" s="69" t="s">
        <v>383</v>
      </c>
      <c r="E8" s="69" t="s">
        <v>383</v>
      </c>
      <c r="F8" s="69" t="s">
        <v>383</v>
      </c>
      <c r="G8" s="69" t="s">
        <v>383</v>
      </c>
      <c r="H8" s="69" t="s">
        <v>383</v>
      </c>
      <c r="I8" s="69" t="s">
        <v>383</v>
      </c>
      <c r="J8" s="69" t="s">
        <v>383</v>
      </c>
      <c r="K8" s="69" t="s">
        <v>383</v>
      </c>
      <c r="L8" s="69" t="s">
        <v>383</v>
      </c>
      <c r="M8" s="69" t="s">
        <v>383</v>
      </c>
      <c r="N8" s="69" t="s">
        <v>383</v>
      </c>
      <c r="O8" s="69" t="s">
        <v>383</v>
      </c>
      <c r="P8" s="69" t="s">
        <v>383</v>
      </c>
      <c r="Q8" s="69" t="s">
        <v>383</v>
      </c>
      <c r="R8" s="69" t="s">
        <v>383</v>
      </c>
      <c r="S8" s="69" t="s">
        <v>383</v>
      </c>
      <c r="T8" s="69" t="s">
        <v>383</v>
      </c>
      <c r="U8" s="69" t="s">
        <v>383</v>
      </c>
      <c r="V8" s="69" t="s">
        <v>383</v>
      </c>
      <c r="W8" s="69" t="s">
        <v>383</v>
      </c>
      <c r="X8" s="69" t="s">
        <v>383</v>
      </c>
      <c r="Y8" s="69" t="s">
        <v>383</v>
      </c>
      <c r="Z8" s="69" t="s">
        <v>383</v>
      </c>
      <c r="AA8" s="69" t="s">
        <v>383</v>
      </c>
      <c r="AB8" s="69" t="s">
        <v>383</v>
      </c>
      <c r="AC8" s="69" t="s">
        <v>383</v>
      </c>
      <c r="AD8" s="69" t="s">
        <v>383</v>
      </c>
      <c r="AE8" s="149" t="s">
        <v>383</v>
      </c>
    </row>
    <row r="9" spans="1:32" s="11" customFormat="1" ht="15" customHeight="1" thickBot="1" x14ac:dyDescent="0.3">
      <c r="A9" s="144" t="s">
        <v>15</v>
      </c>
      <c r="B9" s="9" t="s">
        <v>16</v>
      </c>
      <c r="C9" s="64" t="s">
        <v>383</v>
      </c>
      <c r="D9" s="64" t="s">
        <v>383</v>
      </c>
      <c r="E9" s="64" t="s">
        <v>383</v>
      </c>
      <c r="F9" s="64" t="s">
        <v>383</v>
      </c>
      <c r="G9" s="64" t="s">
        <v>383</v>
      </c>
      <c r="H9" s="64" t="s">
        <v>383</v>
      </c>
      <c r="I9" s="64" t="s">
        <v>383</v>
      </c>
      <c r="J9" s="64" t="s">
        <v>383</v>
      </c>
      <c r="K9" s="64" t="s">
        <v>383</v>
      </c>
      <c r="L9" s="64" t="s">
        <v>383</v>
      </c>
      <c r="M9" s="64" t="s">
        <v>383</v>
      </c>
      <c r="N9" s="64" t="s">
        <v>383</v>
      </c>
      <c r="O9" s="64" t="s">
        <v>383</v>
      </c>
      <c r="P9" s="64" t="s">
        <v>383</v>
      </c>
      <c r="Q9" s="64" t="s">
        <v>383</v>
      </c>
      <c r="R9" s="64" t="s">
        <v>383</v>
      </c>
      <c r="S9" s="64" t="s">
        <v>383</v>
      </c>
      <c r="T9" s="64" t="s">
        <v>383</v>
      </c>
      <c r="U9" s="64" t="s">
        <v>383</v>
      </c>
      <c r="V9" s="64" t="s">
        <v>383</v>
      </c>
      <c r="W9" s="64" t="s">
        <v>383</v>
      </c>
      <c r="X9" s="64" t="s">
        <v>383</v>
      </c>
      <c r="Y9" s="64" t="s">
        <v>383</v>
      </c>
      <c r="Z9" s="64" t="s">
        <v>383</v>
      </c>
      <c r="AA9" s="64" t="s">
        <v>383</v>
      </c>
      <c r="AB9" s="64" t="s">
        <v>383</v>
      </c>
      <c r="AC9" s="64" t="s">
        <v>383</v>
      </c>
      <c r="AD9" s="64" t="s">
        <v>383</v>
      </c>
      <c r="AE9" s="145" t="s">
        <v>383</v>
      </c>
      <c r="AF9" s="10"/>
    </row>
    <row r="10" spans="1:32" ht="15" customHeight="1" thickBot="1" x14ac:dyDescent="0.3">
      <c r="A10" s="150">
        <v>5</v>
      </c>
      <c r="B10" s="14" t="s">
        <v>17</v>
      </c>
      <c r="C10" s="67" t="s">
        <v>383</v>
      </c>
      <c r="D10" s="67" t="s">
        <v>383</v>
      </c>
      <c r="E10" s="67" t="s">
        <v>383</v>
      </c>
      <c r="F10" s="67" t="s">
        <v>383</v>
      </c>
      <c r="G10" s="67" t="s">
        <v>383</v>
      </c>
      <c r="H10" s="67" t="s">
        <v>383</v>
      </c>
      <c r="I10" s="67" t="s">
        <v>383</v>
      </c>
      <c r="J10" s="67" t="s">
        <v>383</v>
      </c>
      <c r="K10" s="67" t="s">
        <v>383</v>
      </c>
      <c r="L10" s="67" t="s">
        <v>383</v>
      </c>
      <c r="M10" s="67" t="s">
        <v>383</v>
      </c>
      <c r="N10" s="67" t="s">
        <v>383</v>
      </c>
      <c r="O10" s="67" t="s">
        <v>383</v>
      </c>
      <c r="P10" s="67" t="s">
        <v>383</v>
      </c>
      <c r="Q10" s="67" t="s">
        <v>383</v>
      </c>
      <c r="R10" s="67" t="s">
        <v>383</v>
      </c>
      <c r="S10" s="67" t="s">
        <v>383</v>
      </c>
      <c r="T10" s="67" t="s">
        <v>383</v>
      </c>
      <c r="U10" s="67" t="s">
        <v>383</v>
      </c>
      <c r="V10" s="67" t="s">
        <v>383</v>
      </c>
      <c r="W10" s="67" t="s">
        <v>383</v>
      </c>
      <c r="X10" s="67" t="s">
        <v>383</v>
      </c>
      <c r="Y10" s="67" t="s">
        <v>383</v>
      </c>
      <c r="Z10" s="67" t="s">
        <v>383</v>
      </c>
      <c r="AA10" s="67" t="s">
        <v>383</v>
      </c>
      <c r="AB10" s="67" t="s">
        <v>383</v>
      </c>
      <c r="AC10" s="67" t="s">
        <v>383</v>
      </c>
      <c r="AD10" s="67" t="s">
        <v>383</v>
      </c>
      <c r="AE10" s="151" t="s">
        <v>383</v>
      </c>
    </row>
    <row r="11" spans="1:32" s="11" customFormat="1" ht="15" customHeight="1" thickBot="1" x14ac:dyDescent="0.3">
      <c r="A11" s="144" t="s">
        <v>18</v>
      </c>
      <c r="B11" s="9" t="s">
        <v>19</v>
      </c>
      <c r="C11" s="64">
        <v>12</v>
      </c>
      <c r="D11" s="64">
        <v>10</v>
      </c>
      <c r="E11" s="64">
        <v>10</v>
      </c>
      <c r="F11" s="64">
        <v>9</v>
      </c>
      <c r="G11" s="64">
        <v>9</v>
      </c>
      <c r="H11" s="64">
        <v>7</v>
      </c>
      <c r="I11" s="64" t="s">
        <v>383</v>
      </c>
      <c r="J11" s="64" t="s">
        <v>383</v>
      </c>
      <c r="K11" s="64">
        <v>4</v>
      </c>
      <c r="L11" s="64" t="s">
        <v>383</v>
      </c>
      <c r="M11" s="64">
        <v>5</v>
      </c>
      <c r="N11" s="64">
        <v>8</v>
      </c>
      <c r="O11" s="64">
        <v>11</v>
      </c>
      <c r="P11" s="64">
        <v>10</v>
      </c>
      <c r="Q11" s="64">
        <v>10</v>
      </c>
      <c r="R11" s="64">
        <v>16</v>
      </c>
      <c r="S11" s="64">
        <v>16</v>
      </c>
      <c r="T11" s="64">
        <v>13</v>
      </c>
      <c r="U11" s="64">
        <v>13</v>
      </c>
      <c r="V11" s="64">
        <v>11</v>
      </c>
      <c r="W11" s="64">
        <v>10</v>
      </c>
      <c r="X11" s="64">
        <v>10</v>
      </c>
      <c r="Y11" s="64">
        <v>8</v>
      </c>
      <c r="Z11" s="64">
        <v>10</v>
      </c>
      <c r="AA11" s="64">
        <v>8</v>
      </c>
      <c r="AB11" s="64">
        <v>9</v>
      </c>
      <c r="AC11" s="64">
        <v>9</v>
      </c>
      <c r="AD11" s="64">
        <v>9</v>
      </c>
      <c r="AE11" s="145">
        <v>8</v>
      </c>
      <c r="AF11" s="10"/>
    </row>
    <row r="12" spans="1:32" ht="15" customHeight="1" x14ac:dyDescent="0.25">
      <c r="A12" s="152">
        <v>11</v>
      </c>
      <c r="B12" s="15" t="s">
        <v>20</v>
      </c>
      <c r="C12" s="68" t="s">
        <v>383</v>
      </c>
      <c r="D12" s="68" t="s">
        <v>383</v>
      </c>
      <c r="E12" s="68" t="s">
        <v>383</v>
      </c>
      <c r="F12" s="68" t="s">
        <v>383</v>
      </c>
      <c r="G12" s="68" t="s">
        <v>383</v>
      </c>
      <c r="H12" s="68" t="s">
        <v>383</v>
      </c>
      <c r="I12" s="68" t="s">
        <v>383</v>
      </c>
      <c r="J12" s="68" t="s">
        <v>383</v>
      </c>
      <c r="K12" s="68" t="s">
        <v>383</v>
      </c>
      <c r="L12" s="68" t="s">
        <v>383</v>
      </c>
      <c r="M12" s="68" t="s">
        <v>383</v>
      </c>
      <c r="N12" s="68" t="s">
        <v>383</v>
      </c>
      <c r="O12" s="68" t="s">
        <v>383</v>
      </c>
      <c r="P12" s="68" t="s">
        <v>383</v>
      </c>
      <c r="Q12" s="68" t="s">
        <v>383</v>
      </c>
      <c r="R12" s="68" t="s">
        <v>383</v>
      </c>
      <c r="S12" s="68" t="s">
        <v>383</v>
      </c>
      <c r="T12" s="68" t="s">
        <v>383</v>
      </c>
      <c r="U12" s="68" t="s">
        <v>383</v>
      </c>
      <c r="V12" s="68" t="s">
        <v>383</v>
      </c>
      <c r="W12" s="68" t="s">
        <v>383</v>
      </c>
      <c r="X12" s="68" t="s">
        <v>383</v>
      </c>
      <c r="Y12" s="68" t="s">
        <v>383</v>
      </c>
      <c r="Z12" s="68" t="s">
        <v>383</v>
      </c>
      <c r="AA12" s="68" t="s">
        <v>383</v>
      </c>
      <c r="AB12" s="68" t="s">
        <v>383</v>
      </c>
      <c r="AC12" s="68" t="s">
        <v>383</v>
      </c>
      <c r="AD12" s="68" t="s">
        <v>383</v>
      </c>
      <c r="AE12" s="153" t="s">
        <v>383</v>
      </c>
    </row>
    <row r="13" spans="1:32" ht="15" customHeight="1" x14ac:dyDescent="0.25">
      <c r="A13" s="154">
        <v>13</v>
      </c>
      <c r="B13" s="16" t="s">
        <v>21</v>
      </c>
      <c r="C13" s="69" t="s">
        <v>383</v>
      </c>
      <c r="D13" s="69" t="s">
        <v>383</v>
      </c>
      <c r="E13" s="69" t="s">
        <v>383</v>
      </c>
      <c r="F13" s="69" t="s">
        <v>383</v>
      </c>
      <c r="G13" s="69" t="s">
        <v>383</v>
      </c>
      <c r="H13" s="69" t="s">
        <v>383</v>
      </c>
      <c r="I13" s="69" t="s">
        <v>383</v>
      </c>
      <c r="J13" s="69" t="s">
        <v>383</v>
      </c>
      <c r="K13" s="69" t="s">
        <v>383</v>
      </c>
      <c r="L13" s="69" t="s">
        <v>383</v>
      </c>
      <c r="M13" s="69" t="s">
        <v>383</v>
      </c>
      <c r="N13" s="69" t="s">
        <v>383</v>
      </c>
      <c r="O13" s="69" t="s">
        <v>383</v>
      </c>
      <c r="P13" s="69" t="s">
        <v>383</v>
      </c>
      <c r="Q13" s="69" t="s">
        <v>383</v>
      </c>
      <c r="R13" s="69" t="s">
        <v>383</v>
      </c>
      <c r="S13" s="69" t="s">
        <v>383</v>
      </c>
      <c r="T13" s="69" t="s">
        <v>383</v>
      </c>
      <c r="U13" s="69" t="s">
        <v>383</v>
      </c>
      <c r="V13" s="69" t="s">
        <v>383</v>
      </c>
      <c r="W13" s="69" t="s">
        <v>383</v>
      </c>
      <c r="X13" s="69" t="s">
        <v>383</v>
      </c>
      <c r="Y13" s="69" t="s">
        <v>383</v>
      </c>
      <c r="Z13" s="69" t="s">
        <v>383</v>
      </c>
      <c r="AA13" s="69" t="s">
        <v>383</v>
      </c>
      <c r="AB13" s="69" t="s">
        <v>383</v>
      </c>
      <c r="AC13" s="69" t="s">
        <v>383</v>
      </c>
      <c r="AD13" s="69" t="s">
        <v>383</v>
      </c>
      <c r="AE13" s="155" t="s">
        <v>383</v>
      </c>
    </row>
    <row r="14" spans="1:32" ht="15" customHeight="1" thickBot="1" x14ac:dyDescent="0.3">
      <c r="A14" s="152">
        <v>14</v>
      </c>
      <c r="B14" s="15" t="s">
        <v>22</v>
      </c>
      <c r="C14" s="68">
        <v>11</v>
      </c>
      <c r="D14" s="68">
        <v>10</v>
      </c>
      <c r="E14" s="68">
        <v>8</v>
      </c>
      <c r="F14" s="68">
        <v>7</v>
      </c>
      <c r="G14" s="68">
        <v>7</v>
      </c>
      <c r="H14" s="68">
        <v>5</v>
      </c>
      <c r="I14" s="68" t="s">
        <v>383</v>
      </c>
      <c r="J14" s="68" t="s">
        <v>383</v>
      </c>
      <c r="K14" s="68">
        <v>4</v>
      </c>
      <c r="L14" s="68" t="s">
        <v>383</v>
      </c>
      <c r="M14" s="68">
        <v>5</v>
      </c>
      <c r="N14" s="68">
        <v>8</v>
      </c>
      <c r="O14" s="68">
        <v>11</v>
      </c>
      <c r="P14" s="68">
        <v>10</v>
      </c>
      <c r="Q14" s="68">
        <v>10</v>
      </c>
      <c r="R14" s="68">
        <v>16</v>
      </c>
      <c r="S14" s="68">
        <v>16</v>
      </c>
      <c r="T14" s="68">
        <v>13</v>
      </c>
      <c r="U14" s="68">
        <v>12</v>
      </c>
      <c r="V14" s="68">
        <v>11</v>
      </c>
      <c r="W14" s="68">
        <v>10</v>
      </c>
      <c r="X14" s="68">
        <v>10</v>
      </c>
      <c r="Y14" s="68">
        <v>8</v>
      </c>
      <c r="Z14" s="68">
        <v>10</v>
      </c>
      <c r="AA14" s="68">
        <v>8</v>
      </c>
      <c r="AB14" s="68">
        <v>9</v>
      </c>
      <c r="AC14" s="68">
        <v>9</v>
      </c>
      <c r="AD14" s="68">
        <v>8</v>
      </c>
      <c r="AE14" s="153">
        <v>8</v>
      </c>
    </row>
    <row r="15" spans="1:32" s="11" customFormat="1" ht="15" customHeight="1" thickBot="1" x14ac:dyDescent="0.3">
      <c r="A15" s="144" t="s">
        <v>23</v>
      </c>
      <c r="B15" s="9" t="s">
        <v>24</v>
      </c>
      <c r="C15" s="64">
        <v>174</v>
      </c>
      <c r="D15" s="64">
        <v>184</v>
      </c>
      <c r="E15" s="64">
        <v>183</v>
      </c>
      <c r="F15" s="64">
        <v>191</v>
      </c>
      <c r="G15" s="64">
        <v>189</v>
      </c>
      <c r="H15" s="64">
        <v>193</v>
      </c>
      <c r="I15" s="64">
        <v>173</v>
      </c>
      <c r="J15" s="64">
        <v>177</v>
      </c>
      <c r="K15" s="64">
        <v>189</v>
      </c>
      <c r="L15" s="64">
        <v>194</v>
      </c>
      <c r="M15" s="64">
        <v>201</v>
      </c>
      <c r="N15" s="64">
        <v>210</v>
      </c>
      <c r="O15" s="64">
        <v>211</v>
      </c>
      <c r="P15" s="64">
        <v>212</v>
      </c>
      <c r="Q15" s="64">
        <v>220</v>
      </c>
      <c r="R15" s="64">
        <v>221</v>
      </c>
      <c r="S15" s="64">
        <v>211</v>
      </c>
      <c r="T15" s="64">
        <v>221</v>
      </c>
      <c r="U15" s="64">
        <v>222</v>
      </c>
      <c r="V15" s="64">
        <v>223</v>
      </c>
      <c r="W15" s="64">
        <v>221</v>
      </c>
      <c r="X15" s="64">
        <v>214</v>
      </c>
      <c r="Y15" s="64">
        <v>212</v>
      </c>
      <c r="Z15" s="64">
        <v>198</v>
      </c>
      <c r="AA15" s="64">
        <v>199</v>
      </c>
      <c r="AB15" s="64">
        <v>206</v>
      </c>
      <c r="AC15" s="64">
        <v>230</v>
      </c>
      <c r="AD15" s="64">
        <v>250</v>
      </c>
      <c r="AE15" s="145">
        <v>232</v>
      </c>
      <c r="AF15" s="10"/>
    </row>
    <row r="16" spans="1:32" ht="15" customHeight="1" x14ac:dyDescent="0.25">
      <c r="A16" s="152">
        <v>15</v>
      </c>
      <c r="B16" s="15" t="s">
        <v>25</v>
      </c>
      <c r="C16" s="68">
        <v>72</v>
      </c>
      <c r="D16" s="68">
        <v>74</v>
      </c>
      <c r="E16" s="68">
        <v>69</v>
      </c>
      <c r="F16" s="68">
        <v>76</v>
      </c>
      <c r="G16" s="68">
        <v>74</v>
      </c>
      <c r="H16" s="68">
        <v>76</v>
      </c>
      <c r="I16" s="68">
        <v>72</v>
      </c>
      <c r="J16" s="68">
        <v>73</v>
      </c>
      <c r="K16" s="68">
        <v>81</v>
      </c>
      <c r="L16" s="68">
        <v>90</v>
      </c>
      <c r="M16" s="68">
        <v>90</v>
      </c>
      <c r="N16" s="68">
        <v>100</v>
      </c>
      <c r="O16" s="68">
        <v>105</v>
      </c>
      <c r="P16" s="68">
        <v>108</v>
      </c>
      <c r="Q16" s="68">
        <v>104</v>
      </c>
      <c r="R16" s="68">
        <v>109</v>
      </c>
      <c r="S16" s="68">
        <v>105</v>
      </c>
      <c r="T16" s="68">
        <v>109</v>
      </c>
      <c r="U16" s="68">
        <v>110</v>
      </c>
      <c r="V16" s="68">
        <v>112</v>
      </c>
      <c r="W16" s="68">
        <v>111</v>
      </c>
      <c r="X16" s="68">
        <v>112</v>
      </c>
      <c r="Y16" s="68">
        <v>111</v>
      </c>
      <c r="Z16" s="68">
        <v>105</v>
      </c>
      <c r="AA16" s="68">
        <v>104</v>
      </c>
      <c r="AB16" s="68">
        <v>100</v>
      </c>
      <c r="AC16" s="68">
        <v>105</v>
      </c>
      <c r="AD16" s="68">
        <v>115</v>
      </c>
      <c r="AE16" s="153">
        <v>114</v>
      </c>
    </row>
    <row r="17" spans="1:31" ht="15" customHeight="1" x14ac:dyDescent="0.25">
      <c r="A17" s="156">
        <v>16</v>
      </c>
      <c r="B17" s="17" t="s">
        <v>26</v>
      </c>
      <c r="C17" s="70" t="s">
        <v>383</v>
      </c>
      <c r="D17" s="70" t="s">
        <v>383</v>
      </c>
      <c r="E17" s="70" t="s">
        <v>383</v>
      </c>
      <c r="F17" s="70" t="s">
        <v>383</v>
      </c>
      <c r="G17" s="70" t="s">
        <v>383</v>
      </c>
      <c r="H17" s="70" t="s">
        <v>383</v>
      </c>
      <c r="I17" s="70" t="s">
        <v>383</v>
      </c>
      <c r="J17" s="70" t="s">
        <v>383</v>
      </c>
      <c r="K17" s="70" t="s">
        <v>383</v>
      </c>
      <c r="L17" s="70" t="s">
        <v>383</v>
      </c>
      <c r="M17" s="70" t="s">
        <v>383</v>
      </c>
      <c r="N17" s="70" t="s">
        <v>383</v>
      </c>
      <c r="O17" s="70" t="s">
        <v>383</v>
      </c>
      <c r="P17" s="70" t="s">
        <v>383</v>
      </c>
      <c r="Q17" s="70" t="s">
        <v>383</v>
      </c>
      <c r="R17" s="70" t="s">
        <v>383</v>
      </c>
      <c r="S17" s="70" t="s">
        <v>383</v>
      </c>
      <c r="T17" s="70" t="s">
        <v>383</v>
      </c>
      <c r="U17" s="70" t="s">
        <v>383</v>
      </c>
      <c r="V17" s="70" t="s">
        <v>383</v>
      </c>
      <c r="W17" s="70" t="s">
        <v>383</v>
      </c>
      <c r="X17" s="70" t="s">
        <v>383</v>
      </c>
      <c r="Y17" s="70" t="s">
        <v>383</v>
      </c>
      <c r="Z17" s="70" t="s">
        <v>383</v>
      </c>
      <c r="AA17" s="70" t="s">
        <v>383</v>
      </c>
      <c r="AB17" s="70" t="s">
        <v>383</v>
      </c>
      <c r="AC17" s="70" t="s">
        <v>383</v>
      </c>
      <c r="AD17" s="70" t="s">
        <v>383</v>
      </c>
      <c r="AE17" s="157" t="s">
        <v>383</v>
      </c>
    </row>
    <row r="18" spans="1:31" ht="15" customHeight="1" x14ac:dyDescent="0.25">
      <c r="A18" s="156">
        <v>17</v>
      </c>
      <c r="B18" s="17" t="s">
        <v>27</v>
      </c>
      <c r="C18" s="70">
        <v>13</v>
      </c>
      <c r="D18" s="70">
        <v>14</v>
      </c>
      <c r="E18" s="70">
        <v>19</v>
      </c>
      <c r="F18" s="70">
        <v>16</v>
      </c>
      <c r="G18" s="70">
        <v>17</v>
      </c>
      <c r="H18" s="70">
        <v>15</v>
      </c>
      <c r="I18" s="70">
        <v>16</v>
      </c>
      <c r="J18" s="70">
        <v>16</v>
      </c>
      <c r="K18" s="70">
        <v>17</v>
      </c>
      <c r="L18" s="70">
        <v>17</v>
      </c>
      <c r="M18" s="70">
        <v>17</v>
      </c>
      <c r="N18" s="70">
        <v>16</v>
      </c>
      <c r="O18" s="70">
        <v>13</v>
      </c>
      <c r="P18" s="70">
        <v>12</v>
      </c>
      <c r="Q18" s="70">
        <v>13</v>
      </c>
      <c r="R18" s="70">
        <v>13</v>
      </c>
      <c r="S18" s="70">
        <v>13</v>
      </c>
      <c r="T18" s="70">
        <v>13</v>
      </c>
      <c r="U18" s="70">
        <v>14</v>
      </c>
      <c r="V18" s="70">
        <v>14</v>
      </c>
      <c r="W18" s="70">
        <v>13</v>
      </c>
      <c r="X18" s="70">
        <v>11</v>
      </c>
      <c r="Y18" s="70">
        <v>10</v>
      </c>
      <c r="Z18" s="70">
        <v>11</v>
      </c>
      <c r="AA18" s="70">
        <v>11</v>
      </c>
      <c r="AB18" s="70">
        <v>11</v>
      </c>
      <c r="AC18" s="70">
        <v>15</v>
      </c>
      <c r="AD18" s="70">
        <v>16</v>
      </c>
      <c r="AE18" s="157">
        <v>14</v>
      </c>
    </row>
    <row r="19" spans="1:31" ht="15" customHeight="1" x14ac:dyDescent="0.25">
      <c r="A19" s="156">
        <v>18</v>
      </c>
      <c r="B19" s="17" t="s">
        <v>28</v>
      </c>
      <c r="C19" s="70">
        <v>10</v>
      </c>
      <c r="D19" s="70">
        <v>13</v>
      </c>
      <c r="E19" s="70">
        <v>13</v>
      </c>
      <c r="F19" s="70">
        <v>16</v>
      </c>
      <c r="G19" s="70">
        <v>13</v>
      </c>
      <c r="H19" s="70">
        <v>13</v>
      </c>
      <c r="I19" s="70">
        <v>12</v>
      </c>
      <c r="J19" s="70">
        <v>12</v>
      </c>
      <c r="K19" s="70">
        <v>11</v>
      </c>
      <c r="L19" s="70">
        <v>11</v>
      </c>
      <c r="M19" s="70">
        <v>10</v>
      </c>
      <c r="N19" s="70">
        <v>11</v>
      </c>
      <c r="O19" s="70">
        <v>11</v>
      </c>
      <c r="P19" s="70">
        <v>12</v>
      </c>
      <c r="Q19" s="70">
        <v>14</v>
      </c>
      <c r="R19" s="70">
        <v>10</v>
      </c>
      <c r="S19" s="70">
        <v>11</v>
      </c>
      <c r="T19" s="70">
        <v>13</v>
      </c>
      <c r="U19" s="70">
        <v>11</v>
      </c>
      <c r="V19" s="70">
        <v>10</v>
      </c>
      <c r="W19" s="70">
        <v>10</v>
      </c>
      <c r="X19" s="70">
        <v>10</v>
      </c>
      <c r="Y19" s="70">
        <v>8</v>
      </c>
      <c r="Z19" s="70">
        <v>8</v>
      </c>
      <c r="AA19" s="70">
        <v>8</v>
      </c>
      <c r="AB19" s="70">
        <v>7</v>
      </c>
      <c r="AC19" s="70">
        <v>15</v>
      </c>
      <c r="AD19" s="70">
        <v>22</v>
      </c>
      <c r="AE19" s="157">
        <v>15</v>
      </c>
    </row>
    <row r="20" spans="1:31" ht="15" customHeight="1" x14ac:dyDescent="0.25">
      <c r="A20" s="156">
        <v>19</v>
      </c>
      <c r="B20" s="17" t="s">
        <v>108</v>
      </c>
      <c r="C20" s="70">
        <v>6</v>
      </c>
      <c r="D20" s="70">
        <v>6</v>
      </c>
      <c r="E20" s="70">
        <v>5</v>
      </c>
      <c r="F20" s="70">
        <v>5</v>
      </c>
      <c r="G20" s="70">
        <v>6</v>
      </c>
      <c r="H20" s="70">
        <v>5</v>
      </c>
      <c r="I20" s="70">
        <v>6</v>
      </c>
      <c r="J20" s="70">
        <v>4</v>
      </c>
      <c r="K20" s="70" t="s">
        <v>383</v>
      </c>
      <c r="L20" s="70" t="s">
        <v>383</v>
      </c>
      <c r="M20" s="70" t="s">
        <v>383</v>
      </c>
      <c r="N20" s="70" t="s">
        <v>383</v>
      </c>
      <c r="O20" s="70" t="s">
        <v>383</v>
      </c>
      <c r="P20" s="70" t="s">
        <v>383</v>
      </c>
      <c r="Q20" s="70">
        <v>4</v>
      </c>
      <c r="R20" s="70">
        <v>4</v>
      </c>
      <c r="S20" s="70">
        <v>4</v>
      </c>
      <c r="T20" s="70" t="s">
        <v>383</v>
      </c>
      <c r="U20" s="70" t="s">
        <v>383</v>
      </c>
      <c r="V20" s="70" t="s">
        <v>383</v>
      </c>
      <c r="W20" s="70" t="s">
        <v>383</v>
      </c>
      <c r="X20" s="70" t="s">
        <v>383</v>
      </c>
      <c r="Y20" s="70" t="s">
        <v>383</v>
      </c>
      <c r="Z20" s="70" t="s">
        <v>383</v>
      </c>
      <c r="AA20" s="70" t="s">
        <v>383</v>
      </c>
      <c r="AB20" s="70" t="s">
        <v>383</v>
      </c>
      <c r="AC20" s="70">
        <v>6</v>
      </c>
      <c r="AD20" s="70">
        <v>5</v>
      </c>
      <c r="AE20" s="157">
        <v>4</v>
      </c>
    </row>
    <row r="21" spans="1:31" ht="15" customHeight="1" x14ac:dyDescent="0.25">
      <c r="A21" s="156">
        <v>20</v>
      </c>
      <c r="B21" s="17" t="s">
        <v>30</v>
      </c>
      <c r="C21" s="70" t="s">
        <v>383</v>
      </c>
      <c r="D21" s="70" t="s">
        <v>383</v>
      </c>
      <c r="E21" s="70" t="s">
        <v>383</v>
      </c>
      <c r="F21" s="70" t="s">
        <v>383</v>
      </c>
      <c r="G21" s="70" t="s">
        <v>383</v>
      </c>
      <c r="H21" s="70" t="s">
        <v>383</v>
      </c>
      <c r="I21" s="70" t="s">
        <v>383</v>
      </c>
      <c r="J21" s="70" t="s">
        <v>383</v>
      </c>
      <c r="K21" s="70" t="s">
        <v>383</v>
      </c>
      <c r="L21" s="70" t="s">
        <v>383</v>
      </c>
      <c r="M21" s="70" t="s">
        <v>383</v>
      </c>
      <c r="N21" s="70" t="s">
        <v>383</v>
      </c>
      <c r="O21" s="70">
        <v>4</v>
      </c>
      <c r="P21" s="70" t="s">
        <v>383</v>
      </c>
      <c r="Q21" s="70" t="s">
        <v>383</v>
      </c>
      <c r="R21" s="70">
        <v>4</v>
      </c>
      <c r="S21" s="70" t="s">
        <v>383</v>
      </c>
      <c r="T21" s="70" t="s">
        <v>383</v>
      </c>
      <c r="U21" s="70" t="s">
        <v>383</v>
      </c>
      <c r="V21" s="70" t="s">
        <v>383</v>
      </c>
      <c r="W21" s="70" t="s">
        <v>383</v>
      </c>
      <c r="X21" s="70" t="s">
        <v>383</v>
      </c>
      <c r="Y21" s="70" t="s">
        <v>383</v>
      </c>
      <c r="Z21" s="70" t="s">
        <v>383</v>
      </c>
      <c r="AA21" s="70">
        <v>4</v>
      </c>
      <c r="AB21" s="70">
        <v>6</v>
      </c>
      <c r="AC21" s="70">
        <v>6</v>
      </c>
      <c r="AD21" s="70">
        <v>7</v>
      </c>
      <c r="AE21" s="157">
        <v>5</v>
      </c>
    </row>
    <row r="22" spans="1:31" ht="15" customHeight="1" x14ac:dyDescent="0.25">
      <c r="A22" s="156">
        <v>21</v>
      </c>
      <c r="B22" s="17" t="s">
        <v>31</v>
      </c>
      <c r="C22" s="70">
        <v>7</v>
      </c>
      <c r="D22" s="70">
        <v>6</v>
      </c>
      <c r="E22" s="70">
        <v>6</v>
      </c>
      <c r="F22" s="70">
        <v>6</v>
      </c>
      <c r="G22" s="70">
        <v>6</v>
      </c>
      <c r="H22" s="70">
        <v>7</v>
      </c>
      <c r="I22" s="70">
        <v>7</v>
      </c>
      <c r="J22" s="70">
        <v>6</v>
      </c>
      <c r="K22" s="70">
        <v>6</v>
      </c>
      <c r="L22" s="70">
        <v>5</v>
      </c>
      <c r="M22" s="70">
        <v>4</v>
      </c>
      <c r="N22" s="70">
        <v>4</v>
      </c>
      <c r="O22" s="70">
        <v>4</v>
      </c>
      <c r="P22" s="70">
        <v>5</v>
      </c>
      <c r="Q22" s="70">
        <v>4</v>
      </c>
      <c r="R22" s="70">
        <v>5</v>
      </c>
      <c r="S22" s="70">
        <v>5</v>
      </c>
      <c r="T22" s="70">
        <v>5</v>
      </c>
      <c r="U22" s="70">
        <v>5</v>
      </c>
      <c r="V22" s="70">
        <v>4</v>
      </c>
      <c r="W22" s="70">
        <v>4</v>
      </c>
      <c r="X22" s="70">
        <v>4</v>
      </c>
      <c r="Y22" s="70" t="s">
        <v>383</v>
      </c>
      <c r="Z22" s="70">
        <v>4</v>
      </c>
      <c r="AA22" s="70">
        <v>4</v>
      </c>
      <c r="AB22" s="70">
        <v>4</v>
      </c>
      <c r="AC22" s="70">
        <v>5</v>
      </c>
      <c r="AD22" s="70">
        <v>6</v>
      </c>
      <c r="AE22" s="157">
        <v>6</v>
      </c>
    </row>
    <row r="23" spans="1:31" ht="15" customHeight="1" x14ac:dyDescent="0.25">
      <c r="A23" s="156">
        <v>22</v>
      </c>
      <c r="B23" s="17" t="s">
        <v>98</v>
      </c>
      <c r="C23" s="70">
        <v>13</v>
      </c>
      <c r="D23" s="70">
        <v>13</v>
      </c>
      <c r="E23" s="70">
        <v>14</v>
      </c>
      <c r="F23" s="70">
        <v>12</v>
      </c>
      <c r="G23" s="70">
        <v>15</v>
      </c>
      <c r="H23" s="70">
        <v>12</v>
      </c>
      <c r="I23" s="70">
        <v>11</v>
      </c>
      <c r="J23" s="70">
        <v>12</v>
      </c>
      <c r="K23" s="70">
        <v>12</v>
      </c>
      <c r="L23" s="70">
        <v>11</v>
      </c>
      <c r="M23" s="70">
        <v>12</v>
      </c>
      <c r="N23" s="70">
        <v>11</v>
      </c>
      <c r="O23" s="70">
        <v>13</v>
      </c>
      <c r="P23" s="70">
        <v>11</v>
      </c>
      <c r="Q23" s="70">
        <v>12</v>
      </c>
      <c r="R23" s="70">
        <v>12</v>
      </c>
      <c r="S23" s="70">
        <v>11</v>
      </c>
      <c r="T23" s="70">
        <v>12</v>
      </c>
      <c r="U23" s="70">
        <v>11</v>
      </c>
      <c r="V23" s="70">
        <v>11</v>
      </c>
      <c r="W23" s="70">
        <v>12</v>
      </c>
      <c r="X23" s="70">
        <v>8</v>
      </c>
      <c r="Y23" s="70">
        <v>8</v>
      </c>
      <c r="Z23" s="70">
        <v>6</v>
      </c>
      <c r="AA23" s="70">
        <v>5</v>
      </c>
      <c r="AB23" s="70">
        <v>7</v>
      </c>
      <c r="AC23" s="70">
        <v>11</v>
      </c>
      <c r="AD23" s="70">
        <v>13</v>
      </c>
      <c r="AE23" s="157">
        <v>12</v>
      </c>
    </row>
    <row r="24" spans="1:31" ht="15" customHeight="1" x14ac:dyDescent="0.25">
      <c r="A24" s="156">
        <v>23</v>
      </c>
      <c r="B24" s="17" t="s">
        <v>33</v>
      </c>
      <c r="C24" s="70" t="s">
        <v>383</v>
      </c>
      <c r="D24" s="70" t="s">
        <v>383</v>
      </c>
      <c r="E24" s="70" t="s">
        <v>383</v>
      </c>
      <c r="F24" s="70" t="s">
        <v>383</v>
      </c>
      <c r="G24" s="70" t="s">
        <v>383</v>
      </c>
      <c r="H24" s="70" t="s">
        <v>383</v>
      </c>
      <c r="I24" s="70" t="s">
        <v>383</v>
      </c>
      <c r="J24" s="70" t="s">
        <v>383</v>
      </c>
      <c r="K24" s="70" t="s">
        <v>383</v>
      </c>
      <c r="L24" s="70" t="s">
        <v>383</v>
      </c>
      <c r="M24" s="70" t="s">
        <v>383</v>
      </c>
      <c r="N24" s="70" t="s">
        <v>383</v>
      </c>
      <c r="O24" s="70" t="s">
        <v>383</v>
      </c>
      <c r="P24" s="70" t="s">
        <v>383</v>
      </c>
      <c r="Q24" s="70" t="s">
        <v>383</v>
      </c>
      <c r="R24" s="70" t="s">
        <v>383</v>
      </c>
      <c r="S24" s="70" t="s">
        <v>383</v>
      </c>
      <c r="T24" s="70" t="s">
        <v>383</v>
      </c>
      <c r="U24" s="70" t="s">
        <v>383</v>
      </c>
      <c r="V24" s="70" t="s">
        <v>383</v>
      </c>
      <c r="W24" s="70" t="s">
        <v>383</v>
      </c>
      <c r="X24" s="70" t="s">
        <v>383</v>
      </c>
      <c r="Y24" s="70" t="s">
        <v>383</v>
      </c>
      <c r="Z24" s="70" t="s">
        <v>383</v>
      </c>
      <c r="AA24" s="70" t="s">
        <v>383</v>
      </c>
      <c r="AB24" s="70" t="s">
        <v>383</v>
      </c>
      <c r="AC24" s="70" t="s">
        <v>383</v>
      </c>
      <c r="AD24" s="70" t="s">
        <v>383</v>
      </c>
      <c r="AE24" s="157" t="s">
        <v>383</v>
      </c>
    </row>
    <row r="25" spans="1:31" ht="15" customHeight="1" x14ac:dyDescent="0.25">
      <c r="A25" s="156">
        <v>24</v>
      </c>
      <c r="B25" s="17" t="s">
        <v>34</v>
      </c>
      <c r="C25" s="70">
        <v>15</v>
      </c>
      <c r="D25" s="70">
        <v>12</v>
      </c>
      <c r="E25" s="70">
        <v>10</v>
      </c>
      <c r="F25" s="70">
        <v>13</v>
      </c>
      <c r="G25" s="70">
        <v>15</v>
      </c>
      <c r="H25" s="70">
        <v>19</v>
      </c>
      <c r="I25" s="70">
        <v>13</v>
      </c>
      <c r="J25" s="70">
        <v>16</v>
      </c>
      <c r="K25" s="70">
        <v>16</v>
      </c>
      <c r="L25" s="70">
        <v>14</v>
      </c>
      <c r="M25" s="70">
        <v>16</v>
      </c>
      <c r="N25" s="70">
        <v>14</v>
      </c>
      <c r="O25" s="70">
        <v>16</v>
      </c>
      <c r="P25" s="70">
        <v>16</v>
      </c>
      <c r="Q25" s="70">
        <v>18</v>
      </c>
      <c r="R25" s="70">
        <v>16</v>
      </c>
      <c r="S25" s="70">
        <v>14</v>
      </c>
      <c r="T25" s="70">
        <v>14</v>
      </c>
      <c r="U25" s="70">
        <v>14</v>
      </c>
      <c r="V25" s="70">
        <v>13</v>
      </c>
      <c r="W25" s="70">
        <v>11</v>
      </c>
      <c r="X25" s="70">
        <v>12</v>
      </c>
      <c r="Y25" s="70">
        <v>14</v>
      </c>
      <c r="Z25" s="70">
        <v>13</v>
      </c>
      <c r="AA25" s="70">
        <v>16</v>
      </c>
      <c r="AB25" s="70">
        <v>18</v>
      </c>
      <c r="AC25" s="70">
        <v>18</v>
      </c>
      <c r="AD25" s="70">
        <v>19</v>
      </c>
      <c r="AE25" s="157">
        <v>17</v>
      </c>
    </row>
    <row r="26" spans="1:31" ht="15" customHeight="1" x14ac:dyDescent="0.25">
      <c r="A26" s="156">
        <v>25</v>
      </c>
      <c r="B26" s="17" t="s">
        <v>35</v>
      </c>
      <c r="C26" s="70">
        <v>7</v>
      </c>
      <c r="D26" s="70">
        <v>9</v>
      </c>
      <c r="E26" s="70">
        <v>9</v>
      </c>
      <c r="F26" s="70">
        <v>9</v>
      </c>
      <c r="G26" s="70">
        <v>7</v>
      </c>
      <c r="H26" s="70">
        <v>9</v>
      </c>
      <c r="I26" s="70">
        <v>6</v>
      </c>
      <c r="J26" s="70">
        <v>6</v>
      </c>
      <c r="K26" s="70">
        <v>7</v>
      </c>
      <c r="L26" s="70">
        <v>7</v>
      </c>
      <c r="M26" s="70">
        <v>8</v>
      </c>
      <c r="N26" s="70">
        <v>7</v>
      </c>
      <c r="O26" s="70">
        <v>8</v>
      </c>
      <c r="P26" s="70">
        <v>10</v>
      </c>
      <c r="Q26" s="70">
        <v>10</v>
      </c>
      <c r="R26" s="70">
        <v>9</v>
      </c>
      <c r="S26" s="70">
        <v>9</v>
      </c>
      <c r="T26" s="70">
        <v>9</v>
      </c>
      <c r="U26" s="70">
        <v>10</v>
      </c>
      <c r="V26" s="70">
        <v>10</v>
      </c>
      <c r="W26" s="70">
        <v>9</v>
      </c>
      <c r="X26" s="70">
        <v>9</v>
      </c>
      <c r="Y26" s="70">
        <v>9</v>
      </c>
      <c r="Z26" s="70">
        <v>9</v>
      </c>
      <c r="AA26" s="70">
        <v>8</v>
      </c>
      <c r="AB26" s="70">
        <v>9</v>
      </c>
      <c r="AC26" s="70">
        <v>7</v>
      </c>
      <c r="AD26" s="70">
        <v>9</v>
      </c>
      <c r="AE26" s="157">
        <v>9</v>
      </c>
    </row>
    <row r="27" spans="1:31" ht="15" customHeight="1" x14ac:dyDescent="0.25">
      <c r="A27" s="156">
        <v>26</v>
      </c>
      <c r="B27" s="17" t="s">
        <v>36</v>
      </c>
      <c r="C27" s="70">
        <v>9</v>
      </c>
      <c r="D27" s="70">
        <v>10</v>
      </c>
      <c r="E27" s="70">
        <v>10</v>
      </c>
      <c r="F27" s="70">
        <v>10</v>
      </c>
      <c r="G27" s="70">
        <v>8</v>
      </c>
      <c r="H27" s="70">
        <v>7</v>
      </c>
      <c r="I27" s="70">
        <v>5</v>
      </c>
      <c r="J27" s="70">
        <v>5</v>
      </c>
      <c r="K27" s="70">
        <v>5</v>
      </c>
      <c r="L27" s="70">
        <v>6</v>
      </c>
      <c r="M27" s="70">
        <v>6</v>
      </c>
      <c r="N27" s="70">
        <v>8</v>
      </c>
      <c r="O27" s="70">
        <v>9</v>
      </c>
      <c r="P27" s="70">
        <v>6</v>
      </c>
      <c r="Q27" s="70">
        <v>5</v>
      </c>
      <c r="R27" s="70">
        <v>5</v>
      </c>
      <c r="S27" s="70">
        <v>4</v>
      </c>
      <c r="T27" s="70">
        <v>7</v>
      </c>
      <c r="U27" s="70">
        <v>6</v>
      </c>
      <c r="V27" s="70">
        <v>8</v>
      </c>
      <c r="W27" s="70">
        <v>9</v>
      </c>
      <c r="X27" s="70">
        <v>9</v>
      </c>
      <c r="Y27" s="70">
        <v>7</v>
      </c>
      <c r="Z27" s="70">
        <v>6</v>
      </c>
      <c r="AA27" s="70">
        <v>7</v>
      </c>
      <c r="AB27" s="70">
        <v>8</v>
      </c>
      <c r="AC27" s="70">
        <v>9</v>
      </c>
      <c r="AD27" s="70">
        <v>10</v>
      </c>
      <c r="AE27" s="157">
        <v>10</v>
      </c>
    </row>
    <row r="28" spans="1:31" ht="15" customHeight="1" x14ac:dyDescent="0.25">
      <c r="A28" s="156">
        <v>27</v>
      </c>
      <c r="B28" s="17" t="s">
        <v>37</v>
      </c>
      <c r="C28" s="70" t="s">
        <v>383</v>
      </c>
      <c r="D28" s="70" t="s">
        <v>383</v>
      </c>
      <c r="E28" s="70" t="s">
        <v>383</v>
      </c>
      <c r="F28" s="70" t="s">
        <v>383</v>
      </c>
      <c r="G28" s="70" t="s">
        <v>383</v>
      </c>
      <c r="H28" s="70" t="s">
        <v>383</v>
      </c>
      <c r="I28" s="70" t="s">
        <v>383</v>
      </c>
      <c r="J28" s="70" t="s">
        <v>383</v>
      </c>
      <c r="K28" s="70" t="s">
        <v>383</v>
      </c>
      <c r="L28" s="70" t="s">
        <v>383</v>
      </c>
      <c r="M28" s="70" t="s">
        <v>383</v>
      </c>
      <c r="N28" s="70" t="s">
        <v>383</v>
      </c>
      <c r="O28" s="70" t="s">
        <v>383</v>
      </c>
      <c r="P28" s="70" t="s">
        <v>383</v>
      </c>
      <c r="Q28" s="70" t="s">
        <v>383</v>
      </c>
      <c r="R28" s="70" t="s">
        <v>383</v>
      </c>
      <c r="S28" s="70" t="s">
        <v>383</v>
      </c>
      <c r="T28" s="70" t="s">
        <v>383</v>
      </c>
      <c r="U28" s="70" t="s">
        <v>383</v>
      </c>
      <c r="V28" s="70" t="s">
        <v>383</v>
      </c>
      <c r="W28" s="70" t="s">
        <v>383</v>
      </c>
      <c r="X28" s="70" t="s">
        <v>383</v>
      </c>
      <c r="Y28" s="70" t="s">
        <v>383</v>
      </c>
      <c r="Z28" s="70" t="s">
        <v>383</v>
      </c>
      <c r="AA28" s="70" t="s">
        <v>383</v>
      </c>
      <c r="AB28" s="70" t="s">
        <v>383</v>
      </c>
      <c r="AC28" s="70" t="s">
        <v>383</v>
      </c>
      <c r="AD28" s="70" t="s">
        <v>383</v>
      </c>
      <c r="AE28" s="157" t="s">
        <v>383</v>
      </c>
    </row>
    <row r="29" spans="1:31" ht="15" customHeight="1" x14ac:dyDescent="0.25">
      <c r="A29" s="156">
        <v>28</v>
      </c>
      <c r="B29" s="17" t="s">
        <v>38</v>
      </c>
      <c r="C29" s="70">
        <v>6</v>
      </c>
      <c r="D29" s="70">
        <v>9</v>
      </c>
      <c r="E29" s="70">
        <v>10</v>
      </c>
      <c r="F29" s="70">
        <v>9</v>
      </c>
      <c r="G29" s="70">
        <v>7</v>
      </c>
      <c r="H29" s="70">
        <v>7</v>
      </c>
      <c r="I29" s="70">
        <v>4</v>
      </c>
      <c r="J29" s="70">
        <v>6</v>
      </c>
      <c r="K29" s="70">
        <v>8</v>
      </c>
      <c r="L29" s="70">
        <v>9</v>
      </c>
      <c r="M29" s="70">
        <v>13</v>
      </c>
      <c r="N29" s="70">
        <v>13</v>
      </c>
      <c r="O29" s="70">
        <v>9</v>
      </c>
      <c r="P29" s="70">
        <v>11</v>
      </c>
      <c r="Q29" s="70">
        <v>11</v>
      </c>
      <c r="R29" s="70">
        <v>11</v>
      </c>
      <c r="S29" s="70">
        <v>10</v>
      </c>
      <c r="T29" s="70">
        <v>10</v>
      </c>
      <c r="U29" s="70">
        <v>15</v>
      </c>
      <c r="V29" s="70">
        <v>16</v>
      </c>
      <c r="W29" s="70">
        <v>16</v>
      </c>
      <c r="X29" s="70">
        <v>14</v>
      </c>
      <c r="Y29" s="70">
        <v>17</v>
      </c>
      <c r="Z29" s="70">
        <v>10</v>
      </c>
      <c r="AA29" s="70">
        <v>12</v>
      </c>
      <c r="AB29" s="70">
        <v>14</v>
      </c>
      <c r="AC29" s="70">
        <v>11</v>
      </c>
      <c r="AD29" s="70">
        <v>10</v>
      </c>
      <c r="AE29" s="157">
        <v>9</v>
      </c>
    </row>
    <row r="30" spans="1:31" ht="15" customHeight="1" x14ac:dyDescent="0.25">
      <c r="A30" s="156">
        <v>29</v>
      </c>
      <c r="B30" s="17" t="s">
        <v>39</v>
      </c>
      <c r="C30" s="70" t="s">
        <v>383</v>
      </c>
      <c r="D30" s="70" t="s">
        <v>383</v>
      </c>
      <c r="E30" s="70" t="s">
        <v>383</v>
      </c>
      <c r="F30" s="70" t="s">
        <v>383</v>
      </c>
      <c r="G30" s="70" t="s">
        <v>383</v>
      </c>
      <c r="H30" s="70" t="s">
        <v>383</v>
      </c>
      <c r="I30" s="70" t="s">
        <v>383</v>
      </c>
      <c r="J30" s="70" t="s">
        <v>383</v>
      </c>
      <c r="K30" s="70" t="s">
        <v>383</v>
      </c>
      <c r="L30" s="70" t="s">
        <v>383</v>
      </c>
      <c r="M30" s="70" t="s">
        <v>383</v>
      </c>
      <c r="N30" s="70" t="s">
        <v>383</v>
      </c>
      <c r="O30" s="70" t="s">
        <v>383</v>
      </c>
      <c r="P30" s="70" t="s">
        <v>383</v>
      </c>
      <c r="Q30" s="70" t="s">
        <v>383</v>
      </c>
      <c r="R30" s="70">
        <v>4</v>
      </c>
      <c r="S30" s="70" t="s">
        <v>383</v>
      </c>
      <c r="T30" s="70">
        <v>5</v>
      </c>
      <c r="U30" s="70">
        <v>5</v>
      </c>
      <c r="V30" s="70">
        <v>5</v>
      </c>
      <c r="W30" s="70">
        <v>5</v>
      </c>
      <c r="X30" s="70">
        <v>4</v>
      </c>
      <c r="Y30" s="70">
        <v>5</v>
      </c>
      <c r="Z30" s="70">
        <v>7</v>
      </c>
      <c r="AA30" s="70">
        <v>6</v>
      </c>
      <c r="AB30" s="70">
        <v>6</v>
      </c>
      <c r="AC30" s="70">
        <v>5</v>
      </c>
      <c r="AD30" s="70" t="s">
        <v>383</v>
      </c>
      <c r="AE30" s="157">
        <v>4</v>
      </c>
    </row>
    <row r="31" spans="1:31" ht="15" customHeight="1" x14ac:dyDescent="0.25">
      <c r="A31" s="156">
        <v>30</v>
      </c>
      <c r="B31" s="17" t="s">
        <v>40</v>
      </c>
      <c r="C31" s="70" t="s">
        <v>383</v>
      </c>
      <c r="D31" s="70" t="s">
        <v>383</v>
      </c>
      <c r="E31" s="70" t="s">
        <v>383</v>
      </c>
      <c r="F31" s="70" t="s">
        <v>383</v>
      </c>
      <c r="G31" s="70" t="s">
        <v>383</v>
      </c>
      <c r="H31" s="70" t="s">
        <v>383</v>
      </c>
      <c r="I31" s="70" t="s">
        <v>383</v>
      </c>
      <c r="J31" s="70" t="s">
        <v>383</v>
      </c>
      <c r="K31" s="70" t="s">
        <v>383</v>
      </c>
      <c r="L31" s="70" t="s">
        <v>383</v>
      </c>
      <c r="M31" s="70" t="s">
        <v>383</v>
      </c>
      <c r="N31" s="70" t="s">
        <v>383</v>
      </c>
      <c r="O31" s="70" t="s">
        <v>383</v>
      </c>
      <c r="P31" s="70" t="s">
        <v>383</v>
      </c>
      <c r="Q31" s="70" t="s">
        <v>383</v>
      </c>
      <c r="R31" s="70" t="s">
        <v>383</v>
      </c>
      <c r="S31" s="70" t="s">
        <v>383</v>
      </c>
      <c r="T31" s="70" t="s">
        <v>383</v>
      </c>
      <c r="U31" s="70" t="s">
        <v>383</v>
      </c>
      <c r="V31" s="70" t="s">
        <v>383</v>
      </c>
      <c r="W31" s="70" t="s">
        <v>383</v>
      </c>
      <c r="X31" s="70" t="s">
        <v>383</v>
      </c>
      <c r="Y31" s="70" t="s">
        <v>383</v>
      </c>
      <c r="Z31" s="70" t="s">
        <v>383</v>
      </c>
      <c r="AA31" s="70" t="s">
        <v>383</v>
      </c>
      <c r="AB31" s="70" t="s">
        <v>383</v>
      </c>
      <c r="AC31" s="70" t="s">
        <v>383</v>
      </c>
      <c r="AD31" s="70" t="s">
        <v>383</v>
      </c>
      <c r="AE31" s="157" t="s">
        <v>383</v>
      </c>
    </row>
    <row r="32" spans="1:31" ht="15" customHeight="1" x14ac:dyDescent="0.25">
      <c r="A32" s="156">
        <v>31</v>
      </c>
      <c r="B32" s="17" t="s">
        <v>41</v>
      </c>
      <c r="C32" s="70" t="s">
        <v>383</v>
      </c>
      <c r="D32" s="70" t="s">
        <v>383</v>
      </c>
      <c r="E32" s="70" t="s">
        <v>383</v>
      </c>
      <c r="F32" s="70" t="s">
        <v>383</v>
      </c>
      <c r="G32" s="70" t="s">
        <v>383</v>
      </c>
      <c r="H32" s="70" t="s">
        <v>383</v>
      </c>
      <c r="I32" s="70" t="s">
        <v>383</v>
      </c>
      <c r="J32" s="70" t="s">
        <v>383</v>
      </c>
      <c r="K32" s="70" t="s">
        <v>383</v>
      </c>
      <c r="L32" s="70" t="s">
        <v>383</v>
      </c>
      <c r="M32" s="70" t="s">
        <v>383</v>
      </c>
      <c r="N32" s="70" t="s">
        <v>383</v>
      </c>
      <c r="O32" s="70" t="s">
        <v>383</v>
      </c>
      <c r="P32" s="70" t="s">
        <v>383</v>
      </c>
      <c r="Q32" s="70" t="s">
        <v>383</v>
      </c>
      <c r="R32" s="70" t="s">
        <v>383</v>
      </c>
      <c r="S32" s="70" t="s">
        <v>383</v>
      </c>
      <c r="T32" s="70" t="s">
        <v>383</v>
      </c>
      <c r="U32" s="70" t="s">
        <v>383</v>
      </c>
      <c r="V32" s="70" t="s">
        <v>383</v>
      </c>
      <c r="W32" s="70" t="s">
        <v>383</v>
      </c>
      <c r="X32" s="70" t="s">
        <v>383</v>
      </c>
      <c r="Y32" s="70" t="s">
        <v>383</v>
      </c>
      <c r="Z32" s="70" t="s">
        <v>383</v>
      </c>
      <c r="AA32" s="70" t="s">
        <v>383</v>
      </c>
      <c r="AB32" s="70" t="s">
        <v>383</v>
      </c>
      <c r="AC32" s="70" t="s">
        <v>383</v>
      </c>
      <c r="AD32" s="70" t="s">
        <v>383</v>
      </c>
      <c r="AE32" s="157" t="s">
        <v>383</v>
      </c>
    </row>
    <row r="33" spans="1:32" ht="15" customHeight="1" x14ac:dyDescent="0.25">
      <c r="A33" s="156">
        <v>32</v>
      </c>
      <c r="B33" s="17" t="s">
        <v>42</v>
      </c>
      <c r="C33" s="70" t="s">
        <v>383</v>
      </c>
      <c r="D33" s="70" t="s">
        <v>383</v>
      </c>
      <c r="E33" s="70" t="s">
        <v>383</v>
      </c>
      <c r="F33" s="70" t="s">
        <v>383</v>
      </c>
      <c r="G33" s="70" t="s">
        <v>383</v>
      </c>
      <c r="H33" s="70" t="s">
        <v>383</v>
      </c>
      <c r="I33" s="70" t="s">
        <v>383</v>
      </c>
      <c r="J33" s="70" t="s">
        <v>383</v>
      </c>
      <c r="K33" s="70" t="s">
        <v>383</v>
      </c>
      <c r="L33" s="70" t="s">
        <v>383</v>
      </c>
      <c r="M33" s="70" t="s">
        <v>383</v>
      </c>
      <c r="N33" s="70" t="s">
        <v>383</v>
      </c>
      <c r="O33" s="70" t="s">
        <v>383</v>
      </c>
      <c r="P33" s="70" t="s">
        <v>383</v>
      </c>
      <c r="Q33" s="70" t="s">
        <v>383</v>
      </c>
      <c r="R33" s="70" t="s">
        <v>383</v>
      </c>
      <c r="S33" s="70" t="s">
        <v>383</v>
      </c>
      <c r="T33" s="70" t="s">
        <v>383</v>
      </c>
      <c r="U33" s="70" t="s">
        <v>383</v>
      </c>
      <c r="V33" s="70" t="s">
        <v>383</v>
      </c>
      <c r="W33" s="70" t="s">
        <v>383</v>
      </c>
      <c r="X33" s="70" t="s">
        <v>383</v>
      </c>
      <c r="Y33" s="70" t="s">
        <v>383</v>
      </c>
      <c r="Z33" s="70" t="s">
        <v>383</v>
      </c>
      <c r="AA33" s="70" t="s">
        <v>383</v>
      </c>
      <c r="AB33" s="70" t="s">
        <v>383</v>
      </c>
      <c r="AC33" s="70" t="s">
        <v>383</v>
      </c>
      <c r="AD33" s="70" t="s">
        <v>383</v>
      </c>
      <c r="AE33" s="157" t="s">
        <v>383</v>
      </c>
    </row>
    <row r="34" spans="1:32" ht="15" customHeight="1" x14ac:dyDescent="0.25">
      <c r="A34" s="156">
        <v>33</v>
      </c>
      <c r="B34" s="17" t="s">
        <v>43</v>
      </c>
      <c r="C34" s="70" t="s">
        <v>383</v>
      </c>
      <c r="D34" s="70" t="s">
        <v>383</v>
      </c>
      <c r="E34" s="70" t="s">
        <v>383</v>
      </c>
      <c r="F34" s="70" t="s">
        <v>383</v>
      </c>
      <c r="G34" s="70" t="s">
        <v>383</v>
      </c>
      <c r="H34" s="70" t="s">
        <v>383</v>
      </c>
      <c r="I34" s="70" t="s">
        <v>383</v>
      </c>
      <c r="J34" s="70" t="s">
        <v>383</v>
      </c>
      <c r="K34" s="70" t="s">
        <v>383</v>
      </c>
      <c r="L34" s="70" t="s">
        <v>383</v>
      </c>
      <c r="M34" s="70" t="s">
        <v>383</v>
      </c>
      <c r="N34" s="70" t="s">
        <v>383</v>
      </c>
      <c r="O34" s="70" t="s">
        <v>383</v>
      </c>
      <c r="P34" s="70" t="s">
        <v>383</v>
      </c>
      <c r="Q34" s="70" t="s">
        <v>383</v>
      </c>
      <c r="R34" s="70" t="s">
        <v>383</v>
      </c>
      <c r="S34" s="70" t="s">
        <v>383</v>
      </c>
      <c r="T34" s="70" t="s">
        <v>383</v>
      </c>
      <c r="U34" s="70" t="s">
        <v>383</v>
      </c>
      <c r="V34" s="70" t="s">
        <v>383</v>
      </c>
      <c r="W34" s="70" t="s">
        <v>383</v>
      </c>
      <c r="X34" s="70" t="s">
        <v>383</v>
      </c>
      <c r="Y34" s="70" t="s">
        <v>383</v>
      </c>
      <c r="Z34" s="70" t="s">
        <v>383</v>
      </c>
      <c r="AA34" s="70" t="s">
        <v>383</v>
      </c>
      <c r="AB34" s="70" t="s">
        <v>383</v>
      </c>
      <c r="AC34" s="70" t="s">
        <v>383</v>
      </c>
      <c r="AD34" s="70" t="s">
        <v>383</v>
      </c>
      <c r="AE34" s="157" t="s">
        <v>383</v>
      </c>
    </row>
    <row r="35" spans="1:32" ht="15" customHeight="1" x14ac:dyDescent="0.25">
      <c r="A35" s="156">
        <v>34</v>
      </c>
      <c r="B35" s="17" t="s">
        <v>44</v>
      </c>
      <c r="C35" s="70" t="s">
        <v>383</v>
      </c>
      <c r="D35" s="70" t="s">
        <v>383</v>
      </c>
      <c r="E35" s="70" t="s">
        <v>383</v>
      </c>
      <c r="F35" s="70" t="s">
        <v>383</v>
      </c>
      <c r="G35" s="70" t="s">
        <v>383</v>
      </c>
      <c r="H35" s="70" t="s">
        <v>383</v>
      </c>
      <c r="I35" s="70" t="s">
        <v>383</v>
      </c>
      <c r="J35" s="70" t="s">
        <v>383</v>
      </c>
      <c r="K35" s="70" t="s">
        <v>383</v>
      </c>
      <c r="L35" s="70" t="s">
        <v>383</v>
      </c>
      <c r="M35" s="70" t="s">
        <v>383</v>
      </c>
      <c r="N35" s="70" t="s">
        <v>383</v>
      </c>
      <c r="O35" s="70" t="s">
        <v>383</v>
      </c>
      <c r="P35" s="70" t="s">
        <v>383</v>
      </c>
      <c r="Q35" s="70" t="s">
        <v>383</v>
      </c>
      <c r="R35" s="70" t="s">
        <v>383</v>
      </c>
      <c r="S35" s="70" t="s">
        <v>383</v>
      </c>
      <c r="T35" s="70" t="s">
        <v>383</v>
      </c>
      <c r="U35" s="70" t="s">
        <v>383</v>
      </c>
      <c r="V35" s="70" t="s">
        <v>383</v>
      </c>
      <c r="W35" s="70" t="s">
        <v>383</v>
      </c>
      <c r="X35" s="70" t="s">
        <v>383</v>
      </c>
      <c r="Y35" s="70" t="s">
        <v>383</v>
      </c>
      <c r="Z35" s="70" t="s">
        <v>383</v>
      </c>
      <c r="AA35" s="70" t="s">
        <v>383</v>
      </c>
      <c r="AB35" s="70" t="s">
        <v>383</v>
      </c>
      <c r="AC35" s="70" t="s">
        <v>383</v>
      </c>
      <c r="AD35" s="70" t="s">
        <v>383</v>
      </c>
      <c r="AE35" s="157" t="s">
        <v>383</v>
      </c>
    </row>
    <row r="36" spans="1:32" ht="15" customHeight="1" x14ac:dyDescent="0.25">
      <c r="A36" s="156">
        <v>35</v>
      </c>
      <c r="B36" s="17" t="s">
        <v>45</v>
      </c>
      <c r="C36" s="70" t="s">
        <v>383</v>
      </c>
      <c r="D36" s="70" t="s">
        <v>383</v>
      </c>
      <c r="E36" s="70" t="s">
        <v>383</v>
      </c>
      <c r="F36" s="70" t="s">
        <v>383</v>
      </c>
      <c r="G36" s="70" t="s">
        <v>383</v>
      </c>
      <c r="H36" s="70" t="s">
        <v>383</v>
      </c>
      <c r="I36" s="70" t="s">
        <v>383</v>
      </c>
      <c r="J36" s="70" t="s">
        <v>383</v>
      </c>
      <c r="K36" s="70" t="s">
        <v>383</v>
      </c>
      <c r="L36" s="70" t="s">
        <v>383</v>
      </c>
      <c r="M36" s="70" t="s">
        <v>383</v>
      </c>
      <c r="N36" s="70" t="s">
        <v>383</v>
      </c>
      <c r="O36" s="70" t="s">
        <v>383</v>
      </c>
      <c r="P36" s="70" t="s">
        <v>383</v>
      </c>
      <c r="Q36" s="70" t="s">
        <v>383</v>
      </c>
      <c r="R36" s="70" t="s">
        <v>383</v>
      </c>
      <c r="S36" s="70" t="s">
        <v>383</v>
      </c>
      <c r="T36" s="70" t="s">
        <v>383</v>
      </c>
      <c r="U36" s="70" t="s">
        <v>383</v>
      </c>
      <c r="V36" s="70" t="s">
        <v>383</v>
      </c>
      <c r="W36" s="70" t="s">
        <v>383</v>
      </c>
      <c r="X36" s="70" t="s">
        <v>383</v>
      </c>
      <c r="Y36" s="70" t="s">
        <v>383</v>
      </c>
      <c r="Z36" s="70" t="s">
        <v>383</v>
      </c>
      <c r="AA36" s="70" t="s">
        <v>383</v>
      </c>
      <c r="AB36" s="70" t="s">
        <v>383</v>
      </c>
      <c r="AC36" s="70" t="s">
        <v>383</v>
      </c>
      <c r="AD36" s="70" t="s">
        <v>383</v>
      </c>
      <c r="AE36" s="157" t="s">
        <v>383</v>
      </c>
    </row>
    <row r="37" spans="1:32" ht="15" customHeight="1" x14ac:dyDescent="0.25">
      <c r="A37" s="156">
        <v>36</v>
      </c>
      <c r="B37" s="17" t="s">
        <v>46</v>
      </c>
      <c r="C37" s="70">
        <v>5</v>
      </c>
      <c r="D37" s="70">
        <v>4</v>
      </c>
      <c r="E37" s="70">
        <v>4</v>
      </c>
      <c r="F37" s="70">
        <v>5</v>
      </c>
      <c r="G37" s="70">
        <v>5</v>
      </c>
      <c r="H37" s="70">
        <v>6</v>
      </c>
      <c r="I37" s="70">
        <v>5</v>
      </c>
      <c r="J37" s="70">
        <v>5</v>
      </c>
      <c r="K37" s="70">
        <v>5</v>
      </c>
      <c r="L37" s="70">
        <v>6</v>
      </c>
      <c r="M37" s="70">
        <v>6</v>
      </c>
      <c r="N37" s="70">
        <v>5</v>
      </c>
      <c r="O37" s="70">
        <v>5</v>
      </c>
      <c r="P37" s="70">
        <v>4</v>
      </c>
      <c r="Q37" s="70">
        <v>7</v>
      </c>
      <c r="R37" s="70">
        <v>6</v>
      </c>
      <c r="S37" s="70">
        <v>6</v>
      </c>
      <c r="T37" s="70">
        <v>6</v>
      </c>
      <c r="U37" s="70">
        <v>5</v>
      </c>
      <c r="V37" s="70">
        <v>5</v>
      </c>
      <c r="W37" s="70">
        <v>5</v>
      </c>
      <c r="X37" s="70">
        <v>5</v>
      </c>
      <c r="Y37" s="70">
        <v>4</v>
      </c>
      <c r="Z37" s="70">
        <v>4</v>
      </c>
      <c r="AA37" s="70" t="s">
        <v>383</v>
      </c>
      <c r="AB37" s="70">
        <v>4</v>
      </c>
      <c r="AC37" s="70">
        <v>7</v>
      </c>
      <c r="AD37" s="70">
        <v>5</v>
      </c>
      <c r="AE37" s="157">
        <v>5</v>
      </c>
    </row>
    <row r="38" spans="1:32" ht="15" customHeight="1" thickBot="1" x14ac:dyDescent="0.3">
      <c r="A38" s="152">
        <v>37</v>
      </c>
      <c r="B38" s="15" t="s">
        <v>47</v>
      </c>
      <c r="C38" s="68" t="s">
        <v>383</v>
      </c>
      <c r="D38" s="68" t="s">
        <v>383</v>
      </c>
      <c r="E38" s="68" t="s">
        <v>383</v>
      </c>
      <c r="F38" s="68" t="s">
        <v>383</v>
      </c>
      <c r="G38" s="68" t="s">
        <v>383</v>
      </c>
      <c r="H38" s="68">
        <v>4</v>
      </c>
      <c r="I38" s="68" t="s">
        <v>383</v>
      </c>
      <c r="J38" s="68" t="s">
        <v>383</v>
      </c>
      <c r="K38" s="68">
        <v>4</v>
      </c>
      <c r="L38" s="68">
        <v>4</v>
      </c>
      <c r="M38" s="68">
        <v>4</v>
      </c>
      <c r="N38" s="68">
        <v>5</v>
      </c>
      <c r="O38" s="68">
        <v>4</v>
      </c>
      <c r="P38" s="68">
        <v>4</v>
      </c>
      <c r="Q38" s="68">
        <v>4</v>
      </c>
      <c r="R38" s="68">
        <v>4</v>
      </c>
      <c r="S38" s="68">
        <v>4</v>
      </c>
      <c r="T38" s="68">
        <v>4</v>
      </c>
      <c r="U38" s="68">
        <v>4</v>
      </c>
      <c r="V38" s="68">
        <v>4</v>
      </c>
      <c r="W38" s="68">
        <v>5</v>
      </c>
      <c r="X38" s="68" t="s">
        <v>383</v>
      </c>
      <c r="Y38" s="68" t="s">
        <v>383</v>
      </c>
      <c r="Z38" s="68" t="s">
        <v>383</v>
      </c>
      <c r="AA38" s="68" t="s">
        <v>383</v>
      </c>
      <c r="AB38" s="68" t="s">
        <v>383</v>
      </c>
      <c r="AC38" s="68" t="s">
        <v>383</v>
      </c>
      <c r="AD38" s="68" t="s">
        <v>383</v>
      </c>
      <c r="AE38" s="153" t="s">
        <v>383</v>
      </c>
    </row>
    <row r="39" spans="1:32" s="11" customFormat="1" ht="15" customHeight="1" thickBot="1" x14ac:dyDescent="0.3">
      <c r="A39" s="144" t="s">
        <v>48</v>
      </c>
      <c r="B39" s="9" t="s">
        <v>49</v>
      </c>
      <c r="C39" s="64">
        <v>5</v>
      </c>
      <c r="D39" s="64">
        <v>6</v>
      </c>
      <c r="E39" s="64">
        <v>7</v>
      </c>
      <c r="F39" s="64">
        <v>9</v>
      </c>
      <c r="G39" s="64">
        <v>8</v>
      </c>
      <c r="H39" s="64">
        <v>8</v>
      </c>
      <c r="I39" s="64">
        <v>9</v>
      </c>
      <c r="J39" s="64">
        <v>8</v>
      </c>
      <c r="K39" s="64">
        <v>8</v>
      </c>
      <c r="L39" s="64">
        <v>8</v>
      </c>
      <c r="M39" s="64">
        <v>8</v>
      </c>
      <c r="N39" s="64">
        <v>8</v>
      </c>
      <c r="O39" s="64">
        <v>9</v>
      </c>
      <c r="P39" s="64">
        <v>10</v>
      </c>
      <c r="Q39" s="64">
        <v>9</v>
      </c>
      <c r="R39" s="64">
        <v>10</v>
      </c>
      <c r="S39" s="64">
        <v>10</v>
      </c>
      <c r="T39" s="64">
        <v>11</v>
      </c>
      <c r="U39" s="64">
        <v>10</v>
      </c>
      <c r="V39" s="64">
        <v>10</v>
      </c>
      <c r="W39" s="64">
        <v>10</v>
      </c>
      <c r="X39" s="64">
        <v>10</v>
      </c>
      <c r="Y39" s="64">
        <v>13</v>
      </c>
      <c r="Z39" s="64">
        <v>12</v>
      </c>
      <c r="AA39" s="64">
        <v>13</v>
      </c>
      <c r="AB39" s="64">
        <v>14</v>
      </c>
      <c r="AC39" s="64">
        <v>13</v>
      </c>
      <c r="AD39" s="64">
        <v>12</v>
      </c>
      <c r="AE39" s="145">
        <v>13</v>
      </c>
      <c r="AF39" s="10"/>
    </row>
    <row r="40" spans="1:32" ht="15" customHeight="1" x14ac:dyDescent="0.25">
      <c r="A40" s="146">
        <v>40</v>
      </c>
      <c r="B40" s="12" t="s">
        <v>50</v>
      </c>
      <c r="C40" s="65" t="s">
        <v>383</v>
      </c>
      <c r="D40" s="65" t="s">
        <v>383</v>
      </c>
      <c r="E40" s="65" t="s">
        <v>383</v>
      </c>
      <c r="F40" s="65" t="s">
        <v>383</v>
      </c>
      <c r="G40" s="65" t="s">
        <v>383</v>
      </c>
      <c r="H40" s="65" t="s">
        <v>383</v>
      </c>
      <c r="I40" s="65">
        <v>5</v>
      </c>
      <c r="J40" s="65">
        <v>4</v>
      </c>
      <c r="K40" s="65">
        <v>4</v>
      </c>
      <c r="L40" s="65">
        <v>4</v>
      </c>
      <c r="M40" s="65">
        <v>4</v>
      </c>
      <c r="N40" s="65">
        <v>4</v>
      </c>
      <c r="O40" s="65">
        <v>5</v>
      </c>
      <c r="P40" s="65">
        <v>6</v>
      </c>
      <c r="Q40" s="65" t="s">
        <v>383</v>
      </c>
      <c r="R40" s="65" t="s">
        <v>383</v>
      </c>
      <c r="S40" s="65" t="s">
        <v>383</v>
      </c>
      <c r="T40" s="65" t="s">
        <v>383</v>
      </c>
      <c r="U40" s="65" t="s">
        <v>383</v>
      </c>
      <c r="V40" s="65" t="s">
        <v>383</v>
      </c>
      <c r="W40" s="65" t="s">
        <v>383</v>
      </c>
      <c r="X40" s="65" t="s">
        <v>383</v>
      </c>
      <c r="Y40" s="65" t="s">
        <v>383</v>
      </c>
      <c r="Z40" s="65" t="s">
        <v>383</v>
      </c>
      <c r="AA40" s="65" t="s">
        <v>383</v>
      </c>
      <c r="AB40" s="65" t="s">
        <v>383</v>
      </c>
      <c r="AC40" s="65" t="s">
        <v>383</v>
      </c>
      <c r="AD40" s="65" t="s">
        <v>383</v>
      </c>
      <c r="AE40" s="147" t="s">
        <v>383</v>
      </c>
    </row>
    <row r="41" spans="1:32" ht="15" customHeight="1" thickBot="1" x14ac:dyDescent="0.3">
      <c r="A41" s="158">
        <v>41</v>
      </c>
      <c r="B41" s="18" t="s">
        <v>51</v>
      </c>
      <c r="C41" s="71" t="s">
        <v>383</v>
      </c>
      <c r="D41" s="71" t="s">
        <v>383</v>
      </c>
      <c r="E41" s="71" t="s">
        <v>383</v>
      </c>
      <c r="F41" s="71" t="s">
        <v>383</v>
      </c>
      <c r="G41" s="71" t="s">
        <v>383</v>
      </c>
      <c r="H41" s="71" t="s">
        <v>383</v>
      </c>
      <c r="I41" s="71">
        <v>4</v>
      </c>
      <c r="J41" s="71">
        <v>4</v>
      </c>
      <c r="K41" s="71">
        <v>4</v>
      </c>
      <c r="L41" s="71">
        <v>4</v>
      </c>
      <c r="M41" s="71">
        <v>4</v>
      </c>
      <c r="N41" s="71">
        <v>4</v>
      </c>
      <c r="O41" s="71">
        <v>4</v>
      </c>
      <c r="P41" s="71">
        <v>4</v>
      </c>
      <c r="Q41" s="71" t="s">
        <v>383</v>
      </c>
      <c r="R41" s="71" t="s">
        <v>383</v>
      </c>
      <c r="S41" s="71" t="s">
        <v>383</v>
      </c>
      <c r="T41" s="71" t="s">
        <v>383</v>
      </c>
      <c r="U41" s="71" t="s">
        <v>383</v>
      </c>
      <c r="V41" s="71" t="s">
        <v>383</v>
      </c>
      <c r="W41" s="71" t="s">
        <v>383</v>
      </c>
      <c r="X41" s="71" t="s">
        <v>383</v>
      </c>
      <c r="Y41" s="71" t="s">
        <v>383</v>
      </c>
      <c r="Z41" s="71" t="s">
        <v>383</v>
      </c>
      <c r="AA41" s="71" t="s">
        <v>383</v>
      </c>
      <c r="AB41" s="71" t="s">
        <v>383</v>
      </c>
      <c r="AC41" s="71" t="s">
        <v>383</v>
      </c>
      <c r="AD41" s="71" t="s">
        <v>383</v>
      </c>
      <c r="AE41" s="159" t="s">
        <v>383</v>
      </c>
    </row>
    <row r="42" spans="1:32" s="11" customFormat="1" ht="15" customHeight="1" thickBot="1" x14ac:dyDescent="0.3">
      <c r="A42" s="160" t="s">
        <v>52</v>
      </c>
      <c r="B42" s="19" t="s">
        <v>53</v>
      </c>
      <c r="C42" s="64">
        <v>72</v>
      </c>
      <c r="D42" s="64">
        <v>95</v>
      </c>
      <c r="E42" s="64">
        <v>114</v>
      </c>
      <c r="F42" s="64">
        <v>108</v>
      </c>
      <c r="G42" s="64">
        <v>91</v>
      </c>
      <c r="H42" s="64">
        <v>89</v>
      </c>
      <c r="I42" s="64">
        <v>76</v>
      </c>
      <c r="J42" s="64">
        <v>85</v>
      </c>
      <c r="K42" s="64">
        <v>93</v>
      </c>
      <c r="L42" s="64">
        <v>118</v>
      </c>
      <c r="M42" s="64">
        <v>117</v>
      </c>
      <c r="N42" s="64">
        <v>130</v>
      </c>
      <c r="O42" s="64">
        <v>127</v>
      </c>
      <c r="P42" s="64">
        <v>136</v>
      </c>
      <c r="Q42" s="64">
        <v>148</v>
      </c>
      <c r="R42" s="64">
        <v>147</v>
      </c>
      <c r="S42" s="64">
        <v>151</v>
      </c>
      <c r="T42" s="64">
        <v>156</v>
      </c>
      <c r="U42" s="64">
        <v>165</v>
      </c>
      <c r="V42" s="64">
        <v>168</v>
      </c>
      <c r="W42" s="64">
        <v>155</v>
      </c>
      <c r="X42" s="64">
        <v>158</v>
      </c>
      <c r="Y42" s="64">
        <v>160</v>
      </c>
      <c r="Z42" s="64">
        <v>132</v>
      </c>
      <c r="AA42" s="64">
        <v>119</v>
      </c>
      <c r="AB42" s="64">
        <v>137</v>
      </c>
      <c r="AC42" s="64">
        <v>148</v>
      </c>
      <c r="AD42" s="64">
        <v>149</v>
      </c>
      <c r="AE42" s="145">
        <v>139</v>
      </c>
      <c r="AF42" s="10"/>
    </row>
    <row r="43" spans="1:32" ht="15" customHeight="1" thickBot="1" x14ac:dyDescent="0.3">
      <c r="A43" s="150">
        <v>45</v>
      </c>
      <c r="B43" s="14" t="s">
        <v>54</v>
      </c>
      <c r="C43" s="67">
        <v>72</v>
      </c>
      <c r="D43" s="67">
        <v>95</v>
      </c>
      <c r="E43" s="67">
        <v>114</v>
      </c>
      <c r="F43" s="67">
        <v>108</v>
      </c>
      <c r="G43" s="67">
        <v>91</v>
      </c>
      <c r="H43" s="67">
        <v>89</v>
      </c>
      <c r="I43" s="67">
        <v>76</v>
      </c>
      <c r="J43" s="67">
        <v>85</v>
      </c>
      <c r="K43" s="67">
        <v>93</v>
      </c>
      <c r="L43" s="67">
        <v>118</v>
      </c>
      <c r="M43" s="67">
        <v>117</v>
      </c>
      <c r="N43" s="67">
        <v>130</v>
      </c>
      <c r="O43" s="67">
        <v>127</v>
      </c>
      <c r="P43" s="67">
        <v>136</v>
      </c>
      <c r="Q43" s="67">
        <v>148</v>
      </c>
      <c r="R43" s="67">
        <v>147</v>
      </c>
      <c r="S43" s="67">
        <v>151</v>
      </c>
      <c r="T43" s="67">
        <v>156</v>
      </c>
      <c r="U43" s="67">
        <v>165</v>
      </c>
      <c r="V43" s="67">
        <v>168</v>
      </c>
      <c r="W43" s="67">
        <v>155</v>
      </c>
      <c r="X43" s="67">
        <v>158</v>
      </c>
      <c r="Y43" s="67">
        <v>160</v>
      </c>
      <c r="Z43" s="67">
        <v>132</v>
      </c>
      <c r="AA43" s="67">
        <v>119</v>
      </c>
      <c r="AB43" s="67">
        <v>137</v>
      </c>
      <c r="AC43" s="67">
        <v>148</v>
      </c>
      <c r="AD43" s="67">
        <v>149</v>
      </c>
      <c r="AE43" s="151">
        <v>139</v>
      </c>
    </row>
    <row r="44" spans="1:32" s="11" customFormat="1" ht="15" customHeight="1" thickBot="1" x14ac:dyDescent="0.3">
      <c r="A44" s="144" t="s">
        <v>55</v>
      </c>
      <c r="B44" s="9" t="s">
        <v>56</v>
      </c>
      <c r="C44" s="64">
        <v>530</v>
      </c>
      <c r="D44" s="64">
        <v>548</v>
      </c>
      <c r="E44" s="64">
        <v>564</v>
      </c>
      <c r="F44" s="64">
        <v>577</v>
      </c>
      <c r="G44" s="64">
        <v>594</v>
      </c>
      <c r="H44" s="64">
        <v>593</v>
      </c>
      <c r="I44" s="64">
        <v>554</v>
      </c>
      <c r="J44" s="64">
        <v>580</v>
      </c>
      <c r="K44" s="64">
        <v>646</v>
      </c>
      <c r="L44" s="64">
        <v>705</v>
      </c>
      <c r="M44" s="64">
        <v>763</v>
      </c>
      <c r="N44" s="64">
        <v>820</v>
      </c>
      <c r="O44" s="64">
        <v>866</v>
      </c>
      <c r="P44" s="64">
        <v>917</v>
      </c>
      <c r="Q44" s="64">
        <v>971</v>
      </c>
      <c r="R44" s="64">
        <v>1000</v>
      </c>
      <c r="S44" s="64">
        <v>964</v>
      </c>
      <c r="T44" s="64">
        <v>1027</v>
      </c>
      <c r="U44" s="64">
        <v>1036</v>
      </c>
      <c r="V44" s="64">
        <v>1055</v>
      </c>
      <c r="W44" s="64">
        <v>1061</v>
      </c>
      <c r="X44" s="64">
        <v>1073</v>
      </c>
      <c r="Y44" s="64">
        <v>1064</v>
      </c>
      <c r="Z44" s="64">
        <v>997</v>
      </c>
      <c r="AA44" s="64">
        <v>967</v>
      </c>
      <c r="AB44" s="64">
        <v>1001</v>
      </c>
      <c r="AC44" s="64">
        <v>1197</v>
      </c>
      <c r="AD44" s="64">
        <v>1384</v>
      </c>
      <c r="AE44" s="145">
        <v>1286</v>
      </c>
      <c r="AF44" s="10"/>
    </row>
    <row r="45" spans="1:32" ht="15" customHeight="1" x14ac:dyDescent="0.25">
      <c r="A45" s="146">
        <v>50</v>
      </c>
      <c r="B45" s="12" t="s">
        <v>57</v>
      </c>
      <c r="C45" s="65">
        <v>67</v>
      </c>
      <c r="D45" s="65">
        <v>74</v>
      </c>
      <c r="E45" s="65">
        <v>78</v>
      </c>
      <c r="F45" s="65">
        <v>77</v>
      </c>
      <c r="G45" s="65">
        <v>79</v>
      </c>
      <c r="H45" s="65">
        <v>81</v>
      </c>
      <c r="I45" s="65">
        <v>74</v>
      </c>
      <c r="J45" s="65">
        <v>80</v>
      </c>
      <c r="K45" s="65">
        <v>86</v>
      </c>
      <c r="L45" s="65">
        <v>95</v>
      </c>
      <c r="M45" s="65">
        <v>105</v>
      </c>
      <c r="N45" s="65">
        <v>113</v>
      </c>
      <c r="O45" s="65">
        <v>114</v>
      </c>
      <c r="P45" s="65">
        <v>124</v>
      </c>
      <c r="Q45" s="65">
        <v>124</v>
      </c>
      <c r="R45" s="65">
        <v>132</v>
      </c>
      <c r="S45" s="65">
        <v>126</v>
      </c>
      <c r="T45" s="65">
        <v>134</v>
      </c>
      <c r="U45" s="65">
        <v>137</v>
      </c>
      <c r="V45" s="65">
        <v>139</v>
      </c>
      <c r="W45" s="65">
        <v>139</v>
      </c>
      <c r="X45" s="65">
        <v>134</v>
      </c>
      <c r="Y45" s="65">
        <v>136</v>
      </c>
      <c r="Z45" s="65">
        <v>129</v>
      </c>
      <c r="AA45" s="65">
        <v>123</v>
      </c>
      <c r="AB45" s="65">
        <v>128</v>
      </c>
      <c r="AC45" s="65">
        <v>138</v>
      </c>
      <c r="AD45" s="65">
        <v>146</v>
      </c>
      <c r="AE45" s="147">
        <v>144</v>
      </c>
    </row>
    <row r="46" spans="1:32" ht="15" customHeight="1" x14ac:dyDescent="0.25">
      <c r="A46" s="156">
        <v>51</v>
      </c>
      <c r="B46" s="17" t="s">
        <v>58</v>
      </c>
      <c r="C46" s="70">
        <v>79</v>
      </c>
      <c r="D46" s="70">
        <v>80</v>
      </c>
      <c r="E46" s="70">
        <v>76</v>
      </c>
      <c r="F46" s="70">
        <v>82</v>
      </c>
      <c r="G46" s="70">
        <v>86</v>
      </c>
      <c r="H46" s="70">
        <v>86</v>
      </c>
      <c r="I46" s="70">
        <v>80</v>
      </c>
      <c r="J46" s="70">
        <v>78</v>
      </c>
      <c r="K46" s="70">
        <v>84</v>
      </c>
      <c r="L46" s="70">
        <v>87</v>
      </c>
      <c r="M46" s="70">
        <v>90</v>
      </c>
      <c r="N46" s="70">
        <v>94</v>
      </c>
      <c r="O46" s="70">
        <v>100</v>
      </c>
      <c r="P46" s="70">
        <v>102</v>
      </c>
      <c r="Q46" s="70">
        <v>108</v>
      </c>
      <c r="R46" s="70">
        <v>111</v>
      </c>
      <c r="S46" s="70">
        <v>112</v>
      </c>
      <c r="T46" s="70">
        <v>120</v>
      </c>
      <c r="U46" s="70">
        <v>115</v>
      </c>
      <c r="V46" s="70">
        <v>120</v>
      </c>
      <c r="W46" s="70">
        <v>121</v>
      </c>
      <c r="X46" s="70">
        <v>129</v>
      </c>
      <c r="Y46" s="70">
        <v>129</v>
      </c>
      <c r="Z46" s="70">
        <v>126</v>
      </c>
      <c r="AA46" s="70">
        <v>126</v>
      </c>
      <c r="AB46" s="70">
        <v>138</v>
      </c>
      <c r="AC46" s="70">
        <v>135</v>
      </c>
      <c r="AD46" s="70">
        <v>144</v>
      </c>
      <c r="AE46" s="157">
        <v>154</v>
      </c>
    </row>
    <row r="47" spans="1:32" ht="15" customHeight="1" thickBot="1" x14ac:dyDescent="0.3">
      <c r="A47" s="158">
        <v>52</v>
      </c>
      <c r="B47" s="18" t="s">
        <v>59</v>
      </c>
      <c r="C47" s="71">
        <v>384</v>
      </c>
      <c r="D47" s="71">
        <v>394</v>
      </c>
      <c r="E47" s="71">
        <v>410</v>
      </c>
      <c r="F47" s="71">
        <v>418</v>
      </c>
      <c r="G47" s="71">
        <v>429</v>
      </c>
      <c r="H47" s="71">
        <v>426</v>
      </c>
      <c r="I47" s="71">
        <v>400</v>
      </c>
      <c r="J47" s="71">
        <v>422</v>
      </c>
      <c r="K47" s="71">
        <v>476</v>
      </c>
      <c r="L47" s="71">
        <v>523</v>
      </c>
      <c r="M47" s="71">
        <v>568</v>
      </c>
      <c r="N47" s="71">
        <v>613</v>
      </c>
      <c r="O47" s="71">
        <v>652</v>
      </c>
      <c r="P47" s="71">
        <v>691</v>
      </c>
      <c r="Q47" s="71">
        <v>739</v>
      </c>
      <c r="R47" s="71">
        <v>757</v>
      </c>
      <c r="S47" s="71">
        <v>726</v>
      </c>
      <c r="T47" s="71">
        <v>773</v>
      </c>
      <c r="U47" s="71">
        <v>784</v>
      </c>
      <c r="V47" s="71">
        <v>796</v>
      </c>
      <c r="W47" s="71">
        <v>801</v>
      </c>
      <c r="X47" s="71">
        <v>810</v>
      </c>
      <c r="Y47" s="71">
        <v>799</v>
      </c>
      <c r="Z47" s="71">
        <v>742</v>
      </c>
      <c r="AA47" s="71">
        <v>718</v>
      </c>
      <c r="AB47" s="71">
        <v>735</v>
      </c>
      <c r="AC47" s="71">
        <v>924</v>
      </c>
      <c r="AD47" s="71">
        <v>1094</v>
      </c>
      <c r="AE47" s="159">
        <v>988</v>
      </c>
    </row>
    <row r="48" spans="1:32" s="11" customFormat="1" ht="15" customHeight="1" thickBot="1" x14ac:dyDescent="0.3">
      <c r="A48" s="160" t="s">
        <v>60</v>
      </c>
      <c r="B48" s="19" t="s">
        <v>61</v>
      </c>
      <c r="C48" s="64">
        <v>73</v>
      </c>
      <c r="D48" s="64">
        <v>79</v>
      </c>
      <c r="E48" s="64">
        <v>75</v>
      </c>
      <c r="F48" s="64">
        <v>82</v>
      </c>
      <c r="G48" s="64">
        <v>68</v>
      </c>
      <c r="H48" s="64">
        <v>73</v>
      </c>
      <c r="I48" s="64">
        <v>67</v>
      </c>
      <c r="J48" s="64">
        <v>67</v>
      </c>
      <c r="K48" s="64">
        <v>74</v>
      </c>
      <c r="L48" s="64">
        <v>91</v>
      </c>
      <c r="M48" s="64">
        <v>93</v>
      </c>
      <c r="N48" s="64">
        <v>108</v>
      </c>
      <c r="O48" s="64">
        <v>116</v>
      </c>
      <c r="P48" s="64">
        <v>132</v>
      </c>
      <c r="Q48" s="64">
        <v>142</v>
      </c>
      <c r="R48" s="64">
        <v>146</v>
      </c>
      <c r="S48" s="64">
        <v>138</v>
      </c>
      <c r="T48" s="64">
        <v>134</v>
      </c>
      <c r="U48" s="64">
        <v>129</v>
      </c>
      <c r="V48" s="64">
        <v>131</v>
      </c>
      <c r="W48" s="64">
        <v>156</v>
      </c>
      <c r="X48" s="64">
        <v>159</v>
      </c>
      <c r="Y48" s="64">
        <v>154</v>
      </c>
      <c r="Z48" s="64">
        <v>147</v>
      </c>
      <c r="AA48" s="64">
        <v>134</v>
      </c>
      <c r="AB48" s="64">
        <v>145</v>
      </c>
      <c r="AC48" s="64">
        <v>196</v>
      </c>
      <c r="AD48" s="64">
        <v>211</v>
      </c>
      <c r="AE48" s="145">
        <v>200</v>
      </c>
      <c r="AF48" s="10"/>
    </row>
    <row r="49" spans="1:32" ht="15" customHeight="1" thickBot="1" x14ac:dyDescent="0.3">
      <c r="A49" s="150">
        <v>55</v>
      </c>
      <c r="B49" s="14" t="s">
        <v>62</v>
      </c>
      <c r="C49" s="67">
        <v>73</v>
      </c>
      <c r="D49" s="67">
        <v>79</v>
      </c>
      <c r="E49" s="67">
        <v>75</v>
      </c>
      <c r="F49" s="67">
        <v>82</v>
      </c>
      <c r="G49" s="67">
        <v>68</v>
      </c>
      <c r="H49" s="67">
        <v>73</v>
      </c>
      <c r="I49" s="67">
        <v>67</v>
      </c>
      <c r="J49" s="67">
        <v>67</v>
      </c>
      <c r="K49" s="67">
        <v>74</v>
      </c>
      <c r="L49" s="67">
        <v>91</v>
      </c>
      <c r="M49" s="67">
        <v>93</v>
      </c>
      <c r="N49" s="67">
        <v>108</v>
      </c>
      <c r="O49" s="67">
        <v>116</v>
      </c>
      <c r="P49" s="67">
        <v>132</v>
      </c>
      <c r="Q49" s="67">
        <v>142</v>
      </c>
      <c r="R49" s="67">
        <v>146</v>
      </c>
      <c r="S49" s="67">
        <v>138</v>
      </c>
      <c r="T49" s="67">
        <v>134</v>
      </c>
      <c r="U49" s="67">
        <v>129</v>
      </c>
      <c r="V49" s="67">
        <v>131</v>
      </c>
      <c r="W49" s="67">
        <v>156</v>
      </c>
      <c r="X49" s="67">
        <v>159</v>
      </c>
      <c r="Y49" s="67">
        <v>154</v>
      </c>
      <c r="Z49" s="67">
        <v>147</v>
      </c>
      <c r="AA49" s="67">
        <v>134</v>
      </c>
      <c r="AB49" s="67">
        <v>145</v>
      </c>
      <c r="AC49" s="67">
        <v>196</v>
      </c>
      <c r="AD49" s="67">
        <v>211</v>
      </c>
      <c r="AE49" s="151">
        <v>200</v>
      </c>
    </row>
    <row r="50" spans="1:32" s="11" customFormat="1" ht="15" customHeight="1" thickBot="1" x14ac:dyDescent="0.3">
      <c r="A50" s="144" t="s">
        <v>63</v>
      </c>
      <c r="B50" s="9" t="s">
        <v>64</v>
      </c>
      <c r="C50" s="64">
        <v>76</v>
      </c>
      <c r="D50" s="64">
        <v>93</v>
      </c>
      <c r="E50" s="64">
        <v>99</v>
      </c>
      <c r="F50" s="64">
        <v>97</v>
      </c>
      <c r="G50" s="64">
        <v>106</v>
      </c>
      <c r="H50" s="64">
        <v>107</v>
      </c>
      <c r="I50" s="64">
        <v>97</v>
      </c>
      <c r="J50" s="64">
        <v>93</v>
      </c>
      <c r="K50" s="64">
        <v>110</v>
      </c>
      <c r="L50" s="64">
        <v>120</v>
      </c>
      <c r="M50" s="64">
        <v>130</v>
      </c>
      <c r="N50" s="64">
        <v>148</v>
      </c>
      <c r="O50" s="64">
        <v>151</v>
      </c>
      <c r="P50" s="64">
        <v>150</v>
      </c>
      <c r="Q50" s="64">
        <v>156</v>
      </c>
      <c r="R50" s="64">
        <v>157</v>
      </c>
      <c r="S50" s="64">
        <v>161</v>
      </c>
      <c r="T50" s="64">
        <v>171</v>
      </c>
      <c r="U50" s="64">
        <v>171</v>
      </c>
      <c r="V50" s="64">
        <v>162</v>
      </c>
      <c r="W50" s="64">
        <v>174</v>
      </c>
      <c r="X50" s="64">
        <v>176</v>
      </c>
      <c r="Y50" s="64">
        <v>169</v>
      </c>
      <c r="Z50" s="64">
        <v>161</v>
      </c>
      <c r="AA50" s="64">
        <v>150</v>
      </c>
      <c r="AB50" s="64">
        <v>150</v>
      </c>
      <c r="AC50" s="64">
        <v>172</v>
      </c>
      <c r="AD50" s="64">
        <v>183</v>
      </c>
      <c r="AE50" s="145">
        <v>166</v>
      </c>
      <c r="AF50" s="10"/>
    </row>
    <row r="51" spans="1:32" ht="15" customHeight="1" x14ac:dyDescent="0.25">
      <c r="A51" s="152">
        <v>60</v>
      </c>
      <c r="B51" s="15" t="s">
        <v>65</v>
      </c>
      <c r="C51" s="68">
        <v>51</v>
      </c>
      <c r="D51" s="68">
        <v>57</v>
      </c>
      <c r="E51" s="68">
        <v>55</v>
      </c>
      <c r="F51" s="68">
        <v>50</v>
      </c>
      <c r="G51" s="68">
        <v>58</v>
      </c>
      <c r="H51" s="68">
        <v>46</v>
      </c>
      <c r="I51" s="68">
        <v>42</v>
      </c>
      <c r="J51" s="68">
        <v>42</v>
      </c>
      <c r="K51" s="68">
        <v>57</v>
      </c>
      <c r="L51" s="68">
        <v>68</v>
      </c>
      <c r="M51" s="68">
        <v>81</v>
      </c>
      <c r="N51" s="68">
        <v>94</v>
      </c>
      <c r="O51" s="68">
        <v>95</v>
      </c>
      <c r="P51" s="68">
        <v>93</v>
      </c>
      <c r="Q51" s="68">
        <v>95</v>
      </c>
      <c r="R51" s="68">
        <v>88</v>
      </c>
      <c r="S51" s="68">
        <v>94</v>
      </c>
      <c r="T51" s="68">
        <v>105</v>
      </c>
      <c r="U51" s="68">
        <v>105</v>
      </c>
      <c r="V51" s="68">
        <v>97</v>
      </c>
      <c r="W51" s="68">
        <v>101</v>
      </c>
      <c r="X51" s="68">
        <v>107</v>
      </c>
      <c r="Y51" s="68">
        <v>101</v>
      </c>
      <c r="Z51" s="68">
        <v>97</v>
      </c>
      <c r="AA51" s="68">
        <v>88</v>
      </c>
      <c r="AB51" s="68">
        <v>88</v>
      </c>
      <c r="AC51" s="68">
        <v>103</v>
      </c>
      <c r="AD51" s="68">
        <v>109</v>
      </c>
      <c r="AE51" s="153">
        <v>100</v>
      </c>
    </row>
    <row r="52" spans="1:32" ht="15" customHeight="1" x14ac:dyDescent="0.25">
      <c r="A52" s="161">
        <v>61</v>
      </c>
      <c r="B52" s="20" t="s">
        <v>66</v>
      </c>
      <c r="C52" s="73" t="s">
        <v>383</v>
      </c>
      <c r="D52" s="73" t="s">
        <v>383</v>
      </c>
      <c r="E52" s="73" t="s">
        <v>383</v>
      </c>
      <c r="F52" s="73" t="s">
        <v>383</v>
      </c>
      <c r="G52" s="73" t="s">
        <v>383</v>
      </c>
      <c r="H52" s="73" t="s">
        <v>383</v>
      </c>
      <c r="I52" s="73" t="s">
        <v>383</v>
      </c>
      <c r="J52" s="73" t="s">
        <v>383</v>
      </c>
      <c r="K52" s="73" t="s">
        <v>383</v>
      </c>
      <c r="L52" s="73" t="s">
        <v>383</v>
      </c>
      <c r="M52" s="73" t="s">
        <v>383</v>
      </c>
      <c r="N52" s="73" t="s">
        <v>383</v>
      </c>
      <c r="O52" s="73" t="s">
        <v>383</v>
      </c>
      <c r="P52" s="73" t="s">
        <v>383</v>
      </c>
      <c r="Q52" s="73" t="s">
        <v>383</v>
      </c>
      <c r="R52" s="73" t="s">
        <v>383</v>
      </c>
      <c r="S52" s="73" t="s">
        <v>383</v>
      </c>
      <c r="T52" s="73" t="s">
        <v>383</v>
      </c>
      <c r="U52" s="73" t="s">
        <v>383</v>
      </c>
      <c r="V52" s="73" t="s">
        <v>383</v>
      </c>
      <c r="W52" s="73" t="s">
        <v>383</v>
      </c>
      <c r="X52" s="73" t="s">
        <v>383</v>
      </c>
      <c r="Y52" s="73" t="s">
        <v>383</v>
      </c>
      <c r="Z52" s="73" t="s">
        <v>383</v>
      </c>
      <c r="AA52" s="73" t="s">
        <v>383</v>
      </c>
      <c r="AB52" s="73" t="s">
        <v>383</v>
      </c>
      <c r="AC52" s="73" t="s">
        <v>383</v>
      </c>
      <c r="AD52" s="73" t="s">
        <v>383</v>
      </c>
      <c r="AE52" s="162" t="s">
        <v>383</v>
      </c>
    </row>
    <row r="53" spans="1:32" ht="15" customHeight="1" x14ac:dyDescent="0.25">
      <c r="A53" s="152">
        <v>62</v>
      </c>
      <c r="B53" s="15" t="s">
        <v>67</v>
      </c>
      <c r="C53" s="68" t="s">
        <v>383</v>
      </c>
      <c r="D53" s="68" t="s">
        <v>383</v>
      </c>
      <c r="E53" s="68" t="s">
        <v>383</v>
      </c>
      <c r="F53" s="68" t="s">
        <v>383</v>
      </c>
      <c r="G53" s="68" t="s">
        <v>383</v>
      </c>
      <c r="H53" s="68" t="s">
        <v>383</v>
      </c>
      <c r="I53" s="68" t="s">
        <v>383</v>
      </c>
      <c r="J53" s="68" t="s">
        <v>383</v>
      </c>
      <c r="K53" s="68" t="s">
        <v>383</v>
      </c>
      <c r="L53" s="68" t="s">
        <v>383</v>
      </c>
      <c r="M53" s="68" t="s">
        <v>383</v>
      </c>
      <c r="N53" s="68" t="s">
        <v>383</v>
      </c>
      <c r="O53" s="68" t="s">
        <v>383</v>
      </c>
      <c r="P53" s="68" t="s">
        <v>383</v>
      </c>
      <c r="Q53" s="68" t="s">
        <v>383</v>
      </c>
      <c r="R53" s="68" t="s">
        <v>383</v>
      </c>
      <c r="S53" s="68" t="s">
        <v>383</v>
      </c>
      <c r="T53" s="68" t="s">
        <v>383</v>
      </c>
      <c r="U53" s="68" t="s">
        <v>383</v>
      </c>
      <c r="V53" s="68" t="s">
        <v>383</v>
      </c>
      <c r="W53" s="68" t="s">
        <v>383</v>
      </c>
      <c r="X53" s="68" t="s">
        <v>383</v>
      </c>
      <c r="Y53" s="68" t="s">
        <v>383</v>
      </c>
      <c r="Z53" s="68" t="s">
        <v>383</v>
      </c>
      <c r="AA53" s="68" t="s">
        <v>383</v>
      </c>
      <c r="AB53" s="68" t="s">
        <v>383</v>
      </c>
      <c r="AC53" s="68" t="s">
        <v>383</v>
      </c>
      <c r="AD53" s="68" t="s">
        <v>383</v>
      </c>
      <c r="AE53" s="153" t="s">
        <v>383</v>
      </c>
    </row>
    <row r="54" spans="1:32" ht="15" customHeight="1" x14ac:dyDescent="0.25">
      <c r="A54" s="163">
        <v>63</v>
      </c>
      <c r="B54" s="21" t="s">
        <v>68</v>
      </c>
      <c r="C54" s="74">
        <v>8</v>
      </c>
      <c r="D54" s="74">
        <v>13</v>
      </c>
      <c r="E54" s="74">
        <v>17</v>
      </c>
      <c r="F54" s="74">
        <v>16</v>
      </c>
      <c r="G54" s="74">
        <v>18</v>
      </c>
      <c r="H54" s="74">
        <v>22</v>
      </c>
      <c r="I54" s="74">
        <v>18</v>
      </c>
      <c r="J54" s="74">
        <v>15</v>
      </c>
      <c r="K54" s="74">
        <v>22</v>
      </c>
      <c r="L54" s="74">
        <v>24</v>
      </c>
      <c r="M54" s="74">
        <v>21</v>
      </c>
      <c r="N54" s="74">
        <v>27</v>
      </c>
      <c r="O54" s="74">
        <v>29</v>
      </c>
      <c r="P54" s="74">
        <v>29</v>
      </c>
      <c r="Q54" s="74">
        <v>32</v>
      </c>
      <c r="R54" s="74">
        <v>38</v>
      </c>
      <c r="S54" s="74">
        <v>37</v>
      </c>
      <c r="T54" s="74">
        <v>35</v>
      </c>
      <c r="U54" s="74">
        <v>38</v>
      </c>
      <c r="V54" s="74">
        <v>38</v>
      </c>
      <c r="W54" s="74">
        <v>45</v>
      </c>
      <c r="X54" s="74">
        <v>40</v>
      </c>
      <c r="Y54" s="74">
        <v>39</v>
      </c>
      <c r="Z54" s="74">
        <v>40</v>
      </c>
      <c r="AA54" s="74">
        <v>37</v>
      </c>
      <c r="AB54" s="74">
        <v>36</v>
      </c>
      <c r="AC54" s="74">
        <v>43</v>
      </c>
      <c r="AD54" s="74">
        <v>47</v>
      </c>
      <c r="AE54" s="164">
        <v>41</v>
      </c>
    </row>
    <row r="55" spans="1:32" ht="15" customHeight="1" thickBot="1" x14ac:dyDescent="0.3">
      <c r="A55" s="152">
        <v>64</v>
      </c>
      <c r="B55" s="15" t="s">
        <v>99</v>
      </c>
      <c r="C55" s="68">
        <v>15</v>
      </c>
      <c r="D55" s="68">
        <v>21</v>
      </c>
      <c r="E55" s="68">
        <v>25</v>
      </c>
      <c r="F55" s="68">
        <v>28</v>
      </c>
      <c r="G55" s="68">
        <v>27</v>
      </c>
      <c r="H55" s="68">
        <v>36</v>
      </c>
      <c r="I55" s="68">
        <v>33</v>
      </c>
      <c r="J55" s="68">
        <v>32</v>
      </c>
      <c r="K55" s="68">
        <v>28</v>
      </c>
      <c r="L55" s="68">
        <v>24</v>
      </c>
      <c r="M55" s="68">
        <v>25</v>
      </c>
      <c r="N55" s="68">
        <v>25</v>
      </c>
      <c r="O55" s="68">
        <v>25</v>
      </c>
      <c r="P55" s="68">
        <v>26</v>
      </c>
      <c r="Q55" s="68">
        <v>26</v>
      </c>
      <c r="R55" s="68">
        <v>28</v>
      </c>
      <c r="S55" s="68">
        <v>27</v>
      </c>
      <c r="T55" s="68">
        <v>27</v>
      </c>
      <c r="U55" s="68">
        <v>25</v>
      </c>
      <c r="V55" s="68">
        <v>23</v>
      </c>
      <c r="W55" s="68">
        <v>24</v>
      </c>
      <c r="X55" s="68">
        <v>25</v>
      </c>
      <c r="Y55" s="68">
        <v>26</v>
      </c>
      <c r="Z55" s="68">
        <v>22</v>
      </c>
      <c r="AA55" s="68">
        <v>23</v>
      </c>
      <c r="AB55" s="68">
        <v>24</v>
      </c>
      <c r="AC55" s="68">
        <v>24</v>
      </c>
      <c r="AD55" s="68">
        <v>25</v>
      </c>
      <c r="AE55" s="153">
        <v>23</v>
      </c>
    </row>
    <row r="56" spans="1:32" s="11" customFormat="1" ht="15" customHeight="1" thickBot="1" x14ac:dyDescent="0.3">
      <c r="A56" s="144" t="s">
        <v>70</v>
      </c>
      <c r="B56" s="9" t="s">
        <v>71</v>
      </c>
      <c r="C56" s="64">
        <v>27</v>
      </c>
      <c r="D56" s="64">
        <v>34</v>
      </c>
      <c r="E56" s="64">
        <v>44</v>
      </c>
      <c r="F56" s="64">
        <v>46</v>
      </c>
      <c r="G56" s="64">
        <v>49</v>
      </c>
      <c r="H56" s="64">
        <v>50</v>
      </c>
      <c r="I56" s="64">
        <v>48</v>
      </c>
      <c r="J56" s="64">
        <v>50</v>
      </c>
      <c r="K56" s="64">
        <v>47</v>
      </c>
      <c r="L56" s="64">
        <v>49</v>
      </c>
      <c r="M56" s="64">
        <v>55</v>
      </c>
      <c r="N56" s="64">
        <v>62</v>
      </c>
      <c r="O56" s="64">
        <v>57</v>
      </c>
      <c r="P56" s="64">
        <v>42</v>
      </c>
      <c r="Q56" s="64">
        <v>49</v>
      </c>
      <c r="R56" s="64">
        <v>50</v>
      </c>
      <c r="S56" s="64">
        <v>50</v>
      </c>
      <c r="T56" s="64">
        <v>47</v>
      </c>
      <c r="U56" s="64">
        <v>47</v>
      </c>
      <c r="V56" s="64">
        <v>48</v>
      </c>
      <c r="W56" s="64">
        <v>48</v>
      </c>
      <c r="X56" s="64">
        <v>48</v>
      </c>
      <c r="Y56" s="64">
        <v>48</v>
      </c>
      <c r="Z56" s="64">
        <v>47</v>
      </c>
      <c r="AA56" s="64">
        <v>50</v>
      </c>
      <c r="AB56" s="64">
        <v>49</v>
      </c>
      <c r="AC56" s="64">
        <v>44</v>
      </c>
      <c r="AD56" s="64">
        <v>50</v>
      </c>
      <c r="AE56" s="145">
        <v>44</v>
      </c>
      <c r="AF56" s="10"/>
    </row>
    <row r="57" spans="1:32" ht="15" customHeight="1" x14ac:dyDescent="0.25">
      <c r="A57" s="152">
        <v>65</v>
      </c>
      <c r="B57" s="15" t="s">
        <v>72</v>
      </c>
      <c r="C57" s="68">
        <v>8</v>
      </c>
      <c r="D57" s="68">
        <v>12</v>
      </c>
      <c r="E57" s="68">
        <v>19</v>
      </c>
      <c r="F57" s="68">
        <v>17</v>
      </c>
      <c r="G57" s="68">
        <v>18</v>
      </c>
      <c r="H57" s="68">
        <v>20</v>
      </c>
      <c r="I57" s="68">
        <v>19</v>
      </c>
      <c r="J57" s="68">
        <v>18</v>
      </c>
      <c r="K57" s="68">
        <v>17</v>
      </c>
      <c r="L57" s="68">
        <v>17</v>
      </c>
      <c r="M57" s="68">
        <v>20</v>
      </c>
      <c r="N57" s="68">
        <v>22</v>
      </c>
      <c r="O57" s="68">
        <v>22</v>
      </c>
      <c r="P57" s="68">
        <v>17</v>
      </c>
      <c r="Q57" s="68">
        <v>21</v>
      </c>
      <c r="R57" s="68">
        <v>20</v>
      </c>
      <c r="S57" s="68">
        <v>21</v>
      </c>
      <c r="T57" s="68">
        <v>19</v>
      </c>
      <c r="U57" s="68">
        <v>20</v>
      </c>
      <c r="V57" s="68">
        <v>21</v>
      </c>
      <c r="W57" s="68">
        <v>22</v>
      </c>
      <c r="X57" s="68">
        <v>21</v>
      </c>
      <c r="Y57" s="68">
        <v>21</v>
      </c>
      <c r="Z57" s="68">
        <v>19</v>
      </c>
      <c r="AA57" s="68">
        <v>19</v>
      </c>
      <c r="AB57" s="68">
        <v>19</v>
      </c>
      <c r="AC57" s="68">
        <v>15</v>
      </c>
      <c r="AD57" s="68">
        <v>19</v>
      </c>
      <c r="AE57" s="153">
        <v>15</v>
      </c>
    </row>
    <row r="58" spans="1:32" ht="15" customHeight="1" x14ac:dyDescent="0.25">
      <c r="A58" s="156">
        <v>66</v>
      </c>
      <c r="B58" s="17" t="s">
        <v>100</v>
      </c>
      <c r="C58" s="70">
        <v>14</v>
      </c>
      <c r="D58" s="70">
        <v>15</v>
      </c>
      <c r="E58" s="70">
        <v>20</v>
      </c>
      <c r="F58" s="70">
        <v>23</v>
      </c>
      <c r="G58" s="70">
        <v>25</v>
      </c>
      <c r="H58" s="70">
        <v>25</v>
      </c>
      <c r="I58" s="70">
        <v>21</v>
      </c>
      <c r="J58" s="70">
        <v>24</v>
      </c>
      <c r="K58" s="70">
        <v>21</v>
      </c>
      <c r="L58" s="70">
        <v>24</v>
      </c>
      <c r="M58" s="70">
        <v>26</v>
      </c>
      <c r="N58" s="70">
        <v>31</v>
      </c>
      <c r="O58" s="70">
        <v>28</v>
      </c>
      <c r="P58" s="70">
        <v>18</v>
      </c>
      <c r="Q58" s="70">
        <v>19</v>
      </c>
      <c r="R58" s="70">
        <v>20</v>
      </c>
      <c r="S58" s="70">
        <v>20</v>
      </c>
      <c r="T58" s="70">
        <v>18</v>
      </c>
      <c r="U58" s="70">
        <v>17</v>
      </c>
      <c r="V58" s="70">
        <v>18</v>
      </c>
      <c r="W58" s="70">
        <v>18</v>
      </c>
      <c r="X58" s="70">
        <v>17</v>
      </c>
      <c r="Y58" s="70">
        <v>17</v>
      </c>
      <c r="Z58" s="70">
        <v>19</v>
      </c>
      <c r="AA58" s="70">
        <v>20</v>
      </c>
      <c r="AB58" s="70">
        <v>20</v>
      </c>
      <c r="AC58" s="70">
        <v>18</v>
      </c>
      <c r="AD58" s="70">
        <v>18</v>
      </c>
      <c r="AE58" s="157">
        <v>16</v>
      </c>
    </row>
    <row r="59" spans="1:32" ht="15" customHeight="1" thickBot="1" x14ac:dyDescent="0.3">
      <c r="A59" s="152">
        <v>67</v>
      </c>
      <c r="B59" s="15" t="s">
        <v>74</v>
      </c>
      <c r="C59" s="68">
        <v>5</v>
      </c>
      <c r="D59" s="68">
        <v>7</v>
      </c>
      <c r="E59" s="68">
        <v>5</v>
      </c>
      <c r="F59" s="68">
        <v>6</v>
      </c>
      <c r="G59" s="68">
        <v>6</v>
      </c>
      <c r="H59" s="68">
        <v>5</v>
      </c>
      <c r="I59" s="68">
        <v>8</v>
      </c>
      <c r="J59" s="68">
        <v>8</v>
      </c>
      <c r="K59" s="68">
        <v>9</v>
      </c>
      <c r="L59" s="68">
        <v>8</v>
      </c>
      <c r="M59" s="68">
        <v>9</v>
      </c>
      <c r="N59" s="68">
        <v>9</v>
      </c>
      <c r="O59" s="68">
        <v>7</v>
      </c>
      <c r="P59" s="68">
        <v>7</v>
      </c>
      <c r="Q59" s="68">
        <v>9</v>
      </c>
      <c r="R59" s="68">
        <v>10</v>
      </c>
      <c r="S59" s="68">
        <v>9</v>
      </c>
      <c r="T59" s="68">
        <v>10</v>
      </c>
      <c r="U59" s="68">
        <v>10</v>
      </c>
      <c r="V59" s="68">
        <v>9</v>
      </c>
      <c r="W59" s="68">
        <v>8</v>
      </c>
      <c r="X59" s="68">
        <v>10</v>
      </c>
      <c r="Y59" s="68">
        <v>10</v>
      </c>
      <c r="Z59" s="68">
        <v>9</v>
      </c>
      <c r="AA59" s="68">
        <v>11</v>
      </c>
      <c r="AB59" s="68">
        <v>10</v>
      </c>
      <c r="AC59" s="68">
        <v>11</v>
      </c>
      <c r="AD59" s="68">
        <v>13</v>
      </c>
      <c r="AE59" s="153">
        <v>13</v>
      </c>
    </row>
    <row r="60" spans="1:32" s="11" customFormat="1" ht="15" customHeight="1" thickBot="1" x14ac:dyDescent="0.3">
      <c r="A60" s="144" t="s">
        <v>75</v>
      </c>
      <c r="B60" s="9" t="s">
        <v>76</v>
      </c>
      <c r="C60" s="64">
        <v>204</v>
      </c>
      <c r="D60" s="64">
        <v>209</v>
      </c>
      <c r="E60" s="64">
        <v>220</v>
      </c>
      <c r="F60" s="64">
        <v>231</v>
      </c>
      <c r="G60" s="64">
        <v>231</v>
      </c>
      <c r="H60" s="64">
        <v>250</v>
      </c>
      <c r="I60" s="64">
        <v>218</v>
      </c>
      <c r="J60" s="64">
        <v>231</v>
      </c>
      <c r="K60" s="64">
        <v>260</v>
      </c>
      <c r="L60" s="64">
        <v>262</v>
      </c>
      <c r="M60" s="64">
        <v>274</v>
      </c>
      <c r="N60" s="64">
        <v>305</v>
      </c>
      <c r="O60" s="64">
        <v>320</v>
      </c>
      <c r="P60" s="64">
        <v>330</v>
      </c>
      <c r="Q60" s="64">
        <v>323</v>
      </c>
      <c r="R60" s="64">
        <v>317</v>
      </c>
      <c r="S60" s="64">
        <v>314</v>
      </c>
      <c r="T60" s="64">
        <v>300</v>
      </c>
      <c r="U60" s="64">
        <v>304</v>
      </c>
      <c r="V60" s="64">
        <v>318</v>
      </c>
      <c r="W60" s="64">
        <v>329</v>
      </c>
      <c r="X60" s="64">
        <v>313</v>
      </c>
      <c r="Y60" s="64">
        <v>304</v>
      </c>
      <c r="Z60" s="64">
        <v>287</v>
      </c>
      <c r="AA60" s="64">
        <v>264</v>
      </c>
      <c r="AB60" s="64">
        <v>251</v>
      </c>
      <c r="AC60" s="64">
        <v>324</v>
      </c>
      <c r="AD60" s="64">
        <v>387</v>
      </c>
      <c r="AE60" s="145">
        <v>305</v>
      </c>
      <c r="AF60" s="10"/>
    </row>
    <row r="61" spans="1:32" ht="15" customHeight="1" x14ac:dyDescent="0.25">
      <c r="A61" s="146">
        <v>70</v>
      </c>
      <c r="B61" s="12" t="s">
        <v>77</v>
      </c>
      <c r="C61" s="65">
        <v>70</v>
      </c>
      <c r="D61" s="65">
        <v>68</v>
      </c>
      <c r="E61" s="65">
        <v>66</v>
      </c>
      <c r="F61" s="65">
        <v>60</v>
      </c>
      <c r="G61" s="65">
        <v>57</v>
      </c>
      <c r="H61" s="65">
        <v>67</v>
      </c>
      <c r="I61" s="65">
        <v>62</v>
      </c>
      <c r="J61" s="65">
        <v>64</v>
      </c>
      <c r="K61" s="65">
        <v>66</v>
      </c>
      <c r="L61" s="65">
        <v>67</v>
      </c>
      <c r="M61" s="65">
        <v>71</v>
      </c>
      <c r="N61" s="65">
        <v>67</v>
      </c>
      <c r="O61" s="65">
        <v>68</v>
      </c>
      <c r="P61" s="65">
        <v>70</v>
      </c>
      <c r="Q61" s="65">
        <v>68</v>
      </c>
      <c r="R61" s="65">
        <v>71</v>
      </c>
      <c r="S61" s="65">
        <v>69</v>
      </c>
      <c r="T61" s="65">
        <v>64</v>
      </c>
      <c r="U61" s="65">
        <v>70</v>
      </c>
      <c r="V61" s="65">
        <v>74</v>
      </c>
      <c r="W61" s="65">
        <v>82</v>
      </c>
      <c r="X61" s="65">
        <v>77</v>
      </c>
      <c r="Y61" s="65">
        <v>73</v>
      </c>
      <c r="Z61" s="65">
        <v>68</v>
      </c>
      <c r="AA61" s="65">
        <v>62</v>
      </c>
      <c r="AB61" s="65">
        <v>53</v>
      </c>
      <c r="AC61" s="65">
        <v>56</v>
      </c>
      <c r="AD61" s="65">
        <v>64</v>
      </c>
      <c r="AE61" s="147">
        <v>51</v>
      </c>
    </row>
    <row r="62" spans="1:32" ht="15" customHeight="1" x14ac:dyDescent="0.25">
      <c r="A62" s="156">
        <v>71</v>
      </c>
      <c r="B62" s="17" t="s">
        <v>78</v>
      </c>
      <c r="C62" s="70" t="s">
        <v>383</v>
      </c>
      <c r="D62" s="70" t="s">
        <v>383</v>
      </c>
      <c r="E62" s="70">
        <v>4</v>
      </c>
      <c r="F62" s="70" t="s">
        <v>383</v>
      </c>
      <c r="G62" s="70" t="s">
        <v>383</v>
      </c>
      <c r="H62" s="70" t="s">
        <v>383</v>
      </c>
      <c r="I62" s="70" t="s">
        <v>383</v>
      </c>
      <c r="J62" s="70" t="s">
        <v>383</v>
      </c>
      <c r="K62" s="70" t="s">
        <v>383</v>
      </c>
      <c r="L62" s="70" t="s">
        <v>383</v>
      </c>
      <c r="M62" s="70" t="s">
        <v>383</v>
      </c>
      <c r="N62" s="70" t="s">
        <v>383</v>
      </c>
      <c r="O62" s="70" t="s">
        <v>383</v>
      </c>
      <c r="P62" s="70" t="s">
        <v>383</v>
      </c>
      <c r="Q62" s="70" t="s">
        <v>383</v>
      </c>
      <c r="R62" s="70" t="s">
        <v>383</v>
      </c>
      <c r="S62" s="70" t="s">
        <v>383</v>
      </c>
      <c r="T62" s="70" t="s">
        <v>383</v>
      </c>
      <c r="U62" s="70">
        <v>5</v>
      </c>
      <c r="V62" s="70" t="s">
        <v>383</v>
      </c>
      <c r="W62" s="70">
        <v>6</v>
      </c>
      <c r="X62" s="70">
        <v>5</v>
      </c>
      <c r="Y62" s="70">
        <v>6</v>
      </c>
      <c r="Z62" s="70" t="s">
        <v>383</v>
      </c>
      <c r="AA62" s="70" t="s">
        <v>383</v>
      </c>
      <c r="AB62" s="70" t="s">
        <v>383</v>
      </c>
      <c r="AC62" s="70" t="s">
        <v>383</v>
      </c>
      <c r="AD62" s="70" t="s">
        <v>383</v>
      </c>
      <c r="AE62" s="157" t="s">
        <v>383</v>
      </c>
    </row>
    <row r="63" spans="1:32" ht="15" customHeight="1" x14ac:dyDescent="0.25">
      <c r="A63" s="156">
        <v>72</v>
      </c>
      <c r="B63" s="17" t="s">
        <v>79</v>
      </c>
      <c r="C63" s="70">
        <v>5</v>
      </c>
      <c r="D63" s="70">
        <v>8</v>
      </c>
      <c r="E63" s="70">
        <v>7</v>
      </c>
      <c r="F63" s="70">
        <v>8</v>
      </c>
      <c r="G63" s="70">
        <v>8</v>
      </c>
      <c r="H63" s="70">
        <v>9</v>
      </c>
      <c r="I63" s="70">
        <v>6</v>
      </c>
      <c r="J63" s="70">
        <v>7</v>
      </c>
      <c r="K63" s="70">
        <v>11</v>
      </c>
      <c r="L63" s="70">
        <v>9</v>
      </c>
      <c r="M63" s="70">
        <v>12</v>
      </c>
      <c r="N63" s="70">
        <v>12</v>
      </c>
      <c r="O63" s="70">
        <v>9</v>
      </c>
      <c r="P63" s="70">
        <v>14</v>
      </c>
      <c r="Q63" s="70">
        <v>14</v>
      </c>
      <c r="R63" s="70">
        <v>12</v>
      </c>
      <c r="S63" s="70">
        <v>13</v>
      </c>
      <c r="T63" s="70">
        <v>12</v>
      </c>
      <c r="U63" s="70">
        <v>11</v>
      </c>
      <c r="V63" s="70">
        <v>13</v>
      </c>
      <c r="W63" s="70" t="s">
        <v>383</v>
      </c>
      <c r="X63" s="70" t="s">
        <v>383</v>
      </c>
      <c r="Y63" s="70" t="s">
        <v>383</v>
      </c>
      <c r="Z63" s="70">
        <v>11</v>
      </c>
      <c r="AA63" s="70">
        <v>14</v>
      </c>
      <c r="AB63" s="70">
        <v>20</v>
      </c>
      <c r="AC63" s="70">
        <v>29</v>
      </c>
      <c r="AD63" s="70">
        <v>28</v>
      </c>
      <c r="AE63" s="157">
        <v>27</v>
      </c>
    </row>
    <row r="64" spans="1:32" ht="15" customHeight="1" x14ac:dyDescent="0.25">
      <c r="A64" s="156">
        <v>73</v>
      </c>
      <c r="B64" s="17" t="s">
        <v>80</v>
      </c>
      <c r="C64" s="70" t="s">
        <v>383</v>
      </c>
      <c r="D64" s="70" t="s">
        <v>383</v>
      </c>
      <c r="E64" s="70" t="s">
        <v>383</v>
      </c>
      <c r="F64" s="70" t="s">
        <v>383</v>
      </c>
      <c r="G64" s="70" t="s">
        <v>383</v>
      </c>
      <c r="H64" s="70" t="s">
        <v>383</v>
      </c>
      <c r="I64" s="70" t="s">
        <v>383</v>
      </c>
      <c r="J64" s="70" t="s">
        <v>383</v>
      </c>
      <c r="K64" s="70" t="s">
        <v>383</v>
      </c>
      <c r="L64" s="70" t="s">
        <v>383</v>
      </c>
      <c r="M64" s="70" t="s">
        <v>383</v>
      </c>
      <c r="N64" s="70" t="s">
        <v>383</v>
      </c>
      <c r="O64" s="70" t="s">
        <v>383</v>
      </c>
      <c r="P64" s="70" t="s">
        <v>383</v>
      </c>
      <c r="Q64" s="70" t="s">
        <v>383</v>
      </c>
      <c r="R64" s="70" t="s">
        <v>383</v>
      </c>
      <c r="S64" s="70" t="s">
        <v>383</v>
      </c>
      <c r="T64" s="70" t="s">
        <v>383</v>
      </c>
      <c r="U64" s="70">
        <v>4</v>
      </c>
      <c r="V64" s="70" t="s">
        <v>383</v>
      </c>
      <c r="W64" s="70" t="s">
        <v>383</v>
      </c>
      <c r="X64" s="70" t="s">
        <v>383</v>
      </c>
      <c r="Y64" s="70" t="s">
        <v>383</v>
      </c>
      <c r="Z64" s="70" t="s">
        <v>383</v>
      </c>
      <c r="AA64" s="70" t="s">
        <v>383</v>
      </c>
      <c r="AB64" s="70" t="s">
        <v>383</v>
      </c>
      <c r="AC64" s="70" t="s">
        <v>383</v>
      </c>
      <c r="AD64" s="70" t="s">
        <v>383</v>
      </c>
      <c r="AE64" s="157" t="s">
        <v>383</v>
      </c>
    </row>
    <row r="65" spans="1:32" ht="15" customHeight="1" x14ac:dyDescent="0.25">
      <c r="A65" s="156">
        <v>74</v>
      </c>
      <c r="B65" s="17" t="s">
        <v>81</v>
      </c>
      <c r="C65" s="70">
        <v>127</v>
      </c>
      <c r="D65" s="70">
        <v>131</v>
      </c>
      <c r="E65" s="70">
        <v>142</v>
      </c>
      <c r="F65" s="70">
        <v>157</v>
      </c>
      <c r="G65" s="70">
        <v>159</v>
      </c>
      <c r="H65" s="70">
        <v>164</v>
      </c>
      <c r="I65" s="70">
        <v>142</v>
      </c>
      <c r="J65" s="70">
        <v>151</v>
      </c>
      <c r="K65" s="70">
        <v>173</v>
      </c>
      <c r="L65" s="70">
        <v>175</v>
      </c>
      <c r="M65" s="70">
        <v>181</v>
      </c>
      <c r="N65" s="70">
        <v>211</v>
      </c>
      <c r="O65" s="70">
        <v>227</v>
      </c>
      <c r="P65" s="70">
        <v>230</v>
      </c>
      <c r="Q65" s="70">
        <v>229</v>
      </c>
      <c r="R65" s="70">
        <v>220</v>
      </c>
      <c r="S65" s="70">
        <v>218</v>
      </c>
      <c r="T65" s="70">
        <v>211</v>
      </c>
      <c r="U65" s="70">
        <v>206</v>
      </c>
      <c r="V65" s="70">
        <v>218</v>
      </c>
      <c r="W65" s="70">
        <v>218</v>
      </c>
      <c r="X65" s="70">
        <v>209</v>
      </c>
      <c r="Y65" s="70">
        <v>206</v>
      </c>
      <c r="Z65" s="70">
        <v>196</v>
      </c>
      <c r="AA65" s="70">
        <v>176</v>
      </c>
      <c r="AB65" s="70">
        <v>166</v>
      </c>
      <c r="AC65" s="70">
        <v>225</v>
      </c>
      <c r="AD65" s="70">
        <v>281</v>
      </c>
      <c r="AE65" s="157">
        <v>212</v>
      </c>
    </row>
    <row r="66" spans="1:32" ht="15" customHeight="1" thickBot="1" x14ac:dyDescent="0.3">
      <c r="A66" s="158">
        <v>75</v>
      </c>
      <c r="B66" s="18" t="s">
        <v>185</v>
      </c>
      <c r="C66" s="71" t="s">
        <v>383</v>
      </c>
      <c r="D66" s="71" t="s">
        <v>383</v>
      </c>
      <c r="E66" s="71" t="s">
        <v>383</v>
      </c>
      <c r="F66" s="71" t="s">
        <v>383</v>
      </c>
      <c r="G66" s="71">
        <v>6</v>
      </c>
      <c r="H66" s="71">
        <v>6</v>
      </c>
      <c r="I66" s="71">
        <v>5</v>
      </c>
      <c r="J66" s="71">
        <v>6</v>
      </c>
      <c r="K66" s="71">
        <v>6</v>
      </c>
      <c r="L66" s="71">
        <v>7</v>
      </c>
      <c r="M66" s="71">
        <v>6</v>
      </c>
      <c r="N66" s="71">
        <v>9</v>
      </c>
      <c r="O66" s="71">
        <v>9</v>
      </c>
      <c r="P66" s="71">
        <v>12</v>
      </c>
      <c r="Q66" s="71">
        <v>9</v>
      </c>
      <c r="R66" s="71">
        <v>10</v>
      </c>
      <c r="S66" s="71">
        <v>11</v>
      </c>
      <c r="T66" s="71">
        <v>9</v>
      </c>
      <c r="U66" s="71">
        <v>8</v>
      </c>
      <c r="V66" s="71">
        <v>6</v>
      </c>
      <c r="W66" s="71">
        <v>7</v>
      </c>
      <c r="X66" s="71">
        <v>5</v>
      </c>
      <c r="Y66" s="71">
        <v>6</v>
      </c>
      <c r="Z66" s="71">
        <v>6</v>
      </c>
      <c r="AA66" s="71">
        <v>6</v>
      </c>
      <c r="AB66" s="71">
        <v>6</v>
      </c>
      <c r="AC66" s="71">
        <v>8</v>
      </c>
      <c r="AD66" s="71">
        <v>7</v>
      </c>
      <c r="AE66" s="159">
        <v>8</v>
      </c>
    </row>
    <row r="67" spans="1:32" s="11" customFormat="1" ht="15" customHeight="1" thickBot="1" x14ac:dyDescent="0.3">
      <c r="A67" s="160" t="s">
        <v>83</v>
      </c>
      <c r="B67" s="19" t="s">
        <v>84</v>
      </c>
      <c r="C67" s="64">
        <v>29</v>
      </c>
      <c r="D67" s="64">
        <v>33</v>
      </c>
      <c r="E67" s="64">
        <v>35</v>
      </c>
      <c r="F67" s="64">
        <v>33</v>
      </c>
      <c r="G67" s="64">
        <v>33</v>
      </c>
      <c r="H67" s="64">
        <v>27</v>
      </c>
      <c r="I67" s="64">
        <v>25</v>
      </c>
      <c r="J67" s="64">
        <v>27</v>
      </c>
      <c r="K67" s="64">
        <v>27</v>
      </c>
      <c r="L67" s="64">
        <v>32</v>
      </c>
      <c r="M67" s="64">
        <v>32</v>
      </c>
      <c r="N67" s="64">
        <v>34</v>
      </c>
      <c r="O67" s="64">
        <v>36</v>
      </c>
      <c r="P67" s="64">
        <v>38</v>
      </c>
      <c r="Q67" s="64">
        <v>36</v>
      </c>
      <c r="R67" s="64">
        <v>39</v>
      </c>
      <c r="S67" s="64">
        <v>39</v>
      </c>
      <c r="T67" s="64">
        <v>35</v>
      </c>
      <c r="U67" s="64">
        <v>36</v>
      </c>
      <c r="V67" s="64">
        <v>36</v>
      </c>
      <c r="W67" s="64">
        <v>37</v>
      </c>
      <c r="X67" s="64">
        <v>37</v>
      </c>
      <c r="Y67" s="64">
        <v>39</v>
      </c>
      <c r="Z67" s="64">
        <v>37</v>
      </c>
      <c r="AA67" s="64">
        <v>37</v>
      </c>
      <c r="AB67" s="64">
        <v>38</v>
      </c>
      <c r="AC67" s="64">
        <v>42</v>
      </c>
      <c r="AD67" s="64">
        <v>49</v>
      </c>
      <c r="AE67" s="145">
        <v>52</v>
      </c>
      <c r="AF67" s="10"/>
    </row>
    <row r="68" spans="1:32" ht="15" customHeight="1" thickBot="1" x14ac:dyDescent="0.3">
      <c r="A68" s="150">
        <v>80</v>
      </c>
      <c r="B68" s="14" t="s">
        <v>85</v>
      </c>
      <c r="C68" s="70">
        <v>29</v>
      </c>
      <c r="D68" s="67">
        <v>33</v>
      </c>
      <c r="E68" s="67">
        <v>35</v>
      </c>
      <c r="F68" s="67">
        <v>33</v>
      </c>
      <c r="G68" s="67">
        <v>33</v>
      </c>
      <c r="H68" s="67">
        <v>27</v>
      </c>
      <c r="I68" s="67">
        <v>25</v>
      </c>
      <c r="J68" s="67">
        <v>27</v>
      </c>
      <c r="K68" s="67">
        <v>27</v>
      </c>
      <c r="L68" s="67">
        <v>32</v>
      </c>
      <c r="M68" s="67">
        <v>32</v>
      </c>
      <c r="N68" s="67">
        <v>34</v>
      </c>
      <c r="O68" s="67">
        <v>36</v>
      </c>
      <c r="P68" s="67">
        <v>38</v>
      </c>
      <c r="Q68" s="67">
        <v>36</v>
      </c>
      <c r="R68" s="67">
        <v>39</v>
      </c>
      <c r="S68" s="67">
        <v>39</v>
      </c>
      <c r="T68" s="67">
        <v>35</v>
      </c>
      <c r="U68" s="67">
        <v>36</v>
      </c>
      <c r="V68" s="67">
        <v>36</v>
      </c>
      <c r="W68" s="67">
        <v>37</v>
      </c>
      <c r="X68" s="67">
        <v>37</v>
      </c>
      <c r="Y68" s="67">
        <v>39</v>
      </c>
      <c r="Z68" s="67">
        <v>37</v>
      </c>
      <c r="AA68" s="67">
        <v>37</v>
      </c>
      <c r="AB68" s="67">
        <v>38</v>
      </c>
      <c r="AC68" s="67">
        <v>42</v>
      </c>
      <c r="AD68" s="67">
        <v>49</v>
      </c>
      <c r="AE68" s="151">
        <v>52</v>
      </c>
    </row>
    <row r="69" spans="1:32" s="11" customFormat="1" ht="15" customHeight="1" thickBot="1" x14ac:dyDescent="0.3">
      <c r="A69" s="144" t="s">
        <v>86</v>
      </c>
      <c r="B69" s="9" t="s">
        <v>87</v>
      </c>
      <c r="C69" s="64">
        <v>100</v>
      </c>
      <c r="D69" s="64">
        <v>114</v>
      </c>
      <c r="E69" s="64">
        <v>123</v>
      </c>
      <c r="F69" s="64">
        <v>126</v>
      </c>
      <c r="G69" s="64">
        <v>124</v>
      </c>
      <c r="H69" s="64">
        <v>132</v>
      </c>
      <c r="I69" s="64">
        <v>134</v>
      </c>
      <c r="J69" s="64">
        <v>134</v>
      </c>
      <c r="K69" s="64">
        <v>140</v>
      </c>
      <c r="L69" s="64">
        <v>137</v>
      </c>
      <c r="M69" s="64">
        <v>143</v>
      </c>
      <c r="N69" s="64">
        <v>155</v>
      </c>
      <c r="O69" s="64">
        <v>157</v>
      </c>
      <c r="P69" s="64">
        <v>161</v>
      </c>
      <c r="Q69" s="64">
        <v>169</v>
      </c>
      <c r="R69" s="64">
        <v>171</v>
      </c>
      <c r="S69" s="64">
        <v>172</v>
      </c>
      <c r="T69" s="64">
        <v>178</v>
      </c>
      <c r="U69" s="64">
        <v>171</v>
      </c>
      <c r="V69" s="64">
        <v>169</v>
      </c>
      <c r="W69" s="64">
        <v>174</v>
      </c>
      <c r="X69" s="64">
        <v>175</v>
      </c>
      <c r="Y69" s="64">
        <v>176</v>
      </c>
      <c r="Z69" s="64">
        <v>186</v>
      </c>
      <c r="AA69" s="64">
        <v>174</v>
      </c>
      <c r="AB69" s="64">
        <v>167</v>
      </c>
      <c r="AC69" s="64">
        <v>189</v>
      </c>
      <c r="AD69" s="64">
        <v>210</v>
      </c>
      <c r="AE69" s="145">
        <v>176</v>
      </c>
      <c r="AF69" s="10"/>
    </row>
    <row r="70" spans="1:32" ht="15" customHeight="1" thickBot="1" x14ac:dyDescent="0.3">
      <c r="A70" s="150">
        <v>85</v>
      </c>
      <c r="B70" s="14" t="s">
        <v>88</v>
      </c>
      <c r="C70" s="67">
        <v>100</v>
      </c>
      <c r="D70" s="67">
        <v>114</v>
      </c>
      <c r="E70" s="67">
        <v>123</v>
      </c>
      <c r="F70" s="67">
        <v>126</v>
      </c>
      <c r="G70" s="67">
        <v>124</v>
      </c>
      <c r="H70" s="67">
        <v>132</v>
      </c>
      <c r="I70" s="67">
        <v>134</v>
      </c>
      <c r="J70" s="67">
        <v>134</v>
      </c>
      <c r="K70" s="67">
        <v>140</v>
      </c>
      <c r="L70" s="67">
        <v>137</v>
      </c>
      <c r="M70" s="67">
        <v>143</v>
      </c>
      <c r="N70" s="67">
        <v>155</v>
      </c>
      <c r="O70" s="67">
        <v>157</v>
      </c>
      <c r="P70" s="67">
        <v>161</v>
      </c>
      <c r="Q70" s="67">
        <v>169</v>
      </c>
      <c r="R70" s="67">
        <v>171</v>
      </c>
      <c r="S70" s="67">
        <v>172</v>
      </c>
      <c r="T70" s="67">
        <v>178</v>
      </c>
      <c r="U70" s="67">
        <v>171</v>
      </c>
      <c r="V70" s="67">
        <v>169</v>
      </c>
      <c r="W70" s="67">
        <v>174</v>
      </c>
      <c r="X70" s="67">
        <v>175</v>
      </c>
      <c r="Y70" s="67">
        <v>176</v>
      </c>
      <c r="Z70" s="67">
        <v>186</v>
      </c>
      <c r="AA70" s="67">
        <v>174</v>
      </c>
      <c r="AB70" s="67">
        <v>167</v>
      </c>
      <c r="AC70" s="67">
        <v>189</v>
      </c>
      <c r="AD70" s="67">
        <v>210</v>
      </c>
      <c r="AE70" s="151">
        <v>176</v>
      </c>
    </row>
    <row r="71" spans="1:32" s="11" customFormat="1" ht="15" customHeight="1" thickBot="1" x14ac:dyDescent="0.3">
      <c r="A71" s="144" t="s">
        <v>89</v>
      </c>
      <c r="B71" s="9" t="s">
        <v>90</v>
      </c>
      <c r="C71" s="64">
        <v>187</v>
      </c>
      <c r="D71" s="64">
        <v>190</v>
      </c>
      <c r="E71" s="64">
        <v>189</v>
      </c>
      <c r="F71" s="64">
        <v>189</v>
      </c>
      <c r="G71" s="64">
        <v>196</v>
      </c>
      <c r="H71" s="64">
        <v>205</v>
      </c>
      <c r="I71" s="64">
        <v>196</v>
      </c>
      <c r="J71" s="64">
        <v>214</v>
      </c>
      <c r="K71" s="64">
        <v>234</v>
      </c>
      <c r="L71" s="64">
        <v>257</v>
      </c>
      <c r="M71" s="64">
        <v>262</v>
      </c>
      <c r="N71" s="64">
        <v>266</v>
      </c>
      <c r="O71" s="64">
        <v>248</v>
      </c>
      <c r="P71" s="64">
        <v>225</v>
      </c>
      <c r="Q71" s="64">
        <v>232</v>
      </c>
      <c r="R71" s="64">
        <v>233</v>
      </c>
      <c r="S71" s="64">
        <v>236</v>
      </c>
      <c r="T71" s="64">
        <v>219</v>
      </c>
      <c r="U71" s="64">
        <v>227</v>
      </c>
      <c r="V71" s="64">
        <v>221</v>
      </c>
      <c r="W71" s="64">
        <v>226</v>
      </c>
      <c r="X71" s="64">
        <v>230</v>
      </c>
      <c r="Y71" s="64">
        <v>217</v>
      </c>
      <c r="Z71" s="64">
        <v>215</v>
      </c>
      <c r="AA71" s="64">
        <v>203</v>
      </c>
      <c r="AB71" s="64">
        <v>196</v>
      </c>
      <c r="AC71" s="64">
        <v>208</v>
      </c>
      <c r="AD71" s="64">
        <v>239</v>
      </c>
      <c r="AE71" s="145">
        <v>220</v>
      </c>
      <c r="AF71" s="10"/>
    </row>
    <row r="72" spans="1:32" ht="15" customHeight="1" x14ac:dyDescent="0.25">
      <c r="A72" s="146">
        <v>90</v>
      </c>
      <c r="B72" s="12" t="s">
        <v>91</v>
      </c>
      <c r="C72" s="65" t="s">
        <v>383</v>
      </c>
      <c r="D72" s="65" t="s">
        <v>383</v>
      </c>
      <c r="E72" s="65" t="s">
        <v>383</v>
      </c>
      <c r="F72" s="65" t="s">
        <v>383</v>
      </c>
      <c r="G72" s="65" t="s">
        <v>383</v>
      </c>
      <c r="H72" s="65">
        <v>4</v>
      </c>
      <c r="I72" s="65" t="s">
        <v>383</v>
      </c>
      <c r="J72" s="65">
        <v>4</v>
      </c>
      <c r="K72" s="65">
        <v>5</v>
      </c>
      <c r="L72" s="65">
        <v>4</v>
      </c>
      <c r="M72" s="65" t="s">
        <v>383</v>
      </c>
      <c r="N72" s="65" t="s">
        <v>383</v>
      </c>
      <c r="O72" s="65" t="s">
        <v>383</v>
      </c>
      <c r="P72" s="65" t="s">
        <v>383</v>
      </c>
      <c r="Q72" s="65" t="s">
        <v>383</v>
      </c>
      <c r="R72" s="65" t="s">
        <v>383</v>
      </c>
      <c r="S72" s="65" t="s">
        <v>383</v>
      </c>
      <c r="T72" s="65" t="s">
        <v>383</v>
      </c>
      <c r="U72" s="65" t="s">
        <v>383</v>
      </c>
      <c r="V72" s="65" t="s">
        <v>383</v>
      </c>
      <c r="W72" s="65" t="s">
        <v>383</v>
      </c>
      <c r="X72" s="65" t="s">
        <v>383</v>
      </c>
      <c r="Y72" s="65" t="s">
        <v>383</v>
      </c>
      <c r="Z72" s="65" t="s">
        <v>383</v>
      </c>
      <c r="AA72" s="65">
        <v>4</v>
      </c>
      <c r="AB72" s="65">
        <v>4</v>
      </c>
      <c r="AC72" s="65">
        <v>4</v>
      </c>
      <c r="AD72" s="65">
        <v>4</v>
      </c>
      <c r="AE72" s="147" t="s">
        <v>383</v>
      </c>
    </row>
    <row r="73" spans="1:32" ht="15" customHeight="1" x14ac:dyDescent="0.25">
      <c r="A73" s="156">
        <v>91</v>
      </c>
      <c r="B73" s="17" t="s">
        <v>92</v>
      </c>
      <c r="C73" s="70">
        <v>88</v>
      </c>
      <c r="D73" s="70">
        <v>92</v>
      </c>
      <c r="E73" s="70">
        <v>94</v>
      </c>
      <c r="F73" s="70">
        <v>98</v>
      </c>
      <c r="G73" s="70">
        <v>99</v>
      </c>
      <c r="H73" s="70">
        <v>110</v>
      </c>
      <c r="I73" s="70">
        <v>102</v>
      </c>
      <c r="J73" s="70">
        <v>109</v>
      </c>
      <c r="K73" s="70">
        <v>112</v>
      </c>
      <c r="L73" s="70">
        <v>112</v>
      </c>
      <c r="M73" s="70">
        <v>114</v>
      </c>
      <c r="N73" s="70">
        <v>115</v>
      </c>
      <c r="O73" s="70">
        <v>109</v>
      </c>
      <c r="P73" s="70">
        <v>105</v>
      </c>
      <c r="Q73" s="70">
        <v>110</v>
      </c>
      <c r="R73" s="70">
        <v>117</v>
      </c>
      <c r="S73" s="70">
        <v>119</v>
      </c>
      <c r="T73" s="70">
        <v>119</v>
      </c>
      <c r="U73" s="70">
        <v>115</v>
      </c>
      <c r="V73" s="70">
        <v>112</v>
      </c>
      <c r="W73" s="70">
        <v>117</v>
      </c>
      <c r="X73" s="70">
        <v>119</v>
      </c>
      <c r="Y73" s="70">
        <v>119</v>
      </c>
      <c r="Z73" s="70">
        <v>122</v>
      </c>
      <c r="AA73" s="70">
        <v>119</v>
      </c>
      <c r="AB73" s="70">
        <v>115</v>
      </c>
      <c r="AC73" s="70">
        <v>120</v>
      </c>
      <c r="AD73" s="70">
        <v>121</v>
      </c>
      <c r="AE73" s="157">
        <v>118</v>
      </c>
    </row>
    <row r="74" spans="1:32" ht="15" customHeight="1" x14ac:dyDescent="0.25">
      <c r="A74" s="156">
        <v>92</v>
      </c>
      <c r="B74" s="17" t="s">
        <v>93</v>
      </c>
      <c r="C74" s="70" t="s">
        <v>383</v>
      </c>
      <c r="D74" s="70" t="s">
        <v>383</v>
      </c>
      <c r="E74" s="70" t="s">
        <v>383</v>
      </c>
      <c r="F74" s="70" t="s">
        <v>383</v>
      </c>
      <c r="G74" s="70" t="s">
        <v>383</v>
      </c>
      <c r="H74" s="70">
        <v>16</v>
      </c>
      <c r="I74" s="70" t="s">
        <v>383</v>
      </c>
      <c r="J74" s="70">
        <v>17</v>
      </c>
      <c r="K74" s="70">
        <v>22</v>
      </c>
      <c r="L74" s="70">
        <v>22</v>
      </c>
      <c r="M74" s="70" t="s">
        <v>383</v>
      </c>
      <c r="N74" s="70" t="s">
        <v>383</v>
      </c>
      <c r="O74" s="70" t="s">
        <v>383</v>
      </c>
      <c r="P74" s="70">
        <v>27</v>
      </c>
      <c r="Q74" s="70">
        <v>28</v>
      </c>
      <c r="R74" s="70">
        <v>27</v>
      </c>
      <c r="S74" s="70">
        <v>27</v>
      </c>
      <c r="T74" s="70">
        <v>26</v>
      </c>
      <c r="U74" s="70" t="s">
        <v>383</v>
      </c>
      <c r="V74" s="70" t="s">
        <v>383</v>
      </c>
      <c r="W74" s="70" t="s">
        <v>383</v>
      </c>
      <c r="X74" s="70" t="s">
        <v>383</v>
      </c>
      <c r="Y74" s="70" t="s">
        <v>383</v>
      </c>
      <c r="Z74" s="70" t="s">
        <v>383</v>
      </c>
      <c r="AA74" s="70">
        <v>31</v>
      </c>
      <c r="AB74" s="70">
        <v>34</v>
      </c>
      <c r="AC74" s="70">
        <v>35</v>
      </c>
      <c r="AD74" s="70">
        <v>44</v>
      </c>
      <c r="AE74" s="157" t="s">
        <v>383</v>
      </c>
    </row>
    <row r="75" spans="1:32" ht="15" customHeight="1" thickBot="1" x14ac:dyDescent="0.3">
      <c r="A75" s="158">
        <v>93</v>
      </c>
      <c r="B75" s="18" t="s">
        <v>94</v>
      </c>
      <c r="C75" s="76">
        <v>69</v>
      </c>
      <c r="D75" s="76">
        <v>71</v>
      </c>
      <c r="E75" s="76">
        <v>72</v>
      </c>
      <c r="F75" s="76">
        <v>71</v>
      </c>
      <c r="G75" s="76">
        <v>78</v>
      </c>
      <c r="H75" s="76">
        <v>75</v>
      </c>
      <c r="I75" s="76">
        <v>76</v>
      </c>
      <c r="J75" s="76">
        <v>84</v>
      </c>
      <c r="K75" s="76">
        <v>95</v>
      </c>
      <c r="L75" s="76">
        <v>119</v>
      </c>
      <c r="M75" s="76">
        <v>119</v>
      </c>
      <c r="N75" s="76">
        <v>122</v>
      </c>
      <c r="O75" s="76">
        <v>107</v>
      </c>
      <c r="P75" s="76" t="s">
        <v>383</v>
      </c>
      <c r="Q75" s="76" t="s">
        <v>383</v>
      </c>
      <c r="R75" s="76" t="s">
        <v>383</v>
      </c>
      <c r="S75" s="76" t="s">
        <v>383</v>
      </c>
      <c r="T75" s="76" t="s">
        <v>383</v>
      </c>
      <c r="U75" s="76">
        <v>81</v>
      </c>
      <c r="V75" s="76">
        <v>77</v>
      </c>
      <c r="W75" s="76">
        <v>77</v>
      </c>
      <c r="X75" s="76">
        <v>75</v>
      </c>
      <c r="Y75" s="76">
        <v>65</v>
      </c>
      <c r="Z75" s="76">
        <v>59</v>
      </c>
      <c r="AA75" s="76">
        <v>49</v>
      </c>
      <c r="AB75" s="76">
        <v>43</v>
      </c>
      <c r="AC75" s="76">
        <v>49</v>
      </c>
      <c r="AD75" s="76">
        <v>70</v>
      </c>
      <c r="AE75" s="165">
        <v>57</v>
      </c>
    </row>
    <row r="76" spans="1:32" s="23" customFormat="1" ht="15" customHeight="1" thickBot="1" x14ac:dyDescent="0.3">
      <c r="A76" s="166"/>
      <c r="B76" s="167" t="s">
        <v>95</v>
      </c>
      <c r="C76" s="168">
        <v>1783</v>
      </c>
      <c r="D76" s="168">
        <v>1892</v>
      </c>
      <c r="E76" s="168">
        <v>1976</v>
      </c>
      <c r="F76" s="168">
        <v>2026</v>
      </c>
      <c r="G76" s="168">
        <v>2007</v>
      </c>
      <c r="H76" s="168">
        <v>2026</v>
      </c>
      <c r="I76" s="168">
        <v>1863</v>
      </c>
      <c r="J76" s="168">
        <v>1930</v>
      </c>
      <c r="K76" s="168">
        <v>2094</v>
      </c>
      <c r="L76" s="168">
        <v>2244</v>
      </c>
      <c r="M76" s="168">
        <v>2346</v>
      </c>
      <c r="N76" s="168">
        <v>2522</v>
      </c>
      <c r="O76" s="168">
        <v>2574</v>
      </c>
      <c r="P76" s="168">
        <v>2626</v>
      </c>
      <c r="Q76" s="168">
        <v>2739</v>
      </c>
      <c r="R76" s="168">
        <v>2795</v>
      </c>
      <c r="S76" s="168">
        <v>2754</v>
      </c>
      <c r="T76" s="168">
        <v>2797</v>
      </c>
      <c r="U76" s="168">
        <v>2796</v>
      </c>
      <c r="V76" s="168">
        <v>2816</v>
      </c>
      <c r="W76" s="168">
        <v>2861</v>
      </c>
      <c r="X76" s="168">
        <v>2858</v>
      </c>
      <c r="Y76" s="168">
        <v>2823</v>
      </c>
      <c r="Z76" s="168">
        <v>2683</v>
      </c>
      <c r="AA76" s="168">
        <v>2561</v>
      </c>
      <c r="AB76" s="168">
        <v>2604</v>
      </c>
      <c r="AC76" s="168">
        <v>3017</v>
      </c>
      <c r="AD76" s="168">
        <v>3388</v>
      </c>
      <c r="AE76" s="169">
        <v>3082</v>
      </c>
      <c r="AF76" s="22"/>
    </row>
    <row r="77" spans="1:32" ht="12" customHeight="1" x14ac:dyDescent="0.25">
      <c r="A77" s="7"/>
      <c r="B77" s="7"/>
      <c r="C77" s="7"/>
      <c r="D77" s="7"/>
      <c r="E77" s="24"/>
      <c r="F77" s="7"/>
      <c r="G77" s="25"/>
      <c r="H77" s="7"/>
      <c r="I77" s="7"/>
      <c r="J77" s="7"/>
      <c r="K77" s="7"/>
      <c r="L77" s="7"/>
      <c r="M77" s="7"/>
      <c r="N77" s="7"/>
      <c r="O77" s="7"/>
      <c r="P77" s="7"/>
      <c r="Q77" s="7"/>
      <c r="R77" s="7"/>
      <c r="S77" s="7"/>
      <c r="T77" s="7"/>
      <c r="U77" s="7"/>
      <c r="V77" s="7"/>
      <c r="W77" s="7"/>
      <c r="X77" s="7"/>
      <c r="Y77" s="7"/>
      <c r="Z77" s="7"/>
      <c r="AA77" s="7"/>
      <c r="AB77" s="7"/>
      <c r="AC77" s="7"/>
      <c r="AD77" s="7"/>
      <c r="AE77" s="7"/>
    </row>
    <row r="78" spans="1:32" ht="11.25" x14ac:dyDescent="0.25">
      <c r="A78" s="307" t="s">
        <v>96</v>
      </c>
      <c r="B78" s="307"/>
      <c r="C78" s="277"/>
      <c r="D78" s="277"/>
      <c r="E78" s="277"/>
      <c r="F78" s="26"/>
      <c r="G78" s="26"/>
      <c r="H78" s="7"/>
      <c r="I78" s="7"/>
      <c r="J78" s="7"/>
      <c r="K78" s="7"/>
      <c r="L78" s="7"/>
      <c r="M78" s="7"/>
      <c r="N78" s="7"/>
      <c r="O78" s="7"/>
      <c r="P78" s="7"/>
      <c r="Q78" s="7"/>
      <c r="R78" s="7"/>
      <c r="S78" s="7"/>
      <c r="T78" s="7"/>
      <c r="U78" s="7"/>
      <c r="V78" s="7"/>
      <c r="W78" s="7"/>
      <c r="X78" s="7"/>
      <c r="Y78" s="7"/>
      <c r="Z78" s="7"/>
      <c r="AA78" s="7"/>
      <c r="AB78" s="7"/>
      <c r="AC78" s="7"/>
      <c r="AD78" s="7"/>
      <c r="AE78" s="7"/>
    </row>
    <row r="79" spans="1:32" ht="26.45" customHeight="1" x14ac:dyDescent="0.25">
      <c r="A79" s="307" t="s">
        <v>381</v>
      </c>
      <c r="B79" s="307"/>
      <c r="C79" s="307"/>
      <c r="D79" s="277"/>
      <c r="E79" s="277"/>
      <c r="F79" s="277"/>
      <c r="G79" s="277"/>
      <c r="H79" s="27"/>
      <c r="I79" s="27"/>
      <c r="J79" s="27"/>
      <c r="K79" s="27"/>
      <c r="L79" s="7"/>
      <c r="M79" s="7"/>
      <c r="N79" s="7"/>
      <c r="O79" s="7"/>
      <c r="P79" s="7"/>
      <c r="Q79" s="7"/>
      <c r="R79" s="7"/>
      <c r="S79" s="7"/>
      <c r="T79" s="7"/>
      <c r="U79" s="7"/>
      <c r="V79" s="7"/>
      <c r="W79" s="7"/>
      <c r="X79" s="7"/>
      <c r="Y79" s="7"/>
      <c r="Z79" s="7"/>
      <c r="AA79" s="7"/>
      <c r="AB79" s="7"/>
      <c r="AC79" s="7"/>
      <c r="AD79" s="7"/>
      <c r="AE79" s="7"/>
    </row>
    <row r="80" spans="1:32" ht="26.45" customHeight="1" x14ac:dyDescent="0.25">
      <c r="A80" s="307" t="s">
        <v>382</v>
      </c>
      <c r="B80" s="307"/>
      <c r="C80" s="307"/>
      <c r="D80" s="277"/>
      <c r="E80" s="277"/>
      <c r="F80" s="277"/>
      <c r="G80" s="277"/>
      <c r="H80" s="27"/>
      <c r="I80" s="27"/>
      <c r="J80" s="27"/>
      <c r="K80" s="27"/>
      <c r="L80" s="7"/>
      <c r="M80" s="7"/>
      <c r="N80" s="7"/>
      <c r="O80" s="7"/>
      <c r="P80" s="7"/>
      <c r="Q80" s="7"/>
      <c r="R80" s="7"/>
      <c r="S80" s="7"/>
      <c r="T80" s="7"/>
      <c r="U80" s="7"/>
      <c r="V80" s="7"/>
      <c r="W80" s="7"/>
      <c r="X80" s="7"/>
      <c r="Y80" s="7"/>
      <c r="Z80" s="7"/>
      <c r="AA80" s="7"/>
      <c r="AB80" s="7"/>
      <c r="AC80" s="7"/>
      <c r="AD80" s="7"/>
      <c r="AE80" s="7"/>
    </row>
    <row r="81" spans="1:31" ht="26.45" customHeight="1" x14ac:dyDescent="0.25">
      <c r="A81" s="307" t="s">
        <v>151</v>
      </c>
      <c r="B81" s="307"/>
      <c r="C81" s="307"/>
      <c r="D81" s="277"/>
      <c r="E81" s="277"/>
      <c r="F81" s="277"/>
      <c r="G81" s="277"/>
      <c r="H81" s="27"/>
      <c r="I81" s="27"/>
      <c r="J81" s="27"/>
      <c r="K81" s="27"/>
      <c r="L81" s="7"/>
      <c r="M81" s="7"/>
      <c r="N81" s="7"/>
      <c r="O81" s="7"/>
      <c r="P81" s="7"/>
      <c r="Q81" s="7"/>
      <c r="R81" s="7"/>
      <c r="S81" s="7"/>
      <c r="T81" s="7"/>
      <c r="U81" s="7"/>
      <c r="V81" s="7"/>
      <c r="W81" s="7"/>
      <c r="X81" s="7"/>
      <c r="Y81" s="7"/>
      <c r="Z81" s="7"/>
      <c r="AA81" s="7"/>
      <c r="AB81" s="7"/>
      <c r="AC81" s="7"/>
      <c r="AD81" s="7"/>
      <c r="AE81" s="7"/>
    </row>
    <row r="82" spans="1:31" s="29" customFormat="1" ht="46.5" customHeight="1" x14ac:dyDescent="0.25">
      <c r="A82" s="307" t="s">
        <v>384</v>
      </c>
      <c r="B82" s="307"/>
      <c r="C82" s="307"/>
      <c r="D82" s="307"/>
      <c r="E82" s="307"/>
      <c r="F82" s="307"/>
      <c r="G82" s="307"/>
      <c r="H82" s="28"/>
      <c r="I82" s="28"/>
      <c r="J82" s="28"/>
    </row>
    <row r="83" spans="1:31" ht="19.899999999999999" customHeight="1" x14ac:dyDescent="0.25">
      <c r="A83" s="276"/>
      <c r="B83" s="276"/>
      <c r="C83" s="276"/>
      <c r="D83" s="276"/>
      <c r="E83" s="276"/>
      <c r="F83" s="276"/>
      <c r="G83" s="276"/>
      <c r="H83" s="28"/>
      <c r="I83" s="28"/>
      <c r="J83" s="28"/>
      <c r="K83" s="7"/>
      <c r="L83" s="7"/>
      <c r="M83" s="7"/>
      <c r="N83" s="7"/>
      <c r="O83" s="7"/>
      <c r="P83" s="7"/>
      <c r="Q83" s="7"/>
      <c r="R83" s="7"/>
      <c r="S83" s="7"/>
      <c r="T83" s="7"/>
      <c r="U83" s="7"/>
      <c r="V83" s="7"/>
      <c r="W83" s="7"/>
      <c r="X83" s="7"/>
      <c r="Y83" s="7"/>
      <c r="Z83" s="7"/>
      <c r="AA83" s="7"/>
      <c r="AB83" s="7"/>
      <c r="AC83" s="7"/>
      <c r="AD83" s="7"/>
      <c r="AE83" s="7"/>
    </row>
    <row r="84" spans="1:31" ht="6.75" customHeight="1" x14ac:dyDescent="0.25">
      <c r="A84" s="7"/>
      <c r="B84" s="7"/>
      <c r="C84" s="7"/>
      <c r="D84" s="7"/>
      <c r="E84" s="7"/>
      <c r="F84" s="7"/>
      <c r="G84" s="7"/>
      <c r="H84" s="7"/>
      <c r="I84" s="7"/>
      <c r="J84" s="7"/>
      <c r="K84" s="7"/>
      <c r="L84" s="7"/>
      <c r="M84" s="7"/>
      <c r="N84" s="7"/>
      <c r="O84" s="7"/>
      <c r="P84" s="7"/>
      <c r="Q84" s="7"/>
      <c r="R84" s="7"/>
      <c r="S84" s="7"/>
      <c r="T84" s="7"/>
      <c r="U84" s="7"/>
      <c r="V84" s="7"/>
      <c r="W84" s="7"/>
      <c r="X84" s="7"/>
      <c r="Y84" s="7"/>
      <c r="Z84" s="7"/>
      <c r="AA84" s="7"/>
      <c r="AB84" s="7"/>
      <c r="AC84" s="7"/>
      <c r="AD84" s="7"/>
      <c r="AE84" s="7"/>
    </row>
    <row r="85" spans="1:31" ht="0" hidden="1" customHeight="1" x14ac:dyDescent="0.25"/>
    <row r="86" spans="1:31" ht="0" hidden="1" customHeight="1" x14ac:dyDescent="0.25"/>
    <row r="87" spans="1:31" ht="0" hidden="1" customHeight="1" x14ac:dyDescent="0.25"/>
    <row r="88" spans="1:31" ht="0" hidden="1" customHeight="1" x14ac:dyDescent="0.25"/>
    <row r="89" spans="1:31" ht="0" hidden="1" customHeight="1" x14ac:dyDescent="0.25"/>
    <row r="90" spans="1:31" ht="0" hidden="1" customHeight="1" x14ac:dyDescent="0.25"/>
    <row r="91" spans="1:31" ht="0" hidden="1" customHeight="1" x14ac:dyDescent="0.25"/>
    <row r="92" spans="1:31" ht="0" hidden="1" customHeight="1" x14ac:dyDescent="0.25"/>
    <row r="93" spans="1:31" ht="0" hidden="1" customHeight="1" x14ac:dyDescent="0.25"/>
    <row r="94" spans="1:31" ht="0" hidden="1" customHeight="1" x14ac:dyDescent="0.25"/>
  </sheetData>
  <mergeCells count="37">
    <mergeCell ref="Q4:Q5"/>
    <mergeCell ref="F4:F5"/>
    <mergeCell ref="G4:G5"/>
    <mergeCell ref="A82:G82"/>
    <mergeCell ref="W4:W5"/>
    <mergeCell ref="A79:C79"/>
    <mergeCell ref="A80:C80"/>
    <mergeCell ref="A81:C81"/>
    <mergeCell ref="A78:B78"/>
    <mergeCell ref="H4:H5"/>
    <mergeCell ref="X4:X5"/>
    <mergeCell ref="S4:S5"/>
    <mergeCell ref="T4:T5"/>
    <mergeCell ref="U4:U5"/>
    <mergeCell ref="V4:V5"/>
    <mergeCell ref="A2:C2"/>
    <mergeCell ref="B4:B5"/>
    <mergeCell ref="C4:C5"/>
    <mergeCell ref="D4:D5"/>
    <mergeCell ref="E4:E5"/>
    <mergeCell ref="A4:A5"/>
    <mergeCell ref="AB4:AB5"/>
    <mergeCell ref="I4:I5"/>
    <mergeCell ref="O4:O5"/>
    <mergeCell ref="AE4:AE5"/>
    <mergeCell ref="J4:J5"/>
    <mergeCell ref="AA4:AA5"/>
    <mergeCell ref="Z4:Z5"/>
    <mergeCell ref="Y4:Y5"/>
    <mergeCell ref="R4:R5"/>
    <mergeCell ref="K4:K5"/>
    <mergeCell ref="L4:L5"/>
    <mergeCell ref="M4:M5"/>
    <mergeCell ref="N4:N5"/>
    <mergeCell ref="AC4:AC5"/>
    <mergeCell ref="P4:P5"/>
    <mergeCell ref="AD4:AD5"/>
  </mergeCells>
  <pageMargins left="0.74803149606299213" right="0.74803149606299213" top="0.98425196850393704" bottom="0.98425196850393704" header="0" footer="0"/>
  <pageSetup paperSize="9" scale="65" fitToWidth="19" orientation="portrait" r:id="rId1"/>
  <headerFooter alignWithMargins="0"/>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7"/>
  <dimension ref="A1:DW94"/>
  <sheetViews>
    <sheetView zoomScale="115" zoomScaleNormal="115" workbookViewId="0">
      <pane xSplit="2" ySplit="5" topLeftCell="C6" activePane="bottomRight" state="frozen"/>
      <selection activeCell="C6" sqref="C6"/>
      <selection pane="topRight" activeCell="C6" sqref="C6"/>
      <selection pane="bottomLeft" activeCell="C6" sqref="C6"/>
      <selection pane="bottomRight" activeCell="C6" sqref="C6"/>
    </sheetView>
  </sheetViews>
  <sheetFormatPr baseColWidth="10" defaultColWidth="0" defaultRowHeight="0" customHeight="1" zeroHeight="1" x14ac:dyDescent="0.25"/>
  <cols>
    <col min="1" max="1" width="5.7109375" style="8" customWidth="1"/>
    <col min="2" max="2" width="62.7109375" style="8" customWidth="1"/>
    <col min="3" max="4" width="11.140625" style="30" customWidth="1"/>
    <col min="5" max="6" width="11.140625" style="8" customWidth="1"/>
    <col min="7" max="7" width="11.140625" style="31" customWidth="1"/>
    <col min="8" max="31" width="11.140625" style="8" customWidth="1"/>
    <col min="32" max="32" width="4.28515625" style="7" customWidth="1"/>
    <col min="33" max="127" width="0" style="8" hidden="1" customWidth="1"/>
    <col min="128" max="16384" width="11.140625" style="8" hidden="1"/>
  </cols>
  <sheetData>
    <row r="1" spans="1:32" s="5" customFormat="1" ht="25.5" customHeight="1" thickBot="1" x14ac:dyDescent="0.25">
      <c r="A1" s="1"/>
      <c r="B1" s="2"/>
      <c r="C1" s="3"/>
      <c r="D1" s="172" t="s">
        <v>0</v>
      </c>
      <c r="E1" s="171"/>
      <c r="F1" s="171"/>
      <c r="G1" s="173"/>
      <c r="H1" s="171"/>
      <c r="I1" s="171"/>
      <c r="J1" s="171"/>
      <c r="K1" s="171"/>
      <c r="L1" s="171"/>
      <c r="M1" s="171"/>
      <c r="N1" s="171"/>
      <c r="O1" s="171"/>
      <c r="P1" s="171"/>
      <c r="Q1" s="171"/>
      <c r="R1" s="171"/>
      <c r="S1" s="171"/>
      <c r="T1" s="171"/>
      <c r="U1" s="171"/>
      <c r="V1" s="171"/>
      <c r="W1" s="171"/>
      <c r="X1" s="171"/>
      <c r="Y1" s="171"/>
      <c r="Z1" s="171"/>
      <c r="AA1" s="171"/>
      <c r="AB1" s="171"/>
      <c r="AC1" s="171"/>
      <c r="AD1" s="171"/>
      <c r="AE1" s="171"/>
      <c r="AF1" s="2"/>
    </row>
    <row r="2" spans="1:32" s="7" customFormat="1" ht="22.5" customHeight="1" thickBot="1" x14ac:dyDescent="0.3">
      <c r="A2" s="303" t="s">
        <v>121</v>
      </c>
      <c r="B2" s="304"/>
      <c r="C2" s="304"/>
      <c r="D2" s="140"/>
      <c r="E2" s="140"/>
      <c r="F2" s="140"/>
      <c r="G2" s="140"/>
      <c r="H2" s="140"/>
      <c r="I2" s="140"/>
      <c r="J2" s="140"/>
      <c r="K2" s="140"/>
      <c r="L2" s="140"/>
      <c r="M2" s="140"/>
      <c r="N2" s="140"/>
      <c r="O2" s="140"/>
      <c r="P2" s="140"/>
      <c r="Q2" s="140"/>
      <c r="R2" s="140"/>
      <c r="S2" s="140"/>
      <c r="T2" s="140"/>
      <c r="U2" s="140"/>
      <c r="V2" s="140"/>
      <c r="W2" s="140"/>
      <c r="X2" s="140"/>
      <c r="Y2" s="140"/>
      <c r="Z2" s="140"/>
      <c r="AA2" s="140"/>
      <c r="AB2" s="140"/>
      <c r="AC2" s="140"/>
      <c r="AD2" s="140"/>
      <c r="AE2" s="141"/>
    </row>
    <row r="3" spans="1:32" ht="16.5" customHeight="1" thickBot="1" x14ac:dyDescent="0.25">
      <c r="A3" s="142" t="s">
        <v>299</v>
      </c>
      <c r="B3" s="57"/>
      <c r="C3" s="57"/>
      <c r="D3" s="58"/>
      <c r="E3" s="58"/>
      <c r="F3" s="58"/>
      <c r="G3" s="58"/>
      <c r="H3" s="59"/>
      <c r="I3" s="59"/>
      <c r="J3" s="59"/>
      <c r="K3" s="59"/>
      <c r="L3" s="59"/>
      <c r="M3" s="59"/>
      <c r="N3" s="59"/>
      <c r="O3" s="59"/>
      <c r="P3" s="59"/>
      <c r="Q3" s="59"/>
      <c r="R3" s="59"/>
      <c r="S3" s="59"/>
      <c r="T3" s="59"/>
      <c r="U3" s="59"/>
      <c r="V3" s="59"/>
      <c r="W3" s="59"/>
      <c r="X3" s="59"/>
      <c r="Y3" s="59"/>
      <c r="Z3" s="59"/>
      <c r="AA3" s="59"/>
      <c r="AB3" s="59"/>
      <c r="AC3" s="59"/>
      <c r="AD3" s="59"/>
      <c r="AE3" s="143"/>
    </row>
    <row r="4" spans="1:32" ht="15.75" customHeight="1" x14ac:dyDescent="0.25">
      <c r="A4" s="310"/>
      <c r="B4" s="308" t="s">
        <v>2</v>
      </c>
      <c r="C4" s="301">
        <v>1996</v>
      </c>
      <c r="D4" s="301">
        <v>1997</v>
      </c>
      <c r="E4" s="301">
        <v>1998</v>
      </c>
      <c r="F4" s="301">
        <v>1999</v>
      </c>
      <c r="G4" s="301">
        <v>2000</v>
      </c>
      <c r="H4" s="301">
        <v>2001</v>
      </c>
      <c r="I4" s="301">
        <v>2002</v>
      </c>
      <c r="J4" s="301">
        <v>2003</v>
      </c>
      <c r="K4" s="301">
        <v>2004</v>
      </c>
      <c r="L4" s="301">
        <v>2005</v>
      </c>
      <c r="M4" s="301">
        <v>2006</v>
      </c>
      <c r="N4" s="301">
        <v>2007</v>
      </c>
      <c r="O4" s="301">
        <v>2008</v>
      </c>
      <c r="P4" s="301">
        <v>2009</v>
      </c>
      <c r="Q4" s="301">
        <v>2010</v>
      </c>
      <c r="R4" s="301">
        <v>2011</v>
      </c>
      <c r="S4" s="301">
        <v>2012</v>
      </c>
      <c r="T4" s="301">
        <v>2013</v>
      </c>
      <c r="U4" s="301">
        <v>2014</v>
      </c>
      <c r="V4" s="301">
        <v>2015</v>
      </c>
      <c r="W4" s="301">
        <v>2016</v>
      </c>
      <c r="X4" s="301">
        <v>2017</v>
      </c>
      <c r="Y4" s="301">
        <v>2018</v>
      </c>
      <c r="Z4" s="301">
        <v>2019</v>
      </c>
      <c r="AA4" s="301">
        <v>2020</v>
      </c>
      <c r="AB4" s="301">
        <v>2021</v>
      </c>
      <c r="AC4" s="301">
        <v>2022</v>
      </c>
      <c r="AD4" s="301">
        <v>2023</v>
      </c>
      <c r="AE4" s="299">
        <v>2024</v>
      </c>
    </row>
    <row r="5" spans="1:32" ht="15.75" customHeight="1" thickBot="1" x14ac:dyDescent="0.3">
      <c r="A5" s="311"/>
      <c r="B5" s="309"/>
      <c r="C5" s="302"/>
      <c r="D5" s="302" t="s">
        <v>3</v>
      </c>
      <c r="E5" s="302"/>
      <c r="F5" s="302" t="s">
        <v>4</v>
      </c>
      <c r="G5" s="302"/>
      <c r="H5" s="302" t="s">
        <v>5</v>
      </c>
      <c r="I5" s="302"/>
      <c r="J5" s="302" t="s">
        <v>6</v>
      </c>
      <c r="K5" s="302"/>
      <c r="L5" s="302" t="s">
        <v>7</v>
      </c>
      <c r="M5" s="302"/>
      <c r="N5" s="302" t="s">
        <v>8</v>
      </c>
      <c r="O5" s="302"/>
      <c r="P5" s="302" t="s">
        <v>9</v>
      </c>
      <c r="Q5" s="302"/>
      <c r="R5" s="302" t="s">
        <v>10</v>
      </c>
      <c r="S5" s="302"/>
      <c r="T5" s="302"/>
      <c r="U5" s="302"/>
      <c r="V5" s="302"/>
      <c r="W5" s="302"/>
      <c r="X5" s="302"/>
      <c r="Y5" s="302"/>
      <c r="Z5" s="302"/>
      <c r="AA5" s="302"/>
      <c r="AB5" s="302"/>
      <c r="AC5" s="302"/>
      <c r="AD5" s="302"/>
      <c r="AE5" s="300"/>
    </row>
    <row r="6" spans="1:32" s="11" customFormat="1" ht="15" customHeight="1" thickBot="1" x14ac:dyDescent="0.3">
      <c r="A6" s="144" t="s">
        <v>11</v>
      </c>
      <c r="B6" s="9" t="s">
        <v>12</v>
      </c>
      <c r="C6" s="64">
        <v>4347</v>
      </c>
      <c r="D6" s="64">
        <v>4308</v>
      </c>
      <c r="E6" s="64">
        <v>4209</v>
      </c>
      <c r="F6" s="64">
        <v>4206</v>
      </c>
      <c r="G6" s="64">
        <v>4081</v>
      </c>
      <c r="H6" s="64">
        <v>3956</v>
      </c>
      <c r="I6" s="64">
        <v>3826</v>
      </c>
      <c r="J6" s="64">
        <v>4045</v>
      </c>
      <c r="K6" s="64">
        <v>4331</v>
      </c>
      <c r="L6" s="64">
        <v>4597</v>
      </c>
      <c r="M6" s="64">
        <v>4861</v>
      </c>
      <c r="N6" s="64">
        <v>5073</v>
      </c>
      <c r="O6" s="64">
        <v>5113</v>
      </c>
      <c r="P6" s="64">
        <v>5088</v>
      </c>
      <c r="Q6" s="64">
        <v>5144</v>
      </c>
      <c r="R6" s="64">
        <v>5234</v>
      </c>
      <c r="S6" s="64">
        <v>5398</v>
      </c>
      <c r="T6" s="64">
        <v>5366</v>
      </c>
      <c r="U6" s="64">
        <v>5130</v>
      </c>
      <c r="V6" s="64">
        <v>4947</v>
      </c>
      <c r="W6" s="64">
        <v>4798</v>
      </c>
      <c r="X6" s="64">
        <v>4718</v>
      </c>
      <c r="Y6" s="64">
        <v>4680</v>
      </c>
      <c r="Z6" s="64">
        <v>4526</v>
      </c>
      <c r="AA6" s="64">
        <v>4348</v>
      </c>
      <c r="AB6" s="64">
        <v>4284</v>
      </c>
      <c r="AC6" s="64">
        <v>4262</v>
      </c>
      <c r="AD6" s="64">
        <v>4120</v>
      </c>
      <c r="AE6" s="145">
        <v>3988</v>
      </c>
      <c r="AF6" s="10"/>
    </row>
    <row r="7" spans="1:32" ht="15" customHeight="1" x14ac:dyDescent="0.25">
      <c r="A7" s="146">
        <v>1</v>
      </c>
      <c r="B7" s="12" t="s">
        <v>13</v>
      </c>
      <c r="C7" s="68">
        <v>4328</v>
      </c>
      <c r="D7" s="68">
        <v>4287</v>
      </c>
      <c r="E7" s="68">
        <v>4192</v>
      </c>
      <c r="F7" s="68">
        <v>4189</v>
      </c>
      <c r="G7" s="68">
        <v>4064</v>
      </c>
      <c r="H7" s="68">
        <v>3940</v>
      </c>
      <c r="I7" s="68">
        <v>3804</v>
      </c>
      <c r="J7" s="68">
        <v>4024</v>
      </c>
      <c r="K7" s="68">
        <v>4309</v>
      </c>
      <c r="L7" s="68">
        <v>4575</v>
      </c>
      <c r="M7" s="68">
        <v>4837</v>
      </c>
      <c r="N7" s="68">
        <v>5048</v>
      </c>
      <c r="O7" s="68">
        <v>5087</v>
      </c>
      <c r="P7" s="68">
        <v>5063</v>
      </c>
      <c r="Q7" s="68">
        <v>5121</v>
      </c>
      <c r="R7" s="68">
        <v>5210</v>
      </c>
      <c r="S7" s="68">
        <v>5378</v>
      </c>
      <c r="T7" s="68">
        <v>5344</v>
      </c>
      <c r="U7" s="68">
        <v>5110</v>
      </c>
      <c r="V7" s="68">
        <v>4927</v>
      </c>
      <c r="W7" s="68">
        <v>4777</v>
      </c>
      <c r="X7" s="68">
        <v>4697</v>
      </c>
      <c r="Y7" s="68">
        <v>4660</v>
      </c>
      <c r="Z7" s="68">
        <v>4503</v>
      </c>
      <c r="AA7" s="68">
        <v>4327</v>
      </c>
      <c r="AB7" s="68">
        <v>4262</v>
      </c>
      <c r="AC7" s="68">
        <v>4240</v>
      </c>
      <c r="AD7" s="68">
        <v>4098</v>
      </c>
      <c r="AE7" s="147">
        <v>3966</v>
      </c>
    </row>
    <row r="8" spans="1:32" ht="15" customHeight="1" thickBot="1" x14ac:dyDescent="0.3">
      <c r="A8" s="148">
        <v>2</v>
      </c>
      <c r="B8" s="13" t="s">
        <v>14</v>
      </c>
      <c r="C8" s="69">
        <v>19</v>
      </c>
      <c r="D8" s="69">
        <v>21</v>
      </c>
      <c r="E8" s="69">
        <v>17</v>
      </c>
      <c r="F8" s="69">
        <v>17</v>
      </c>
      <c r="G8" s="69">
        <v>17</v>
      </c>
      <c r="H8" s="69">
        <v>16</v>
      </c>
      <c r="I8" s="69">
        <v>22</v>
      </c>
      <c r="J8" s="69">
        <v>21</v>
      </c>
      <c r="K8" s="69">
        <v>22</v>
      </c>
      <c r="L8" s="69">
        <v>22</v>
      </c>
      <c r="M8" s="69">
        <v>24</v>
      </c>
      <c r="N8" s="69">
        <v>25</v>
      </c>
      <c r="O8" s="69">
        <v>26</v>
      </c>
      <c r="P8" s="69">
        <v>25</v>
      </c>
      <c r="Q8" s="69">
        <v>23</v>
      </c>
      <c r="R8" s="69">
        <v>24</v>
      </c>
      <c r="S8" s="69">
        <v>20</v>
      </c>
      <c r="T8" s="69">
        <v>22</v>
      </c>
      <c r="U8" s="69">
        <v>20</v>
      </c>
      <c r="V8" s="69">
        <v>20</v>
      </c>
      <c r="W8" s="69">
        <v>21</v>
      </c>
      <c r="X8" s="69">
        <v>21</v>
      </c>
      <c r="Y8" s="69">
        <v>20</v>
      </c>
      <c r="Z8" s="69">
        <v>23</v>
      </c>
      <c r="AA8" s="69">
        <v>21</v>
      </c>
      <c r="AB8" s="69">
        <v>22</v>
      </c>
      <c r="AC8" s="69">
        <v>22</v>
      </c>
      <c r="AD8" s="69">
        <v>22</v>
      </c>
      <c r="AE8" s="149">
        <v>22</v>
      </c>
    </row>
    <row r="9" spans="1:32" s="11" customFormat="1" ht="15" customHeight="1" thickBot="1" x14ac:dyDescent="0.3">
      <c r="A9" s="144" t="s">
        <v>15</v>
      </c>
      <c r="B9" s="9" t="s">
        <v>16</v>
      </c>
      <c r="C9" s="64" t="s">
        <v>383</v>
      </c>
      <c r="D9" s="64" t="s">
        <v>383</v>
      </c>
      <c r="E9" s="64" t="s">
        <v>383</v>
      </c>
      <c r="F9" s="64" t="s">
        <v>383</v>
      </c>
      <c r="G9" s="64" t="s">
        <v>383</v>
      </c>
      <c r="H9" s="64" t="s">
        <v>383</v>
      </c>
      <c r="I9" s="64" t="s">
        <v>383</v>
      </c>
      <c r="J9" s="64" t="s">
        <v>383</v>
      </c>
      <c r="K9" s="64" t="s">
        <v>383</v>
      </c>
      <c r="L9" s="64" t="s">
        <v>383</v>
      </c>
      <c r="M9" s="64" t="s">
        <v>383</v>
      </c>
      <c r="N9" s="64" t="s">
        <v>383</v>
      </c>
      <c r="O9" s="64">
        <v>5</v>
      </c>
      <c r="P9" s="64">
        <v>4</v>
      </c>
      <c r="Q9" s="64">
        <v>4</v>
      </c>
      <c r="R9" s="64">
        <v>4</v>
      </c>
      <c r="S9" s="64" t="s">
        <v>383</v>
      </c>
      <c r="T9" s="64" t="s">
        <v>383</v>
      </c>
      <c r="U9" s="64" t="s">
        <v>383</v>
      </c>
      <c r="V9" s="64" t="s">
        <v>383</v>
      </c>
      <c r="W9" s="64" t="s">
        <v>383</v>
      </c>
      <c r="X9" s="64" t="s">
        <v>383</v>
      </c>
      <c r="Y9" s="64" t="s">
        <v>383</v>
      </c>
      <c r="Z9" s="64" t="s">
        <v>383</v>
      </c>
      <c r="AA9" s="64" t="s">
        <v>383</v>
      </c>
      <c r="AB9" s="64" t="s">
        <v>383</v>
      </c>
      <c r="AC9" s="64" t="s">
        <v>383</v>
      </c>
      <c r="AD9" s="64" t="s">
        <v>383</v>
      </c>
      <c r="AE9" s="145" t="s">
        <v>383</v>
      </c>
      <c r="AF9" s="10"/>
    </row>
    <row r="10" spans="1:32" ht="15" customHeight="1" thickBot="1" x14ac:dyDescent="0.3">
      <c r="A10" s="150">
        <v>5</v>
      </c>
      <c r="B10" s="14" t="s">
        <v>17</v>
      </c>
      <c r="C10" s="67" t="s">
        <v>383</v>
      </c>
      <c r="D10" s="67" t="s">
        <v>383</v>
      </c>
      <c r="E10" s="67" t="s">
        <v>383</v>
      </c>
      <c r="F10" s="67" t="s">
        <v>383</v>
      </c>
      <c r="G10" s="67" t="s">
        <v>383</v>
      </c>
      <c r="H10" s="67" t="s">
        <v>383</v>
      </c>
      <c r="I10" s="67" t="s">
        <v>383</v>
      </c>
      <c r="J10" s="67" t="s">
        <v>383</v>
      </c>
      <c r="K10" s="67" t="s">
        <v>383</v>
      </c>
      <c r="L10" s="67" t="s">
        <v>383</v>
      </c>
      <c r="M10" s="67" t="s">
        <v>383</v>
      </c>
      <c r="N10" s="67" t="s">
        <v>383</v>
      </c>
      <c r="O10" s="67">
        <v>5</v>
      </c>
      <c r="P10" s="67">
        <v>4</v>
      </c>
      <c r="Q10" s="67">
        <v>4</v>
      </c>
      <c r="R10" s="67">
        <v>4</v>
      </c>
      <c r="S10" s="67" t="s">
        <v>383</v>
      </c>
      <c r="T10" s="67" t="s">
        <v>383</v>
      </c>
      <c r="U10" s="67" t="s">
        <v>383</v>
      </c>
      <c r="V10" s="67" t="s">
        <v>383</v>
      </c>
      <c r="W10" s="67" t="s">
        <v>383</v>
      </c>
      <c r="X10" s="67" t="s">
        <v>383</v>
      </c>
      <c r="Y10" s="67" t="s">
        <v>383</v>
      </c>
      <c r="Z10" s="67" t="s">
        <v>383</v>
      </c>
      <c r="AA10" s="67" t="s">
        <v>383</v>
      </c>
      <c r="AB10" s="67" t="s">
        <v>383</v>
      </c>
      <c r="AC10" s="67" t="s">
        <v>383</v>
      </c>
      <c r="AD10" s="67" t="s">
        <v>383</v>
      </c>
      <c r="AE10" s="151" t="s">
        <v>383</v>
      </c>
    </row>
    <row r="11" spans="1:32" s="11" customFormat="1" ht="15" customHeight="1" thickBot="1" x14ac:dyDescent="0.3">
      <c r="A11" s="144" t="s">
        <v>18</v>
      </c>
      <c r="B11" s="9" t="s">
        <v>19</v>
      </c>
      <c r="C11" s="64">
        <v>97</v>
      </c>
      <c r="D11" s="64">
        <v>93</v>
      </c>
      <c r="E11" s="64">
        <v>93</v>
      </c>
      <c r="F11" s="64">
        <v>90</v>
      </c>
      <c r="G11" s="64">
        <v>83</v>
      </c>
      <c r="H11" s="64">
        <v>83</v>
      </c>
      <c r="I11" s="64">
        <v>83</v>
      </c>
      <c r="J11" s="64">
        <v>91</v>
      </c>
      <c r="K11" s="64">
        <v>112</v>
      </c>
      <c r="L11" s="64">
        <v>111</v>
      </c>
      <c r="M11" s="64">
        <v>116</v>
      </c>
      <c r="N11" s="64">
        <v>129</v>
      </c>
      <c r="O11" s="64">
        <v>135</v>
      </c>
      <c r="P11" s="64">
        <v>134</v>
      </c>
      <c r="Q11" s="64">
        <v>128</v>
      </c>
      <c r="R11" s="64">
        <v>133</v>
      </c>
      <c r="S11" s="64">
        <v>125</v>
      </c>
      <c r="T11" s="64">
        <v>125</v>
      </c>
      <c r="U11" s="64">
        <v>116</v>
      </c>
      <c r="V11" s="64">
        <v>129</v>
      </c>
      <c r="W11" s="64">
        <v>131</v>
      </c>
      <c r="X11" s="64">
        <v>131</v>
      </c>
      <c r="Y11" s="64">
        <v>128</v>
      </c>
      <c r="Z11" s="64">
        <v>120</v>
      </c>
      <c r="AA11" s="64">
        <v>121</v>
      </c>
      <c r="AB11" s="64">
        <v>127</v>
      </c>
      <c r="AC11" s="64">
        <v>117</v>
      </c>
      <c r="AD11" s="64">
        <v>115</v>
      </c>
      <c r="AE11" s="145">
        <v>102</v>
      </c>
      <c r="AF11" s="10"/>
    </row>
    <row r="12" spans="1:32" ht="15" customHeight="1" x14ac:dyDescent="0.25">
      <c r="A12" s="152">
        <v>11</v>
      </c>
      <c r="B12" s="15" t="s">
        <v>20</v>
      </c>
      <c r="C12" s="68">
        <v>43</v>
      </c>
      <c r="D12" s="68">
        <v>35</v>
      </c>
      <c r="E12" s="68">
        <v>36</v>
      </c>
      <c r="F12" s="68">
        <v>37</v>
      </c>
      <c r="G12" s="68">
        <v>41</v>
      </c>
      <c r="H12" s="68">
        <v>46</v>
      </c>
      <c r="I12" s="68">
        <v>46</v>
      </c>
      <c r="J12" s="68">
        <v>50</v>
      </c>
      <c r="K12" s="68">
        <v>61</v>
      </c>
      <c r="L12" s="68">
        <v>53</v>
      </c>
      <c r="M12" s="68">
        <v>57</v>
      </c>
      <c r="N12" s="68">
        <v>60</v>
      </c>
      <c r="O12" s="68">
        <v>62</v>
      </c>
      <c r="P12" s="68">
        <v>63</v>
      </c>
      <c r="Q12" s="68">
        <v>61</v>
      </c>
      <c r="R12" s="68">
        <v>68</v>
      </c>
      <c r="S12" s="68">
        <v>66</v>
      </c>
      <c r="T12" s="68">
        <v>69</v>
      </c>
      <c r="U12" s="68">
        <v>64</v>
      </c>
      <c r="V12" s="68">
        <v>67</v>
      </c>
      <c r="W12" s="68">
        <v>68</v>
      </c>
      <c r="X12" s="68">
        <v>76</v>
      </c>
      <c r="Y12" s="68">
        <v>75</v>
      </c>
      <c r="Z12" s="68">
        <v>75</v>
      </c>
      <c r="AA12" s="68">
        <v>75</v>
      </c>
      <c r="AB12" s="68">
        <v>77</v>
      </c>
      <c r="AC12" s="68">
        <v>75</v>
      </c>
      <c r="AD12" s="68">
        <v>71</v>
      </c>
      <c r="AE12" s="153">
        <v>61</v>
      </c>
    </row>
    <row r="13" spans="1:32" ht="15" customHeight="1" x14ac:dyDescent="0.25">
      <c r="A13" s="154">
        <v>13</v>
      </c>
      <c r="B13" s="16" t="s">
        <v>21</v>
      </c>
      <c r="C13" s="69">
        <v>8</v>
      </c>
      <c r="D13" s="69">
        <v>8</v>
      </c>
      <c r="E13" s="69">
        <v>6</v>
      </c>
      <c r="F13" s="69">
        <v>4</v>
      </c>
      <c r="G13" s="69" t="s">
        <v>383</v>
      </c>
      <c r="H13" s="69">
        <v>4</v>
      </c>
      <c r="I13" s="69" t="s">
        <v>383</v>
      </c>
      <c r="J13" s="69">
        <v>4</v>
      </c>
      <c r="K13" s="69">
        <v>4</v>
      </c>
      <c r="L13" s="69">
        <v>5</v>
      </c>
      <c r="M13" s="69">
        <v>5</v>
      </c>
      <c r="N13" s="69">
        <v>4</v>
      </c>
      <c r="O13" s="69">
        <v>6</v>
      </c>
      <c r="P13" s="69">
        <v>4</v>
      </c>
      <c r="Q13" s="69">
        <v>4</v>
      </c>
      <c r="R13" s="69">
        <v>5</v>
      </c>
      <c r="S13" s="69">
        <v>5</v>
      </c>
      <c r="T13" s="69" t="s">
        <v>383</v>
      </c>
      <c r="U13" s="69" t="s">
        <v>383</v>
      </c>
      <c r="V13" s="69">
        <v>4</v>
      </c>
      <c r="W13" s="69">
        <v>5</v>
      </c>
      <c r="X13" s="69">
        <v>6</v>
      </c>
      <c r="Y13" s="69">
        <v>4</v>
      </c>
      <c r="Z13" s="69">
        <v>4</v>
      </c>
      <c r="AA13" s="69">
        <v>5</v>
      </c>
      <c r="AB13" s="69">
        <v>6</v>
      </c>
      <c r="AC13" s="69">
        <v>6</v>
      </c>
      <c r="AD13" s="69">
        <v>7</v>
      </c>
      <c r="AE13" s="155">
        <v>8</v>
      </c>
    </row>
    <row r="14" spans="1:32" ht="15" customHeight="1" thickBot="1" x14ac:dyDescent="0.3">
      <c r="A14" s="152">
        <v>14</v>
      </c>
      <c r="B14" s="15" t="s">
        <v>22</v>
      </c>
      <c r="C14" s="68">
        <v>46</v>
      </c>
      <c r="D14" s="68">
        <v>50</v>
      </c>
      <c r="E14" s="68">
        <v>51</v>
      </c>
      <c r="F14" s="68">
        <v>49</v>
      </c>
      <c r="G14" s="68" t="s">
        <v>383</v>
      </c>
      <c r="H14" s="68">
        <v>33</v>
      </c>
      <c r="I14" s="68" t="s">
        <v>383</v>
      </c>
      <c r="J14" s="68">
        <v>37</v>
      </c>
      <c r="K14" s="68">
        <v>47</v>
      </c>
      <c r="L14" s="68">
        <v>53</v>
      </c>
      <c r="M14" s="68">
        <v>54</v>
      </c>
      <c r="N14" s="68">
        <v>65</v>
      </c>
      <c r="O14" s="68">
        <v>67</v>
      </c>
      <c r="P14" s="68">
        <v>67</v>
      </c>
      <c r="Q14" s="68">
        <v>63</v>
      </c>
      <c r="R14" s="68">
        <v>60</v>
      </c>
      <c r="S14" s="68">
        <v>54</v>
      </c>
      <c r="T14" s="68" t="s">
        <v>383</v>
      </c>
      <c r="U14" s="68" t="s">
        <v>383</v>
      </c>
      <c r="V14" s="68">
        <v>58</v>
      </c>
      <c r="W14" s="68">
        <v>58</v>
      </c>
      <c r="X14" s="68">
        <v>49</v>
      </c>
      <c r="Y14" s="68">
        <v>49</v>
      </c>
      <c r="Z14" s="68">
        <v>41</v>
      </c>
      <c r="AA14" s="68">
        <v>41</v>
      </c>
      <c r="AB14" s="68">
        <v>44</v>
      </c>
      <c r="AC14" s="68">
        <v>36</v>
      </c>
      <c r="AD14" s="68">
        <v>37</v>
      </c>
      <c r="AE14" s="153">
        <v>33</v>
      </c>
    </row>
    <row r="15" spans="1:32" s="11" customFormat="1" ht="15" customHeight="1" thickBot="1" x14ac:dyDescent="0.3">
      <c r="A15" s="144" t="s">
        <v>23</v>
      </c>
      <c r="B15" s="9" t="s">
        <v>24</v>
      </c>
      <c r="C15" s="64">
        <v>2301</v>
      </c>
      <c r="D15" s="64">
        <v>2340</v>
      </c>
      <c r="E15" s="64">
        <v>2359</v>
      </c>
      <c r="F15" s="64">
        <v>2361</v>
      </c>
      <c r="G15" s="64">
        <v>2264</v>
      </c>
      <c r="H15" s="64">
        <v>2161</v>
      </c>
      <c r="I15" s="64">
        <v>2010</v>
      </c>
      <c r="J15" s="64">
        <v>2122</v>
      </c>
      <c r="K15" s="64">
        <v>2321</v>
      </c>
      <c r="L15" s="64">
        <v>2434</v>
      </c>
      <c r="M15" s="64">
        <v>2562</v>
      </c>
      <c r="N15" s="64">
        <v>2679</v>
      </c>
      <c r="O15" s="64">
        <v>2739</v>
      </c>
      <c r="P15" s="64">
        <v>2730</v>
      </c>
      <c r="Q15" s="64">
        <v>2752</v>
      </c>
      <c r="R15" s="64">
        <v>2830</v>
      </c>
      <c r="S15" s="64">
        <v>2824</v>
      </c>
      <c r="T15" s="64">
        <v>2827</v>
      </c>
      <c r="U15" s="64">
        <v>2861</v>
      </c>
      <c r="V15" s="64">
        <v>2892</v>
      </c>
      <c r="W15" s="64">
        <v>2955</v>
      </c>
      <c r="X15" s="64">
        <v>2977</v>
      </c>
      <c r="Y15" s="64">
        <v>2892</v>
      </c>
      <c r="Z15" s="64">
        <v>2677</v>
      </c>
      <c r="AA15" s="64">
        <v>2592</v>
      </c>
      <c r="AB15" s="64">
        <v>2610</v>
      </c>
      <c r="AC15" s="64">
        <v>2707</v>
      </c>
      <c r="AD15" s="64">
        <v>2643</v>
      </c>
      <c r="AE15" s="145">
        <v>2619</v>
      </c>
      <c r="AF15" s="10"/>
    </row>
    <row r="16" spans="1:32" ht="15" customHeight="1" x14ac:dyDescent="0.25">
      <c r="A16" s="152">
        <v>15</v>
      </c>
      <c r="B16" s="15" t="s">
        <v>25</v>
      </c>
      <c r="C16" s="68">
        <v>1014</v>
      </c>
      <c r="D16" s="68">
        <v>1020</v>
      </c>
      <c r="E16" s="68">
        <v>996</v>
      </c>
      <c r="F16" s="68">
        <v>987</v>
      </c>
      <c r="G16" s="68">
        <v>977</v>
      </c>
      <c r="H16" s="68">
        <v>975</v>
      </c>
      <c r="I16" s="68">
        <v>937</v>
      </c>
      <c r="J16" s="68">
        <v>985</v>
      </c>
      <c r="K16" s="68">
        <v>1045</v>
      </c>
      <c r="L16" s="68">
        <v>1073</v>
      </c>
      <c r="M16" s="68">
        <v>1106</v>
      </c>
      <c r="N16" s="68">
        <v>1159</v>
      </c>
      <c r="O16" s="68">
        <v>1183</v>
      </c>
      <c r="P16" s="68">
        <v>1208</v>
      </c>
      <c r="Q16" s="68">
        <v>1224</v>
      </c>
      <c r="R16" s="68">
        <v>1243</v>
      </c>
      <c r="S16" s="68">
        <v>1271</v>
      </c>
      <c r="T16" s="68">
        <v>1275</v>
      </c>
      <c r="U16" s="68">
        <v>1300</v>
      </c>
      <c r="V16" s="68">
        <v>1325</v>
      </c>
      <c r="W16" s="68">
        <v>1365</v>
      </c>
      <c r="X16" s="68">
        <v>1383</v>
      </c>
      <c r="Y16" s="68">
        <v>1368</v>
      </c>
      <c r="Z16" s="68">
        <v>1287</v>
      </c>
      <c r="AA16" s="68">
        <v>1245</v>
      </c>
      <c r="AB16" s="68">
        <v>1262</v>
      </c>
      <c r="AC16" s="68">
        <v>1313</v>
      </c>
      <c r="AD16" s="68">
        <v>1272</v>
      </c>
      <c r="AE16" s="153">
        <v>1280</v>
      </c>
    </row>
    <row r="17" spans="1:31" ht="15" customHeight="1" x14ac:dyDescent="0.25">
      <c r="A17" s="156">
        <v>16</v>
      </c>
      <c r="B17" s="17" t="s">
        <v>26</v>
      </c>
      <c r="C17" s="70" t="s">
        <v>383</v>
      </c>
      <c r="D17" s="70" t="s">
        <v>383</v>
      </c>
      <c r="E17" s="70" t="s">
        <v>383</v>
      </c>
      <c r="F17" s="70" t="s">
        <v>383</v>
      </c>
      <c r="G17" s="70" t="s">
        <v>383</v>
      </c>
      <c r="H17" s="70" t="s">
        <v>383</v>
      </c>
      <c r="I17" s="70" t="s">
        <v>383</v>
      </c>
      <c r="J17" s="70" t="s">
        <v>383</v>
      </c>
      <c r="K17" s="70" t="s">
        <v>383</v>
      </c>
      <c r="L17" s="70" t="s">
        <v>383</v>
      </c>
      <c r="M17" s="70" t="s">
        <v>383</v>
      </c>
      <c r="N17" s="70" t="s">
        <v>383</v>
      </c>
      <c r="O17" s="70" t="s">
        <v>383</v>
      </c>
      <c r="P17" s="70" t="s">
        <v>383</v>
      </c>
      <c r="Q17" s="70" t="s">
        <v>383</v>
      </c>
      <c r="R17" s="70" t="s">
        <v>383</v>
      </c>
      <c r="S17" s="70" t="s">
        <v>383</v>
      </c>
      <c r="T17" s="70" t="s">
        <v>383</v>
      </c>
      <c r="U17" s="70" t="s">
        <v>383</v>
      </c>
      <c r="V17" s="70" t="s">
        <v>383</v>
      </c>
      <c r="W17" s="70" t="s">
        <v>383</v>
      </c>
      <c r="X17" s="70" t="s">
        <v>383</v>
      </c>
      <c r="Y17" s="70" t="s">
        <v>383</v>
      </c>
      <c r="Z17" s="70" t="s">
        <v>383</v>
      </c>
      <c r="AA17" s="70" t="s">
        <v>383</v>
      </c>
      <c r="AB17" s="70" t="s">
        <v>383</v>
      </c>
      <c r="AC17" s="70" t="s">
        <v>383</v>
      </c>
      <c r="AD17" s="70" t="s">
        <v>383</v>
      </c>
      <c r="AE17" s="157" t="s">
        <v>383</v>
      </c>
    </row>
    <row r="18" spans="1:31" ht="15" customHeight="1" x14ac:dyDescent="0.25">
      <c r="A18" s="156">
        <v>17</v>
      </c>
      <c r="B18" s="17" t="s">
        <v>27</v>
      </c>
      <c r="C18" s="70">
        <v>47</v>
      </c>
      <c r="D18" s="70">
        <v>52</v>
      </c>
      <c r="E18" s="70">
        <v>55</v>
      </c>
      <c r="F18" s="70">
        <v>51</v>
      </c>
      <c r="G18" s="70">
        <v>41</v>
      </c>
      <c r="H18" s="70">
        <v>44</v>
      </c>
      <c r="I18" s="70">
        <v>43</v>
      </c>
      <c r="J18" s="70">
        <v>42</v>
      </c>
      <c r="K18" s="70">
        <v>45</v>
      </c>
      <c r="L18" s="70">
        <v>47</v>
      </c>
      <c r="M18" s="70">
        <v>49</v>
      </c>
      <c r="N18" s="70">
        <v>51</v>
      </c>
      <c r="O18" s="70">
        <v>60</v>
      </c>
      <c r="P18" s="70">
        <v>56</v>
      </c>
      <c r="Q18" s="70">
        <v>56</v>
      </c>
      <c r="R18" s="70">
        <v>59</v>
      </c>
      <c r="S18" s="70">
        <v>57</v>
      </c>
      <c r="T18" s="70">
        <v>59</v>
      </c>
      <c r="U18" s="70">
        <v>54</v>
      </c>
      <c r="V18" s="70">
        <v>59</v>
      </c>
      <c r="W18" s="70">
        <v>58</v>
      </c>
      <c r="X18" s="70">
        <v>59</v>
      </c>
      <c r="Y18" s="70">
        <v>56</v>
      </c>
      <c r="Z18" s="70">
        <v>43</v>
      </c>
      <c r="AA18" s="70">
        <v>40</v>
      </c>
      <c r="AB18" s="70">
        <v>45</v>
      </c>
      <c r="AC18" s="70">
        <v>48</v>
      </c>
      <c r="AD18" s="70">
        <v>44</v>
      </c>
      <c r="AE18" s="157">
        <v>39</v>
      </c>
    </row>
    <row r="19" spans="1:31" ht="15" customHeight="1" x14ac:dyDescent="0.25">
      <c r="A19" s="156">
        <v>18</v>
      </c>
      <c r="B19" s="17" t="s">
        <v>28</v>
      </c>
      <c r="C19" s="70">
        <v>72</v>
      </c>
      <c r="D19" s="70">
        <v>68</v>
      </c>
      <c r="E19" s="70">
        <v>67</v>
      </c>
      <c r="F19" s="70">
        <v>78</v>
      </c>
      <c r="G19" s="70">
        <v>68</v>
      </c>
      <c r="H19" s="70">
        <v>63</v>
      </c>
      <c r="I19" s="70">
        <v>57</v>
      </c>
      <c r="J19" s="70">
        <v>61</v>
      </c>
      <c r="K19" s="70">
        <v>69</v>
      </c>
      <c r="L19" s="70">
        <v>70</v>
      </c>
      <c r="M19" s="70">
        <v>68</v>
      </c>
      <c r="N19" s="70">
        <v>71</v>
      </c>
      <c r="O19" s="70">
        <v>75</v>
      </c>
      <c r="P19" s="70">
        <v>69</v>
      </c>
      <c r="Q19" s="70">
        <v>59</v>
      </c>
      <c r="R19" s="70">
        <v>72</v>
      </c>
      <c r="S19" s="70">
        <v>70</v>
      </c>
      <c r="T19" s="70">
        <v>70</v>
      </c>
      <c r="U19" s="70">
        <v>63</v>
      </c>
      <c r="V19" s="70">
        <v>61</v>
      </c>
      <c r="W19" s="70">
        <v>66</v>
      </c>
      <c r="X19" s="70">
        <v>74</v>
      </c>
      <c r="Y19" s="70">
        <v>73</v>
      </c>
      <c r="Z19" s="70">
        <v>59</v>
      </c>
      <c r="AA19" s="70">
        <v>49</v>
      </c>
      <c r="AB19" s="70">
        <v>43</v>
      </c>
      <c r="AC19" s="70">
        <v>54</v>
      </c>
      <c r="AD19" s="70">
        <v>51</v>
      </c>
      <c r="AE19" s="157">
        <v>46</v>
      </c>
    </row>
    <row r="20" spans="1:31" ht="15" customHeight="1" x14ac:dyDescent="0.25">
      <c r="A20" s="156">
        <v>19</v>
      </c>
      <c r="B20" s="17" t="s">
        <v>105</v>
      </c>
      <c r="C20" s="70">
        <v>14</v>
      </c>
      <c r="D20" s="70">
        <v>16</v>
      </c>
      <c r="E20" s="70">
        <v>16</v>
      </c>
      <c r="F20" s="70">
        <v>15</v>
      </c>
      <c r="G20" s="70">
        <v>13</v>
      </c>
      <c r="H20" s="70">
        <v>19</v>
      </c>
      <c r="I20" s="70">
        <v>14</v>
      </c>
      <c r="J20" s="70">
        <v>13</v>
      </c>
      <c r="K20" s="70">
        <v>13</v>
      </c>
      <c r="L20" s="70">
        <v>15</v>
      </c>
      <c r="M20" s="70">
        <v>13</v>
      </c>
      <c r="N20" s="70">
        <v>14</v>
      </c>
      <c r="O20" s="70">
        <v>13</v>
      </c>
      <c r="P20" s="70">
        <v>11</v>
      </c>
      <c r="Q20" s="70">
        <v>11</v>
      </c>
      <c r="R20" s="70">
        <v>14</v>
      </c>
      <c r="S20" s="70">
        <v>15</v>
      </c>
      <c r="T20" s="70">
        <v>16</v>
      </c>
      <c r="U20" s="70">
        <v>15</v>
      </c>
      <c r="V20" s="70">
        <v>19</v>
      </c>
      <c r="W20" s="70">
        <v>20</v>
      </c>
      <c r="X20" s="70">
        <v>22</v>
      </c>
      <c r="Y20" s="70">
        <v>23</v>
      </c>
      <c r="Z20" s="70">
        <v>21</v>
      </c>
      <c r="AA20" s="70">
        <v>19</v>
      </c>
      <c r="AB20" s="70">
        <v>20</v>
      </c>
      <c r="AC20" s="70">
        <v>18</v>
      </c>
      <c r="AD20" s="70">
        <v>14</v>
      </c>
      <c r="AE20" s="157">
        <v>14</v>
      </c>
    </row>
    <row r="21" spans="1:31" ht="15" customHeight="1" x14ac:dyDescent="0.25">
      <c r="A21" s="156">
        <v>20</v>
      </c>
      <c r="B21" s="17" t="s">
        <v>30</v>
      </c>
      <c r="C21" s="70">
        <v>146</v>
      </c>
      <c r="D21" s="70">
        <v>154</v>
      </c>
      <c r="E21" s="70">
        <v>162</v>
      </c>
      <c r="F21" s="70">
        <v>159</v>
      </c>
      <c r="G21" s="70">
        <v>145</v>
      </c>
      <c r="H21" s="70">
        <v>132</v>
      </c>
      <c r="I21" s="70">
        <v>117</v>
      </c>
      <c r="J21" s="70">
        <v>127</v>
      </c>
      <c r="K21" s="70">
        <v>148</v>
      </c>
      <c r="L21" s="70">
        <v>166</v>
      </c>
      <c r="M21" s="70">
        <v>180</v>
      </c>
      <c r="N21" s="70">
        <v>185</v>
      </c>
      <c r="O21" s="70">
        <v>196</v>
      </c>
      <c r="P21" s="70">
        <v>191</v>
      </c>
      <c r="Q21" s="70">
        <v>187</v>
      </c>
      <c r="R21" s="70">
        <v>196</v>
      </c>
      <c r="S21" s="70">
        <v>180</v>
      </c>
      <c r="T21" s="70">
        <v>172</v>
      </c>
      <c r="U21" s="70">
        <v>174</v>
      </c>
      <c r="V21" s="70">
        <v>169</v>
      </c>
      <c r="W21" s="70">
        <v>169</v>
      </c>
      <c r="X21" s="70">
        <v>156</v>
      </c>
      <c r="Y21" s="70">
        <v>135</v>
      </c>
      <c r="Z21" s="70">
        <v>127</v>
      </c>
      <c r="AA21" s="70">
        <v>129</v>
      </c>
      <c r="AB21" s="70">
        <v>137</v>
      </c>
      <c r="AC21" s="70">
        <v>136</v>
      </c>
      <c r="AD21" s="70">
        <v>135</v>
      </c>
      <c r="AE21" s="157">
        <v>132</v>
      </c>
    </row>
    <row r="22" spans="1:31" ht="15" customHeight="1" x14ac:dyDescent="0.25">
      <c r="A22" s="156">
        <v>21</v>
      </c>
      <c r="B22" s="17" t="s">
        <v>31</v>
      </c>
      <c r="C22" s="70">
        <v>18</v>
      </c>
      <c r="D22" s="70">
        <v>17</v>
      </c>
      <c r="E22" s="70">
        <v>17</v>
      </c>
      <c r="F22" s="70">
        <v>21</v>
      </c>
      <c r="G22" s="70">
        <v>24</v>
      </c>
      <c r="H22" s="70">
        <v>23</v>
      </c>
      <c r="I22" s="70">
        <v>23</v>
      </c>
      <c r="J22" s="70">
        <v>23</v>
      </c>
      <c r="K22" s="70">
        <v>28</v>
      </c>
      <c r="L22" s="70">
        <v>30</v>
      </c>
      <c r="M22" s="70">
        <v>31</v>
      </c>
      <c r="N22" s="70">
        <v>30</v>
      </c>
      <c r="O22" s="70">
        <v>30</v>
      </c>
      <c r="P22" s="70">
        <v>28</v>
      </c>
      <c r="Q22" s="70">
        <v>27</v>
      </c>
      <c r="R22" s="70">
        <v>26</v>
      </c>
      <c r="S22" s="70">
        <v>25</v>
      </c>
      <c r="T22" s="70">
        <v>26</v>
      </c>
      <c r="U22" s="70">
        <v>26</v>
      </c>
      <c r="V22" s="70">
        <v>26</v>
      </c>
      <c r="W22" s="70">
        <v>28</v>
      </c>
      <c r="X22" s="70">
        <v>27</v>
      </c>
      <c r="Y22" s="70">
        <v>25</v>
      </c>
      <c r="Z22" s="70">
        <v>25</v>
      </c>
      <c r="AA22" s="70">
        <v>25</v>
      </c>
      <c r="AB22" s="70">
        <v>27</v>
      </c>
      <c r="AC22" s="70">
        <v>25</v>
      </c>
      <c r="AD22" s="70">
        <v>24</v>
      </c>
      <c r="AE22" s="157">
        <v>23</v>
      </c>
    </row>
    <row r="23" spans="1:31" ht="15" customHeight="1" x14ac:dyDescent="0.25">
      <c r="A23" s="156">
        <v>22</v>
      </c>
      <c r="B23" s="17" t="s">
        <v>98</v>
      </c>
      <c r="C23" s="70">
        <v>113</v>
      </c>
      <c r="D23" s="70">
        <v>118</v>
      </c>
      <c r="E23" s="70">
        <v>122</v>
      </c>
      <c r="F23" s="70">
        <v>125</v>
      </c>
      <c r="G23" s="70">
        <v>128</v>
      </c>
      <c r="H23" s="70">
        <v>121</v>
      </c>
      <c r="I23" s="70">
        <v>110</v>
      </c>
      <c r="J23" s="70">
        <v>116</v>
      </c>
      <c r="K23" s="70">
        <v>129</v>
      </c>
      <c r="L23" s="70">
        <v>132</v>
      </c>
      <c r="M23" s="70">
        <v>143</v>
      </c>
      <c r="N23" s="70">
        <v>158</v>
      </c>
      <c r="O23" s="70">
        <v>151</v>
      </c>
      <c r="P23" s="70">
        <v>157</v>
      </c>
      <c r="Q23" s="70">
        <v>164</v>
      </c>
      <c r="R23" s="70">
        <v>161</v>
      </c>
      <c r="S23" s="70">
        <v>162</v>
      </c>
      <c r="T23" s="70">
        <v>166</v>
      </c>
      <c r="U23" s="70">
        <v>166</v>
      </c>
      <c r="V23" s="70">
        <v>168</v>
      </c>
      <c r="W23" s="70">
        <v>172</v>
      </c>
      <c r="X23" s="70">
        <v>179</v>
      </c>
      <c r="Y23" s="70">
        <v>158</v>
      </c>
      <c r="Z23" s="70">
        <v>132</v>
      </c>
      <c r="AA23" s="70">
        <v>131</v>
      </c>
      <c r="AB23" s="70">
        <v>124</v>
      </c>
      <c r="AC23" s="70">
        <v>133</v>
      </c>
      <c r="AD23" s="70">
        <v>133</v>
      </c>
      <c r="AE23" s="157">
        <v>130</v>
      </c>
    </row>
    <row r="24" spans="1:31" ht="15" customHeight="1" x14ac:dyDescent="0.25">
      <c r="A24" s="156">
        <v>23</v>
      </c>
      <c r="B24" s="17" t="s">
        <v>33</v>
      </c>
      <c r="C24" s="70">
        <v>8</v>
      </c>
      <c r="D24" s="70">
        <v>9</v>
      </c>
      <c r="E24" s="70">
        <v>10</v>
      </c>
      <c r="F24" s="70">
        <v>7</v>
      </c>
      <c r="G24" s="70">
        <v>6</v>
      </c>
      <c r="H24" s="70">
        <v>7</v>
      </c>
      <c r="I24" s="70">
        <v>8</v>
      </c>
      <c r="J24" s="70">
        <v>8</v>
      </c>
      <c r="K24" s="70">
        <v>8</v>
      </c>
      <c r="L24" s="70">
        <v>7</v>
      </c>
      <c r="M24" s="70">
        <v>8</v>
      </c>
      <c r="N24" s="70">
        <v>8</v>
      </c>
      <c r="O24" s="70">
        <v>8</v>
      </c>
      <c r="P24" s="70">
        <v>7</v>
      </c>
      <c r="Q24" s="70">
        <v>6</v>
      </c>
      <c r="R24" s="70">
        <v>6</v>
      </c>
      <c r="S24" s="70">
        <v>6</v>
      </c>
      <c r="T24" s="70">
        <v>6</v>
      </c>
      <c r="U24" s="70">
        <v>7</v>
      </c>
      <c r="V24" s="70">
        <v>7</v>
      </c>
      <c r="W24" s="70">
        <v>9</v>
      </c>
      <c r="X24" s="70">
        <v>6</v>
      </c>
      <c r="Y24" s="70">
        <v>4</v>
      </c>
      <c r="Z24" s="70">
        <v>6</v>
      </c>
      <c r="AA24" s="70">
        <v>6</v>
      </c>
      <c r="AB24" s="70">
        <v>7</v>
      </c>
      <c r="AC24" s="70">
        <v>7</v>
      </c>
      <c r="AD24" s="70">
        <v>6</v>
      </c>
      <c r="AE24" s="157">
        <v>5</v>
      </c>
    </row>
    <row r="25" spans="1:31" ht="15" customHeight="1" x14ac:dyDescent="0.25">
      <c r="A25" s="156">
        <v>24</v>
      </c>
      <c r="B25" s="17" t="s">
        <v>34</v>
      </c>
      <c r="C25" s="70">
        <v>125</v>
      </c>
      <c r="D25" s="70">
        <v>122</v>
      </c>
      <c r="E25" s="70">
        <v>128</v>
      </c>
      <c r="F25" s="70">
        <v>149</v>
      </c>
      <c r="G25" s="70">
        <v>147</v>
      </c>
      <c r="H25" s="70">
        <v>138</v>
      </c>
      <c r="I25" s="70">
        <v>130</v>
      </c>
      <c r="J25" s="70">
        <v>131</v>
      </c>
      <c r="K25" s="70">
        <v>127</v>
      </c>
      <c r="L25" s="70">
        <v>135</v>
      </c>
      <c r="M25" s="70">
        <v>135</v>
      </c>
      <c r="N25" s="70">
        <v>141</v>
      </c>
      <c r="O25" s="70">
        <v>146</v>
      </c>
      <c r="P25" s="70">
        <v>148</v>
      </c>
      <c r="Q25" s="70">
        <v>154</v>
      </c>
      <c r="R25" s="70">
        <v>151</v>
      </c>
      <c r="S25" s="70">
        <v>149</v>
      </c>
      <c r="T25" s="70">
        <v>148</v>
      </c>
      <c r="U25" s="70">
        <v>149</v>
      </c>
      <c r="V25" s="70">
        <v>154</v>
      </c>
      <c r="W25" s="70">
        <v>158</v>
      </c>
      <c r="X25" s="70">
        <v>156</v>
      </c>
      <c r="Y25" s="70">
        <v>157</v>
      </c>
      <c r="Z25" s="70">
        <v>153</v>
      </c>
      <c r="AA25" s="70">
        <v>146</v>
      </c>
      <c r="AB25" s="70">
        <v>145</v>
      </c>
      <c r="AC25" s="70">
        <v>144</v>
      </c>
      <c r="AD25" s="70">
        <v>144</v>
      </c>
      <c r="AE25" s="157">
        <v>143</v>
      </c>
    </row>
    <row r="26" spans="1:31" ht="15" customHeight="1" x14ac:dyDescent="0.25">
      <c r="A26" s="156">
        <v>25</v>
      </c>
      <c r="B26" s="17" t="s">
        <v>35</v>
      </c>
      <c r="C26" s="70">
        <v>57</v>
      </c>
      <c r="D26" s="70">
        <v>62</v>
      </c>
      <c r="E26" s="70">
        <v>68</v>
      </c>
      <c r="F26" s="70">
        <v>68</v>
      </c>
      <c r="G26" s="70">
        <v>59</v>
      </c>
      <c r="H26" s="70">
        <v>61</v>
      </c>
      <c r="I26" s="70">
        <v>58</v>
      </c>
      <c r="J26" s="70">
        <v>61</v>
      </c>
      <c r="K26" s="70">
        <v>63</v>
      </c>
      <c r="L26" s="70">
        <v>66</v>
      </c>
      <c r="M26" s="70">
        <v>67</v>
      </c>
      <c r="N26" s="70">
        <v>73</v>
      </c>
      <c r="O26" s="70">
        <v>78</v>
      </c>
      <c r="P26" s="70">
        <v>80</v>
      </c>
      <c r="Q26" s="70">
        <v>79</v>
      </c>
      <c r="R26" s="70">
        <v>78</v>
      </c>
      <c r="S26" s="70">
        <v>79</v>
      </c>
      <c r="T26" s="70">
        <v>78</v>
      </c>
      <c r="U26" s="70">
        <v>83</v>
      </c>
      <c r="V26" s="70">
        <v>78</v>
      </c>
      <c r="W26" s="70">
        <v>83</v>
      </c>
      <c r="X26" s="70">
        <v>86</v>
      </c>
      <c r="Y26" s="70">
        <v>92</v>
      </c>
      <c r="Z26" s="70">
        <v>89</v>
      </c>
      <c r="AA26" s="70">
        <v>85</v>
      </c>
      <c r="AB26" s="70">
        <v>90</v>
      </c>
      <c r="AC26" s="70">
        <v>90</v>
      </c>
      <c r="AD26" s="70">
        <v>92</v>
      </c>
      <c r="AE26" s="157">
        <v>87</v>
      </c>
    </row>
    <row r="27" spans="1:31" ht="15" customHeight="1" x14ac:dyDescent="0.25">
      <c r="A27" s="156">
        <v>26</v>
      </c>
      <c r="B27" s="17" t="s">
        <v>36</v>
      </c>
      <c r="C27" s="70">
        <v>107</v>
      </c>
      <c r="D27" s="70">
        <v>112</v>
      </c>
      <c r="E27" s="70">
        <v>121</v>
      </c>
      <c r="F27" s="70">
        <v>106</v>
      </c>
      <c r="G27" s="70">
        <v>95</v>
      </c>
      <c r="H27" s="70">
        <v>79</v>
      </c>
      <c r="I27" s="70">
        <v>71</v>
      </c>
      <c r="J27" s="70">
        <v>71</v>
      </c>
      <c r="K27" s="70">
        <v>80</v>
      </c>
      <c r="L27" s="70">
        <v>87</v>
      </c>
      <c r="M27" s="70">
        <v>97</v>
      </c>
      <c r="N27" s="70">
        <v>91</v>
      </c>
      <c r="O27" s="70">
        <v>91</v>
      </c>
      <c r="P27" s="70">
        <v>94</v>
      </c>
      <c r="Q27" s="70">
        <v>81</v>
      </c>
      <c r="R27" s="70">
        <v>112</v>
      </c>
      <c r="S27" s="70">
        <v>100</v>
      </c>
      <c r="T27" s="70">
        <v>100</v>
      </c>
      <c r="U27" s="70">
        <v>115</v>
      </c>
      <c r="V27" s="70">
        <v>102</v>
      </c>
      <c r="W27" s="70">
        <v>114</v>
      </c>
      <c r="X27" s="70">
        <v>114</v>
      </c>
      <c r="Y27" s="70">
        <v>98</v>
      </c>
      <c r="Z27" s="70">
        <v>88</v>
      </c>
      <c r="AA27" s="70">
        <v>79</v>
      </c>
      <c r="AB27" s="70">
        <v>78</v>
      </c>
      <c r="AC27" s="70">
        <v>81</v>
      </c>
      <c r="AD27" s="70">
        <v>84</v>
      </c>
      <c r="AE27" s="157">
        <v>82</v>
      </c>
    </row>
    <row r="28" spans="1:31" ht="15" customHeight="1" x14ac:dyDescent="0.25">
      <c r="A28" s="156">
        <v>27</v>
      </c>
      <c r="B28" s="17" t="s">
        <v>37</v>
      </c>
      <c r="C28" s="70">
        <v>33</v>
      </c>
      <c r="D28" s="70">
        <v>30</v>
      </c>
      <c r="E28" s="70">
        <v>28</v>
      </c>
      <c r="F28" s="70">
        <v>29</v>
      </c>
      <c r="G28" s="70">
        <v>26</v>
      </c>
      <c r="H28" s="70">
        <v>24</v>
      </c>
      <c r="I28" s="70">
        <v>20</v>
      </c>
      <c r="J28" s="70">
        <v>21</v>
      </c>
      <c r="K28" s="70">
        <v>21</v>
      </c>
      <c r="L28" s="70">
        <v>22</v>
      </c>
      <c r="M28" s="70">
        <v>26</v>
      </c>
      <c r="N28" s="70">
        <v>27</v>
      </c>
      <c r="O28" s="70">
        <v>24</v>
      </c>
      <c r="P28" s="70">
        <v>22</v>
      </c>
      <c r="Q28" s="70">
        <v>24</v>
      </c>
      <c r="R28" s="70">
        <v>26</v>
      </c>
      <c r="S28" s="70">
        <v>24</v>
      </c>
      <c r="T28" s="70">
        <v>22</v>
      </c>
      <c r="U28" s="70">
        <v>25</v>
      </c>
      <c r="V28" s="70">
        <v>23</v>
      </c>
      <c r="W28" s="70">
        <v>21</v>
      </c>
      <c r="X28" s="70">
        <v>19</v>
      </c>
      <c r="Y28" s="70">
        <v>18</v>
      </c>
      <c r="Z28" s="70">
        <v>19</v>
      </c>
      <c r="AA28" s="70">
        <v>18</v>
      </c>
      <c r="AB28" s="70">
        <v>18</v>
      </c>
      <c r="AC28" s="70">
        <v>22</v>
      </c>
      <c r="AD28" s="70">
        <v>24</v>
      </c>
      <c r="AE28" s="157">
        <v>22</v>
      </c>
    </row>
    <row r="29" spans="1:31" ht="15" customHeight="1" x14ac:dyDescent="0.25">
      <c r="A29" s="156">
        <v>28</v>
      </c>
      <c r="B29" s="17" t="s">
        <v>38</v>
      </c>
      <c r="C29" s="70">
        <v>226</v>
      </c>
      <c r="D29" s="70">
        <v>233</v>
      </c>
      <c r="E29" s="70">
        <v>235</v>
      </c>
      <c r="F29" s="70">
        <v>244</v>
      </c>
      <c r="G29" s="70">
        <v>237</v>
      </c>
      <c r="H29" s="70">
        <v>212</v>
      </c>
      <c r="I29" s="70">
        <v>188</v>
      </c>
      <c r="J29" s="70">
        <v>215</v>
      </c>
      <c r="K29" s="70">
        <v>245</v>
      </c>
      <c r="L29" s="70">
        <v>272</v>
      </c>
      <c r="M29" s="70">
        <v>294</v>
      </c>
      <c r="N29" s="70">
        <v>316</v>
      </c>
      <c r="O29" s="70">
        <v>325</v>
      </c>
      <c r="P29" s="70">
        <v>308</v>
      </c>
      <c r="Q29" s="70">
        <v>315</v>
      </c>
      <c r="R29" s="70">
        <v>319</v>
      </c>
      <c r="S29" s="70">
        <v>322</v>
      </c>
      <c r="T29" s="70">
        <v>320</v>
      </c>
      <c r="U29" s="70">
        <v>317</v>
      </c>
      <c r="V29" s="70">
        <v>322</v>
      </c>
      <c r="W29" s="70">
        <v>315</v>
      </c>
      <c r="X29" s="70">
        <v>317</v>
      </c>
      <c r="Y29" s="70">
        <v>318</v>
      </c>
      <c r="Z29" s="70">
        <v>290</v>
      </c>
      <c r="AA29" s="70">
        <v>285</v>
      </c>
      <c r="AB29" s="70">
        <v>279</v>
      </c>
      <c r="AC29" s="70">
        <v>291</v>
      </c>
      <c r="AD29" s="70">
        <v>279</v>
      </c>
      <c r="AE29" s="157">
        <v>283</v>
      </c>
    </row>
    <row r="30" spans="1:31" ht="15" customHeight="1" x14ac:dyDescent="0.25">
      <c r="A30" s="156">
        <v>29</v>
      </c>
      <c r="B30" s="17" t="s">
        <v>39</v>
      </c>
      <c r="C30" s="70">
        <v>103</v>
      </c>
      <c r="D30" s="70">
        <v>108</v>
      </c>
      <c r="E30" s="70">
        <v>116</v>
      </c>
      <c r="F30" s="70">
        <v>119</v>
      </c>
      <c r="G30" s="70">
        <v>115</v>
      </c>
      <c r="H30" s="70">
        <v>102</v>
      </c>
      <c r="I30" s="70">
        <v>100</v>
      </c>
      <c r="J30" s="70">
        <v>105</v>
      </c>
      <c r="K30" s="70">
        <v>124</v>
      </c>
      <c r="L30" s="70">
        <v>124</v>
      </c>
      <c r="M30" s="70">
        <v>137</v>
      </c>
      <c r="N30" s="70">
        <v>143</v>
      </c>
      <c r="O30" s="70">
        <v>146</v>
      </c>
      <c r="P30" s="70">
        <v>141</v>
      </c>
      <c r="Q30" s="70">
        <v>142</v>
      </c>
      <c r="R30" s="70">
        <v>139</v>
      </c>
      <c r="S30" s="70">
        <v>137</v>
      </c>
      <c r="T30" s="70">
        <v>134</v>
      </c>
      <c r="U30" s="70">
        <v>131</v>
      </c>
      <c r="V30" s="70">
        <v>133</v>
      </c>
      <c r="W30" s="70">
        <v>134</v>
      </c>
      <c r="X30" s="70">
        <v>132</v>
      </c>
      <c r="Y30" s="70">
        <v>131</v>
      </c>
      <c r="Z30" s="70">
        <v>125</v>
      </c>
      <c r="AA30" s="70">
        <v>125</v>
      </c>
      <c r="AB30" s="70">
        <v>123</v>
      </c>
      <c r="AC30" s="70">
        <v>126</v>
      </c>
      <c r="AD30" s="70">
        <v>125</v>
      </c>
      <c r="AE30" s="157">
        <v>125</v>
      </c>
    </row>
    <row r="31" spans="1:31" ht="15" customHeight="1" x14ac:dyDescent="0.25">
      <c r="A31" s="156">
        <v>30</v>
      </c>
      <c r="B31" s="17" t="s">
        <v>40</v>
      </c>
      <c r="C31" s="70">
        <v>7</v>
      </c>
      <c r="D31" s="70">
        <v>8</v>
      </c>
      <c r="E31" s="70">
        <v>8</v>
      </c>
      <c r="F31" s="70">
        <v>6</v>
      </c>
      <c r="G31" s="70">
        <v>7</v>
      </c>
      <c r="H31" s="70">
        <v>4</v>
      </c>
      <c r="I31" s="70" t="s">
        <v>383</v>
      </c>
      <c r="J31" s="70" t="s">
        <v>383</v>
      </c>
      <c r="K31" s="70">
        <v>4</v>
      </c>
      <c r="L31" s="70">
        <v>6</v>
      </c>
      <c r="M31" s="70">
        <v>9</v>
      </c>
      <c r="N31" s="70">
        <v>10</v>
      </c>
      <c r="O31" s="70">
        <v>7</v>
      </c>
      <c r="P31" s="70">
        <v>6</v>
      </c>
      <c r="Q31" s="70">
        <v>7</v>
      </c>
      <c r="R31" s="70">
        <v>7</v>
      </c>
      <c r="S31" s="70">
        <v>5</v>
      </c>
      <c r="T31" s="70">
        <v>6</v>
      </c>
      <c r="U31" s="70">
        <v>7</v>
      </c>
      <c r="V31" s="70">
        <v>7</v>
      </c>
      <c r="W31" s="70">
        <v>7</v>
      </c>
      <c r="X31" s="70">
        <v>8</v>
      </c>
      <c r="Y31" s="70">
        <v>6</v>
      </c>
      <c r="Z31" s="70">
        <v>6</v>
      </c>
      <c r="AA31" s="70">
        <v>5</v>
      </c>
      <c r="AB31" s="70">
        <v>5</v>
      </c>
      <c r="AC31" s="70">
        <v>5</v>
      </c>
      <c r="AD31" s="70">
        <v>5</v>
      </c>
      <c r="AE31" s="157">
        <v>6</v>
      </c>
    </row>
    <row r="32" spans="1:31" ht="15" customHeight="1" x14ac:dyDescent="0.25">
      <c r="A32" s="156">
        <v>31</v>
      </c>
      <c r="B32" s="17" t="s">
        <v>41</v>
      </c>
      <c r="C32" s="70">
        <v>30</v>
      </c>
      <c r="D32" s="70">
        <v>31</v>
      </c>
      <c r="E32" s="70">
        <v>31</v>
      </c>
      <c r="F32" s="70">
        <v>27</v>
      </c>
      <c r="G32" s="70">
        <v>27</v>
      </c>
      <c r="H32" s="70">
        <v>29</v>
      </c>
      <c r="I32" s="70">
        <v>26</v>
      </c>
      <c r="J32" s="70">
        <v>26</v>
      </c>
      <c r="K32" s="70">
        <v>31</v>
      </c>
      <c r="L32" s="70">
        <v>30</v>
      </c>
      <c r="M32" s="70">
        <v>32</v>
      </c>
      <c r="N32" s="70">
        <v>29</v>
      </c>
      <c r="O32" s="70">
        <v>30</v>
      </c>
      <c r="P32" s="70">
        <v>29</v>
      </c>
      <c r="Q32" s="70">
        <v>36</v>
      </c>
      <c r="R32" s="70">
        <v>38</v>
      </c>
      <c r="S32" s="70">
        <v>36</v>
      </c>
      <c r="T32" s="70">
        <v>39</v>
      </c>
      <c r="U32" s="70">
        <v>38</v>
      </c>
      <c r="V32" s="70">
        <v>43</v>
      </c>
      <c r="W32" s="70">
        <v>40</v>
      </c>
      <c r="X32" s="70">
        <v>39</v>
      </c>
      <c r="Y32" s="70">
        <v>41</v>
      </c>
      <c r="Z32" s="70">
        <v>38</v>
      </c>
      <c r="AA32" s="70">
        <v>36</v>
      </c>
      <c r="AB32" s="70">
        <v>37</v>
      </c>
      <c r="AC32" s="70">
        <v>36</v>
      </c>
      <c r="AD32" s="70">
        <v>33</v>
      </c>
      <c r="AE32" s="157">
        <v>32</v>
      </c>
    </row>
    <row r="33" spans="1:32" ht="15" customHeight="1" x14ac:dyDescent="0.25">
      <c r="A33" s="156">
        <v>32</v>
      </c>
      <c r="B33" s="17" t="s">
        <v>42</v>
      </c>
      <c r="C33" s="70" t="s">
        <v>383</v>
      </c>
      <c r="D33" s="70" t="s">
        <v>383</v>
      </c>
      <c r="E33" s="70" t="s">
        <v>383</v>
      </c>
      <c r="F33" s="70">
        <v>5</v>
      </c>
      <c r="G33" s="70">
        <v>7</v>
      </c>
      <c r="H33" s="70">
        <v>5</v>
      </c>
      <c r="I33" s="70" t="s">
        <v>383</v>
      </c>
      <c r="J33" s="70" t="s">
        <v>383</v>
      </c>
      <c r="K33" s="70" t="s">
        <v>383</v>
      </c>
      <c r="L33" s="70" t="s">
        <v>383</v>
      </c>
      <c r="M33" s="70">
        <v>4</v>
      </c>
      <c r="N33" s="70">
        <v>5</v>
      </c>
      <c r="O33" s="70">
        <v>4</v>
      </c>
      <c r="P33" s="70" t="s">
        <v>383</v>
      </c>
      <c r="Q33" s="70" t="s">
        <v>383</v>
      </c>
      <c r="R33" s="70" t="s">
        <v>383</v>
      </c>
      <c r="S33" s="70" t="s">
        <v>383</v>
      </c>
      <c r="T33" s="70" t="s">
        <v>383</v>
      </c>
      <c r="U33" s="70" t="s">
        <v>383</v>
      </c>
      <c r="V33" s="70" t="s">
        <v>383</v>
      </c>
      <c r="W33" s="70" t="s">
        <v>383</v>
      </c>
      <c r="X33" s="70" t="s">
        <v>383</v>
      </c>
      <c r="Y33" s="70" t="s">
        <v>383</v>
      </c>
      <c r="Z33" s="70" t="s">
        <v>383</v>
      </c>
      <c r="AA33" s="70" t="s">
        <v>383</v>
      </c>
      <c r="AB33" s="70" t="s">
        <v>383</v>
      </c>
      <c r="AC33" s="70" t="s">
        <v>383</v>
      </c>
      <c r="AD33" s="70" t="s">
        <v>383</v>
      </c>
      <c r="AE33" s="157" t="s">
        <v>383</v>
      </c>
    </row>
    <row r="34" spans="1:32" ht="15" customHeight="1" x14ac:dyDescent="0.25">
      <c r="A34" s="156">
        <v>33</v>
      </c>
      <c r="B34" s="17" t="s">
        <v>43</v>
      </c>
      <c r="C34" s="70">
        <v>12</v>
      </c>
      <c r="D34" s="70">
        <v>13</v>
      </c>
      <c r="E34" s="70">
        <v>13</v>
      </c>
      <c r="F34" s="70">
        <v>11</v>
      </c>
      <c r="G34" s="70">
        <v>10</v>
      </c>
      <c r="H34" s="70">
        <v>9</v>
      </c>
      <c r="I34" s="70">
        <v>6</v>
      </c>
      <c r="J34" s="70">
        <v>6</v>
      </c>
      <c r="K34" s="70">
        <v>8</v>
      </c>
      <c r="L34" s="70">
        <v>9</v>
      </c>
      <c r="M34" s="70">
        <v>10</v>
      </c>
      <c r="N34" s="70">
        <v>11</v>
      </c>
      <c r="O34" s="70">
        <v>11</v>
      </c>
      <c r="P34" s="70">
        <v>12</v>
      </c>
      <c r="Q34" s="70">
        <v>11</v>
      </c>
      <c r="R34" s="70">
        <v>10</v>
      </c>
      <c r="S34" s="70">
        <v>11</v>
      </c>
      <c r="T34" s="70">
        <v>14</v>
      </c>
      <c r="U34" s="70">
        <v>13</v>
      </c>
      <c r="V34" s="70">
        <v>15</v>
      </c>
      <c r="W34" s="70">
        <v>16</v>
      </c>
      <c r="X34" s="70">
        <v>13</v>
      </c>
      <c r="Y34" s="70">
        <v>14</v>
      </c>
      <c r="Z34" s="70">
        <v>12</v>
      </c>
      <c r="AA34" s="70">
        <v>11</v>
      </c>
      <c r="AB34" s="70">
        <v>14</v>
      </c>
      <c r="AC34" s="70">
        <v>14</v>
      </c>
      <c r="AD34" s="70">
        <v>15</v>
      </c>
      <c r="AE34" s="157">
        <v>13</v>
      </c>
    </row>
    <row r="35" spans="1:32" ht="15" customHeight="1" x14ac:dyDescent="0.25">
      <c r="A35" s="156">
        <v>34</v>
      </c>
      <c r="B35" s="17" t="s">
        <v>44</v>
      </c>
      <c r="C35" s="70">
        <v>41</v>
      </c>
      <c r="D35" s="70">
        <v>41</v>
      </c>
      <c r="E35" s="70">
        <v>40</v>
      </c>
      <c r="F35" s="70">
        <v>38</v>
      </c>
      <c r="G35" s="70">
        <v>33</v>
      </c>
      <c r="H35" s="70">
        <v>30</v>
      </c>
      <c r="I35" s="70">
        <v>27</v>
      </c>
      <c r="J35" s="70">
        <v>28</v>
      </c>
      <c r="K35" s="70">
        <v>36</v>
      </c>
      <c r="L35" s="70">
        <v>36</v>
      </c>
      <c r="M35" s="70">
        <v>42</v>
      </c>
      <c r="N35" s="70">
        <v>41</v>
      </c>
      <c r="O35" s="70">
        <v>41</v>
      </c>
      <c r="P35" s="70">
        <v>39</v>
      </c>
      <c r="Q35" s="70">
        <v>38</v>
      </c>
      <c r="R35" s="70">
        <v>40</v>
      </c>
      <c r="S35" s="70">
        <v>36</v>
      </c>
      <c r="T35" s="70">
        <v>40</v>
      </c>
      <c r="U35" s="70">
        <v>41</v>
      </c>
      <c r="V35" s="70">
        <v>41</v>
      </c>
      <c r="W35" s="70">
        <v>37</v>
      </c>
      <c r="X35" s="70">
        <v>39</v>
      </c>
      <c r="Y35" s="70">
        <v>38</v>
      </c>
      <c r="Z35" s="70">
        <v>36</v>
      </c>
      <c r="AA35" s="70">
        <v>35</v>
      </c>
      <c r="AB35" s="70">
        <v>33</v>
      </c>
      <c r="AC35" s="70">
        <v>39</v>
      </c>
      <c r="AD35" s="70">
        <v>38</v>
      </c>
      <c r="AE35" s="157">
        <v>36</v>
      </c>
    </row>
    <row r="36" spans="1:32" ht="15" customHeight="1" x14ac:dyDescent="0.25">
      <c r="A36" s="156">
        <v>35</v>
      </c>
      <c r="B36" s="17" t="s">
        <v>45</v>
      </c>
      <c r="C36" s="70" t="s">
        <v>383</v>
      </c>
      <c r="D36" s="70" t="s">
        <v>383</v>
      </c>
      <c r="E36" s="70">
        <v>4</v>
      </c>
      <c r="F36" s="70">
        <v>4</v>
      </c>
      <c r="G36" s="70" t="s">
        <v>383</v>
      </c>
      <c r="H36" s="70" t="s">
        <v>383</v>
      </c>
      <c r="I36" s="70" t="s">
        <v>383</v>
      </c>
      <c r="J36" s="70">
        <v>4</v>
      </c>
      <c r="K36" s="70">
        <v>5</v>
      </c>
      <c r="L36" s="70">
        <v>4</v>
      </c>
      <c r="M36" s="70">
        <v>6</v>
      </c>
      <c r="N36" s="70">
        <v>6</v>
      </c>
      <c r="O36" s="70" t="s">
        <v>383</v>
      </c>
      <c r="P36" s="70">
        <v>6</v>
      </c>
      <c r="Q36" s="70">
        <v>6</v>
      </c>
      <c r="R36" s="70">
        <v>4</v>
      </c>
      <c r="S36" s="70">
        <v>5</v>
      </c>
      <c r="T36" s="70">
        <v>6</v>
      </c>
      <c r="U36" s="70">
        <v>7</v>
      </c>
      <c r="V36" s="70">
        <v>7</v>
      </c>
      <c r="W36" s="70">
        <v>7</v>
      </c>
      <c r="X36" s="70">
        <v>8</v>
      </c>
      <c r="Y36" s="70">
        <v>8</v>
      </c>
      <c r="Z36" s="70">
        <v>6</v>
      </c>
      <c r="AA36" s="70">
        <v>7</v>
      </c>
      <c r="AB36" s="70">
        <v>7</v>
      </c>
      <c r="AC36" s="70">
        <v>9</v>
      </c>
      <c r="AD36" s="70">
        <v>8</v>
      </c>
      <c r="AE36" s="157">
        <v>6</v>
      </c>
    </row>
    <row r="37" spans="1:32" ht="15" customHeight="1" x14ac:dyDescent="0.25">
      <c r="A37" s="156">
        <v>36</v>
      </c>
      <c r="B37" s="17" t="s">
        <v>46</v>
      </c>
      <c r="C37" s="70">
        <v>123</v>
      </c>
      <c r="D37" s="70">
        <v>120</v>
      </c>
      <c r="E37" s="70">
        <v>116</v>
      </c>
      <c r="F37" s="70">
        <v>109</v>
      </c>
      <c r="G37" s="70">
        <v>93</v>
      </c>
      <c r="H37" s="70">
        <v>78</v>
      </c>
      <c r="I37" s="70">
        <v>62</v>
      </c>
      <c r="J37" s="70">
        <v>69</v>
      </c>
      <c r="K37" s="70">
        <v>85</v>
      </c>
      <c r="L37" s="70">
        <v>95</v>
      </c>
      <c r="M37" s="70">
        <v>101</v>
      </c>
      <c r="N37" s="70">
        <v>106</v>
      </c>
      <c r="O37" s="70">
        <v>106</v>
      </c>
      <c r="P37" s="70">
        <v>106</v>
      </c>
      <c r="Q37" s="70">
        <v>114</v>
      </c>
      <c r="R37" s="70">
        <v>117</v>
      </c>
      <c r="S37" s="70">
        <v>123</v>
      </c>
      <c r="T37" s="70">
        <v>116</v>
      </c>
      <c r="U37" s="70">
        <v>115</v>
      </c>
      <c r="V37" s="70">
        <v>115</v>
      </c>
      <c r="W37" s="70">
        <v>120</v>
      </c>
      <c r="X37" s="70">
        <v>125</v>
      </c>
      <c r="Y37" s="70">
        <v>116</v>
      </c>
      <c r="Z37" s="70">
        <v>102</v>
      </c>
      <c r="AA37" s="70">
        <v>103</v>
      </c>
      <c r="AB37" s="70">
        <v>104</v>
      </c>
      <c r="AC37" s="70">
        <v>103</v>
      </c>
      <c r="AD37" s="70">
        <v>101</v>
      </c>
      <c r="AE37" s="157">
        <v>104</v>
      </c>
    </row>
    <row r="38" spans="1:32" ht="15" customHeight="1" thickBot="1" x14ac:dyDescent="0.3">
      <c r="A38" s="152">
        <v>37</v>
      </c>
      <c r="B38" s="15" t="s">
        <v>47</v>
      </c>
      <c r="C38" s="68" t="s">
        <v>383</v>
      </c>
      <c r="D38" s="68" t="s">
        <v>383</v>
      </c>
      <c r="E38" s="68" t="s">
        <v>383</v>
      </c>
      <c r="F38" s="68" t="s">
        <v>383</v>
      </c>
      <c r="G38" s="68" t="s">
        <v>383</v>
      </c>
      <c r="H38" s="68" t="s">
        <v>383</v>
      </c>
      <c r="I38" s="68" t="s">
        <v>383</v>
      </c>
      <c r="J38" s="68" t="s">
        <v>383</v>
      </c>
      <c r="K38" s="68">
        <v>4</v>
      </c>
      <c r="L38" s="68">
        <v>4</v>
      </c>
      <c r="M38" s="68" t="s">
        <v>383</v>
      </c>
      <c r="N38" s="68" t="s">
        <v>383</v>
      </c>
      <c r="O38" s="68">
        <v>7</v>
      </c>
      <c r="P38" s="68">
        <v>8</v>
      </c>
      <c r="Q38" s="68">
        <v>7</v>
      </c>
      <c r="R38" s="68">
        <v>8</v>
      </c>
      <c r="S38" s="68">
        <v>8</v>
      </c>
      <c r="T38" s="68">
        <v>11</v>
      </c>
      <c r="U38" s="68">
        <v>11</v>
      </c>
      <c r="V38" s="68">
        <v>13</v>
      </c>
      <c r="W38" s="68">
        <v>13</v>
      </c>
      <c r="X38" s="68">
        <v>12</v>
      </c>
      <c r="Y38" s="68">
        <v>11</v>
      </c>
      <c r="Z38" s="68">
        <v>10</v>
      </c>
      <c r="AA38" s="68">
        <v>11</v>
      </c>
      <c r="AB38" s="68">
        <v>10</v>
      </c>
      <c r="AC38" s="68">
        <v>10</v>
      </c>
      <c r="AD38" s="68">
        <v>13</v>
      </c>
      <c r="AE38" s="153">
        <v>10</v>
      </c>
    </row>
    <row r="39" spans="1:32" s="11" customFormat="1" ht="15" customHeight="1" thickBot="1" x14ac:dyDescent="0.3">
      <c r="A39" s="144" t="s">
        <v>48</v>
      </c>
      <c r="B39" s="9" t="s">
        <v>49</v>
      </c>
      <c r="C39" s="64">
        <v>57</v>
      </c>
      <c r="D39" s="64">
        <v>55</v>
      </c>
      <c r="E39" s="64">
        <v>61</v>
      </c>
      <c r="F39" s="64">
        <v>66</v>
      </c>
      <c r="G39" s="64">
        <v>66</v>
      </c>
      <c r="H39" s="64">
        <v>65</v>
      </c>
      <c r="I39" s="64">
        <v>62</v>
      </c>
      <c r="J39" s="64">
        <v>64</v>
      </c>
      <c r="K39" s="64">
        <v>64</v>
      </c>
      <c r="L39" s="64">
        <v>63</v>
      </c>
      <c r="M39" s="64">
        <v>66</v>
      </c>
      <c r="N39" s="64">
        <v>70</v>
      </c>
      <c r="O39" s="64">
        <v>72</v>
      </c>
      <c r="P39" s="64">
        <v>67</v>
      </c>
      <c r="Q39" s="64">
        <v>74</v>
      </c>
      <c r="R39" s="64">
        <v>72</v>
      </c>
      <c r="S39" s="64">
        <v>71</v>
      </c>
      <c r="T39" s="64">
        <v>75</v>
      </c>
      <c r="U39" s="64">
        <v>72</v>
      </c>
      <c r="V39" s="64">
        <v>72</v>
      </c>
      <c r="W39" s="64">
        <v>74</v>
      </c>
      <c r="X39" s="64">
        <v>73</v>
      </c>
      <c r="Y39" s="64">
        <v>73</v>
      </c>
      <c r="Z39" s="64">
        <v>66</v>
      </c>
      <c r="AA39" s="64">
        <v>64</v>
      </c>
      <c r="AB39" s="64">
        <v>67</v>
      </c>
      <c r="AC39" s="64">
        <v>70</v>
      </c>
      <c r="AD39" s="64">
        <v>67</v>
      </c>
      <c r="AE39" s="145">
        <v>67</v>
      </c>
      <c r="AF39" s="10"/>
    </row>
    <row r="40" spans="1:32" ht="15" customHeight="1" x14ac:dyDescent="0.25">
      <c r="A40" s="146">
        <v>40</v>
      </c>
      <c r="B40" s="12" t="s">
        <v>50</v>
      </c>
      <c r="C40" s="65">
        <v>24</v>
      </c>
      <c r="D40" s="65">
        <v>23</v>
      </c>
      <c r="E40" s="65">
        <v>25</v>
      </c>
      <c r="F40" s="65">
        <v>27</v>
      </c>
      <c r="G40" s="65">
        <v>25</v>
      </c>
      <c r="H40" s="65">
        <v>27</v>
      </c>
      <c r="I40" s="65">
        <v>25</v>
      </c>
      <c r="J40" s="65">
        <v>26</v>
      </c>
      <c r="K40" s="65">
        <v>26</v>
      </c>
      <c r="L40" s="65">
        <v>26</v>
      </c>
      <c r="M40" s="65">
        <v>28</v>
      </c>
      <c r="N40" s="65">
        <v>26</v>
      </c>
      <c r="O40" s="65">
        <v>29</v>
      </c>
      <c r="P40" s="65">
        <v>27</v>
      </c>
      <c r="Q40" s="65">
        <v>27</v>
      </c>
      <c r="R40" s="65">
        <v>26</v>
      </c>
      <c r="S40" s="65">
        <v>25</v>
      </c>
      <c r="T40" s="65">
        <v>27</v>
      </c>
      <c r="U40" s="65">
        <v>27</v>
      </c>
      <c r="V40" s="65">
        <v>29</v>
      </c>
      <c r="W40" s="65">
        <v>32</v>
      </c>
      <c r="X40" s="65">
        <v>31</v>
      </c>
      <c r="Y40" s="65">
        <v>32</v>
      </c>
      <c r="Z40" s="65">
        <v>28</v>
      </c>
      <c r="AA40" s="65">
        <v>28</v>
      </c>
      <c r="AB40" s="65">
        <v>29</v>
      </c>
      <c r="AC40" s="65">
        <v>32</v>
      </c>
      <c r="AD40" s="65">
        <v>32</v>
      </c>
      <c r="AE40" s="147">
        <v>31</v>
      </c>
    </row>
    <row r="41" spans="1:32" ht="15" customHeight="1" thickBot="1" x14ac:dyDescent="0.3">
      <c r="A41" s="158">
        <v>41</v>
      </c>
      <c r="B41" s="18" t="s">
        <v>51</v>
      </c>
      <c r="C41" s="71">
        <v>33</v>
      </c>
      <c r="D41" s="71">
        <v>32</v>
      </c>
      <c r="E41" s="71">
        <v>36</v>
      </c>
      <c r="F41" s="71">
        <v>39</v>
      </c>
      <c r="G41" s="71">
        <v>41</v>
      </c>
      <c r="H41" s="71">
        <v>38</v>
      </c>
      <c r="I41" s="71">
        <v>37</v>
      </c>
      <c r="J41" s="71">
        <v>38</v>
      </c>
      <c r="K41" s="71">
        <v>38</v>
      </c>
      <c r="L41" s="71">
        <v>37</v>
      </c>
      <c r="M41" s="71">
        <v>38</v>
      </c>
      <c r="N41" s="71">
        <v>44</v>
      </c>
      <c r="O41" s="71">
        <v>43</v>
      </c>
      <c r="P41" s="71">
        <v>40</v>
      </c>
      <c r="Q41" s="71">
        <v>47</v>
      </c>
      <c r="R41" s="71">
        <v>46</v>
      </c>
      <c r="S41" s="71">
        <v>46</v>
      </c>
      <c r="T41" s="71">
        <v>48</v>
      </c>
      <c r="U41" s="71">
        <v>45</v>
      </c>
      <c r="V41" s="71">
        <v>43</v>
      </c>
      <c r="W41" s="71">
        <v>42</v>
      </c>
      <c r="X41" s="71">
        <v>42</v>
      </c>
      <c r="Y41" s="71">
        <v>41</v>
      </c>
      <c r="Z41" s="71">
        <v>38</v>
      </c>
      <c r="AA41" s="71">
        <v>36</v>
      </c>
      <c r="AB41" s="71">
        <v>38</v>
      </c>
      <c r="AC41" s="71">
        <v>38</v>
      </c>
      <c r="AD41" s="71">
        <v>35</v>
      </c>
      <c r="AE41" s="159">
        <v>36</v>
      </c>
    </row>
    <row r="42" spans="1:32" s="11" customFormat="1" ht="15" customHeight="1" thickBot="1" x14ac:dyDescent="0.3">
      <c r="A42" s="160" t="s">
        <v>52</v>
      </c>
      <c r="B42" s="19" t="s">
        <v>53</v>
      </c>
      <c r="C42" s="64">
        <v>594</v>
      </c>
      <c r="D42" s="64">
        <v>619</v>
      </c>
      <c r="E42" s="64">
        <v>625</v>
      </c>
      <c r="F42" s="64">
        <v>669</v>
      </c>
      <c r="G42" s="64">
        <v>667</v>
      </c>
      <c r="H42" s="64">
        <v>569</v>
      </c>
      <c r="I42" s="64">
        <v>494</v>
      </c>
      <c r="J42" s="64">
        <v>587</v>
      </c>
      <c r="K42" s="64">
        <v>648</v>
      </c>
      <c r="L42" s="64">
        <v>786</v>
      </c>
      <c r="M42" s="64">
        <v>925</v>
      </c>
      <c r="N42" s="64">
        <v>1010</v>
      </c>
      <c r="O42" s="64">
        <v>1053</v>
      </c>
      <c r="P42" s="64">
        <v>991</v>
      </c>
      <c r="Q42" s="64">
        <v>1012</v>
      </c>
      <c r="R42" s="64">
        <v>1115</v>
      </c>
      <c r="S42" s="64">
        <v>1108</v>
      </c>
      <c r="T42" s="64">
        <v>1149</v>
      </c>
      <c r="U42" s="64">
        <v>1161</v>
      </c>
      <c r="V42" s="64">
        <v>1187</v>
      </c>
      <c r="W42" s="64">
        <v>1210</v>
      </c>
      <c r="X42" s="64">
        <v>1311</v>
      </c>
      <c r="Y42" s="64">
        <v>1373</v>
      </c>
      <c r="Z42" s="64">
        <v>1240</v>
      </c>
      <c r="AA42" s="64">
        <v>1077</v>
      </c>
      <c r="AB42" s="64">
        <v>1112</v>
      </c>
      <c r="AC42" s="64">
        <v>1166</v>
      </c>
      <c r="AD42" s="64">
        <v>1119</v>
      </c>
      <c r="AE42" s="145">
        <v>1051</v>
      </c>
      <c r="AF42" s="10"/>
    </row>
    <row r="43" spans="1:32" ht="15" customHeight="1" thickBot="1" x14ac:dyDescent="0.3">
      <c r="A43" s="150">
        <v>45</v>
      </c>
      <c r="B43" s="14" t="s">
        <v>54</v>
      </c>
      <c r="C43" s="67">
        <v>594</v>
      </c>
      <c r="D43" s="67">
        <v>619</v>
      </c>
      <c r="E43" s="67">
        <v>625</v>
      </c>
      <c r="F43" s="67">
        <v>669</v>
      </c>
      <c r="G43" s="67">
        <v>667</v>
      </c>
      <c r="H43" s="67">
        <v>569</v>
      </c>
      <c r="I43" s="67">
        <v>494</v>
      </c>
      <c r="J43" s="67">
        <v>587</v>
      </c>
      <c r="K43" s="67">
        <v>648</v>
      </c>
      <c r="L43" s="67">
        <v>786</v>
      </c>
      <c r="M43" s="67">
        <v>925</v>
      </c>
      <c r="N43" s="67">
        <v>1010</v>
      </c>
      <c r="O43" s="67">
        <v>1053</v>
      </c>
      <c r="P43" s="67">
        <v>991</v>
      </c>
      <c r="Q43" s="67">
        <v>1012</v>
      </c>
      <c r="R43" s="67">
        <v>1115</v>
      </c>
      <c r="S43" s="67">
        <v>1108</v>
      </c>
      <c r="T43" s="67">
        <v>1149</v>
      </c>
      <c r="U43" s="67">
        <v>1161</v>
      </c>
      <c r="V43" s="67">
        <v>1187</v>
      </c>
      <c r="W43" s="67">
        <v>1210</v>
      </c>
      <c r="X43" s="67">
        <v>1311</v>
      </c>
      <c r="Y43" s="67">
        <v>1373</v>
      </c>
      <c r="Z43" s="67">
        <v>1240</v>
      </c>
      <c r="AA43" s="67">
        <v>1077</v>
      </c>
      <c r="AB43" s="67">
        <v>1112</v>
      </c>
      <c r="AC43" s="67">
        <v>1166</v>
      </c>
      <c r="AD43" s="67">
        <v>1119</v>
      </c>
      <c r="AE43" s="151">
        <v>1051</v>
      </c>
    </row>
    <row r="44" spans="1:32" s="11" customFormat="1" ht="15" customHeight="1" thickBot="1" x14ac:dyDescent="0.3">
      <c r="A44" s="144" t="s">
        <v>55</v>
      </c>
      <c r="B44" s="9" t="s">
        <v>56</v>
      </c>
      <c r="C44" s="64">
        <v>3602</v>
      </c>
      <c r="D44" s="64">
        <v>3606</v>
      </c>
      <c r="E44" s="64">
        <v>3552</v>
      </c>
      <c r="F44" s="64">
        <v>3552</v>
      </c>
      <c r="G44" s="64">
        <v>3511</v>
      </c>
      <c r="H44" s="64">
        <v>3350</v>
      </c>
      <c r="I44" s="64">
        <v>3124</v>
      </c>
      <c r="J44" s="64">
        <v>3479</v>
      </c>
      <c r="K44" s="64">
        <v>3973</v>
      </c>
      <c r="L44" s="64">
        <v>4383</v>
      </c>
      <c r="M44" s="64">
        <v>4707</v>
      </c>
      <c r="N44" s="64">
        <v>5035</v>
      </c>
      <c r="O44" s="64">
        <v>5347</v>
      </c>
      <c r="P44" s="64">
        <v>5480</v>
      </c>
      <c r="Q44" s="64">
        <v>5601</v>
      </c>
      <c r="R44" s="64">
        <v>5860</v>
      </c>
      <c r="S44" s="64">
        <v>6037</v>
      </c>
      <c r="T44" s="64">
        <v>6319</v>
      </c>
      <c r="U44" s="64">
        <v>6458</v>
      </c>
      <c r="V44" s="64">
        <v>6769</v>
      </c>
      <c r="W44" s="64">
        <v>7133</v>
      </c>
      <c r="X44" s="64">
        <v>7859</v>
      </c>
      <c r="Y44" s="64">
        <v>8117</v>
      </c>
      <c r="Z44" s="64">
        <v>6921</v>
      </c>
      <c r="AA44" s="64">
        <v>6605</v>
      </c>
      <c r="AB44" s="64">
        <v>7324</v>
      </c>
      <c r="AC44" s="64">
        <v>8079</v>
      </c>
      <c r="AD44" s="64">
        <v>6333</v>
      </c>
      <c r="AE44" s="145">
        <v>6210</v>
      </c>
      <c r="AF44" s="10"/>
    </row>
    <row r="45" spans="1:32" ht="15" customHeight="1" x14ac:dyDescent="0.25">
      <c r="A45" s="146">
        <v>50</v>
      </c>
      <c r="B45" s="12" t="s">
        <v>57</v>
      </c>
      <c r="C45" s="65">
        <v>594</v>
      </c>
      <c r="D45" s="65">
        <v>598</v>
      </c>
      <c r="E45" s="65">
        <v>613</v>
      </c>
      <c r="F45" s="65">
        <v>610</v>
      </c>
      <c r="G45" s="65">
        <v>569</v>
      </c>
      <c r="H45" s="65">
        <v>554</v>
      </c>
      <c r="I45" s="65">
        <v>542</v>
      </c>
      <c r="J45" s="65">
        <v>608</v>
      </c>
      <c r="K45" s="65">
        <v>677</v>
      </c>
      <c r="L45" s="65">
        <v>755</v>
      </c>
      <c r="M45" s="65">
        <v>803</v>
      </c>
      <c r="N45" s="65">
        <v>845</v>
      </c>
      <c r="O45" s="65">
        <v>866</v>
      </c>
      <c r="P45" s="65">
        <v>877</v>
      </c>
      <c r="Q45" s="65">
        <v>891</v>
      </c>
      <c r="R45" s="65">
        <v>902</v>
      </c>
      <c r="S45" s="65">
        <v>921</v>
      </c>
      <c r="T45" s="65">
        <v>937</v>
      </c>
      <c r="U45" s="65">
        <v>960</v>
      </c>
      <c r="V45" s="65">
        <v>959</v>
      </c>
      <c r="W45" s="65">
        <v>1010</v>
      </c>
      <c r="X45" s="65">
        <v>1054</v>
      </c>
      <c r="Y45" s="65">
        <v>1028</v>
      </c>
      <c r="Z45" s="65">
        <v>928</v>
      </c>
      <c r="AA45" s="65">
        <v>906</v>
      </c>
      <c r="AB45" s="65">
        <v>939</v>
      </c>
      <c r="AC45" s="65">
        <v>999</v>
      </c>
      <c r="AD45" s="65">
        <v>903</v>
      </c>
      <c r="AE45" s="147">
        <v>907</v>
      </c>
    </row>
    <row r="46" spans="1:32" ht="15" customHeight="1" x14ac:dyDescent="0.25">
      <c r="A46" s="156">
        <v>51</v>
      </c>
      <c r="B46" s="17" t="s">
        <v>58</v>
      </c>
      <c r="C46" s="70">
        <v>907</v>
      </c>
      <c r="D46" s="70">
        <v>904</v>
      </c>
      <c r="E46" s="70">
        <v>893</v>
      </c>
      <c r="F46" s="70">
        <v>929</v>
      </c>
      <c r="G46" s="70">
        <v>929</v>
      </c>
      <c r="H46" s="70">
        <v>879</v>
      </c>
      <c r="I46" s="70">
        <v>821</v>
      </c>
      <c r="J46" s="70">
        <v>912</v>
      </c>
      <c r="K46" s="70">
        <v>981</v>
      </c>
      <c r="L46" s="70">
        <v>1069</v>
      </c>
      <c r="M46" s="70">
        <v>1106</v>
      </c>
      <c r="N46" s="70">
        <v>1177</v>
      </c>
      <c r="O46" s="70">
        <v>1232</v>
      </c>
      <c r="P46" s="70">
        <v>1223</v>
      </c>
      <c r="Q46" s="70">
        <v>1251</v>
      </c>
      <c r="R46" s="70">
        <v>1300</v>
      </c>
      <c r="S46" s="70">
        <v>1340</v>
      </c>
      <c r="T46" s="70">
        <v>1404</v>
      </c>
      <c r="U46" s="70">
        <v>1438</v>
      </c>
      <c r="V46" s="70">
        <v>1443</v>
      </c>
      <c r="W46" s="70">
        <v>1464</v>
      </c>
      <c r="X46" s="70">
        <v>1511</v>
      </c>
      <c r="Y46" s="70">
        <v>1514</v>
      </c>
      <c r="Z46" s="70">
        <v>1424</v>
      </c>
      <c r="AA46" s="70">
        <v>1422</v>
      </c>
      <c r="AB46" s="70">
        <v>1484</v>
      </c>
      <c r="AC46" s="70">
        <v>1556</v>
      </c>
      <c r="AD46" s="70">
        <v>1433</v>
      </c>
      <c r="AE46" s="157">
        <v>1427</v>
      </c>
    </row>
    <row r="47" spans="1:32" ht="15" customHeight="1" thickBot="1" x14ac:dyDescent="0.3">
      <c r="A47" s="158">
        <v>52</v>
      </c>
      <c r="B47" s="18" t="s">
        <v>59</v>
      </c>
      <c r="C47" s="71">
        <v>2101</v>
      </c>
      <c r="D47" s="71">
        <v>2104</v>
      </c>
      <c r="E47" s="71">
        <v>2046</v>
      </c>
      <c r="F47" s="71">
        <v>2013</v>
      </c>
      <c r="G47" s="71">
        <v>2013</v>
      </c>
      <c r="H47" s="71">
        <v>1917</v>
      </c>
      <c r="I47" s="71">
        <v>1761</v>
      </c>
      <c r="J47" s="71">
        <v>1959</v>
      </c>
      <c r="K47" s="71">
        <v>2315</v>
      </c>
      <c r="L47" s="71">
        <v>2559</v>
      </c>
      <c r="M47" s="71">
        <v>2798</v>
      </c>
      <c r="N47" s="71">
        <v>3013</v>
      </c>
      <c r="O47" s="71">
        <v>3249</v>
      </c>
      <c r="P47" s="71">
        <v>3380</v>
      </c>
      <c r="Q47" s="71">
        <v>3459</v>
      </c>
      <c r="R47" s="71">
        <v>3658</v>
      </c>
      <c r="S47" s="71">
        <v>3776</v>
      </c>
      <c r="T47" s="71">
        <v>3978</v>
      </c>
      <c r="U47" s="71">
        <v>4060</v>
      </c>
      <c r="V47" s="71">
        <v>4367</v>
      </c>
      <c r="W47" s="71">
        <v>4659</v>
      </c>
      <c r="X47" s="71">
        <v>5294</v>
      </c>
      <c r="Y47" s="71">
        <v>5575</v>
      </c>
      <c r="Z47" s="71">
        <v>4569</v>
      </c>
      <c r="AA47" s="71">
        <v>4277</v>
      </c>
      <c r="AB47" s="71">
        <v>4901</v>
      </c>
      <c r="AC47" s="71">
        <v>5524</v>
      </c>
      <c r="AD47" s="71">
        <v>3997</v>
      </c>
      <c r="AE47" s="159">
        <v>3876</v>
      </c>
    </row>
    <row r="48" spans="1:32" s="11" customFormat="1" ht="15" customHeight="1" thickBot="1" x14ac:dyDescent="0.3">
      <c r="A48" s="160" t="s">
        <v>60</v>
      </c>
      <c r="B48" s="19" t="s">
        <v>61</v>
      </c>
      <c r="C48" s="64">
        <v>481</v>
      </c>
      <c r="D48" s="64">
        <v>467</v>
      </c>
      <c r="E48" s="64">
        <v>456</v>
      </c>
      <c r="F48" s="64">
        <v>443</v>
      </c>
      <c r="G48" s="64">
        <v>420</v>
      </c>
      <c r="H48" s="64">
        <v>400</v>
      </c>
      <c r="I48" s="64">
        <v>382</v>
      </c>
      <c r="J48" s="64">
        <v>418</v>
      </c>
      <c r="K48" s="64">
        <v>513</v>
      </c>
      <c r="L48" s="64">
        <v>614</v>
      </c>
      <c r="M48" s="64">
        <v>706</v>
      </c>
      <c r="N48" s="64">
        <v>755</v>
      </c>
      <c r="O48" s="64">
        <v>795</v>
      </c>
      <c r="P48" s="64">
        <v>837</v>
      </c>
      <c r="Q48" s="64">
        <v>870</v>
      </c>
      <c r="R48" s="64">
        <v>939</v>
      </c>
      <c r="S48" s="64">
        <v>1043</v>
      </c>
      <c r="T48" s="64">
        <v>1170</v>
      </c>
      <c r="U48" s="64">
        <v>1288</v>
      </c>
      <c r="V48" s="64">
        <v>1420</v>
      </c>
      <c r="W48" s="64">
        <v>1544</v>
      </c>
      <c r="X48" s="64">
        <v>1763</v>
      </c>
      <c r="Y48" s="64">
        <v>1815</v>
      </c>
      <c r="Z48" s="64">
        <v>1417</v>
      </c>
      <c r="AA48" s="64">
        <v>1220</v>
      </c>
      <c r="AB48" s="64">
        <v>1459</v>
      </c>
      <c r="AC48" s="64">
        <v>1706</v>
      </c>
      <c r="AD48" s="64">
        <v>1321</v>
      </c>
      <c r="AE48" s="145">
        <v>1261</v>
      </c>
      <c r="AF48" s="10"/>
    </row>
    <row r="49" spans="1:32" ht="15" customHeight="1" thickBot="1" x14ac:dyDescent="0.3">
      <c r="A49" s="150">
        <v>55</v>
      </c>
      <c r="B49" s="14" t="s">
        <v>62</v>
      </c>
      <c r="C49" s="67">
        <v>481</v>
      </c>
      <c r="D49" s="67">
        <v>467</v>
      </c>
      <c r="E49" s="67">
        <v>456</v>
      </c>
      <c r="F49" s="67">
        <v>443</v>
      </c>
      <c r="G49" s="67">
        <v>420</v>
      </c>
      <c r="H49" s="67">
        <v>400</v>
      </c>
      <c r="I49" s="67">
        <v>382</v>
      </c>
      <c r="J49" s="67">
        <v>418</v>
      </c>
      <c r="K49" s="67">
        <v>513</v>
      </c>
      <c r="L49" s="67">
        <v>614</v>
      </c>
      <c r="M49" s="67">
        <v>706</v>
      </c>
      <c r="N49" s="67">
        <v>755</v>
      </c>
      <c r="O49" s="67">
        <v>795</v>
      </c>
      <c r="P49" s="67">
        <v>837</v>
      </c>
      <c r="Q49" s="67">
        <v>870</v>
      </c>
      <c r="R49" s="67">
        <v>939</v>
      </c>
      <c r="S49" s="67">
        <v>1043</v>
      </c>
      <c r="T49" s="67">
        <v>1170</v>
      </c>
      <c r="U49" s="67">
        <v>1288</v>
      </c>
      <c r="V49" s="67">
        <v>1420</v>
      </c>
      <c r="W49" s="67">
        <v>1544</v>
      </c>
      <c r="X49" s="67">
        <v>1763</v>
      </c>
      <c r="Y49" s="67">
        <v>1815</v>
      </c>
      <c r="Z49" s="67">
        <v>1417</v>
      </c>
      <c r="AA49" s="67">
        <v>1220</v>
      </c>
      <c r="AB49" s="67">
        <v>1459</v>
      </c>
      <c r="AC49" s="67">
        <v>1706</v>
      </c>
      <c r="AD49" s="67">
        <v>1321</v>
      </c>
      <c r="AE49" s="151">
        <v>1261</v>
      </c>
    </row>
    <row r="50" spans="1:32" s="11" customFormat="1" ht="15" customHeight="1" thickBot="1" x14ac:dyDescent="0.3">
      <c r="A50" s="144" t="s">
        <v>63</v>
      </c>
      <c r="B50" s="9" t="s">
        <v>64</v>
      </c>
      <c r="C50" s="64">
        <v>1299</v>
      </c>
      <c r="D50" s="64">
        <v>1391</v>
      </c>
      <c r="E50" s="64">
        <v>1434</v>
      </c>
      <c r="F50" s="64">
        <v>1478</v>
      </c>
      <c r="G50" s="64">
        <v>1499</v>
      </c>
      <c r="H50" s="64">
        <v>1445</v>
      </c>
      <c r="I50" s="64">
        <v>1371</v>
      </c>
      <c r="J50" s="64">
        <v>1484</v>
      </c>
      <c r="K50" s="64">
        <v>1681</v>
      </c>
      <c r="L50" s="64">
        <v>1962</v>
      </c>
      <c r="M50" s="64">
        <v>2138</v>
      </c>
      <c r="N50" s="64">
        <v>2331</v>
      </c>
      <c r="O50" s="64">
        <v>2501</v>
      </c>
      <c r="P50" s="64">
        <v>2573</v>
      </c>
      <c r="Q50" s="64">
        <v>2675</v>
      </c>
      <c r="R50" s="64">
        <v>2755</v>
      </c>
      <c r="S50" s="64">
        <v>2853</v>
      </c>
      <c r="T50" s="64">
        <v>2901</v>
      </c>
      <c r="U50" s="64">
        <v>2964</v>
      </c>
      <c r="V50" s="64">
        <v>3013</v>
      </c>
      <c r="W50" s="64">
        <v>3034</v>
      </c>
      <c r="X50" s="64">
        <v>3102</v>
      </c>
      <c r="Y50" s="64">
        <v>3057</v>
      </c>
      <c r="Z50" s="64">
        <v>2836</v>
      </c>
      <c r="AA50" s="64">
        <v>2621</v>
      </c>
      <c r="AB50" s="64">
        <v>2740</v>
      </c>
      <c r="AC50" s="64">
        <v>2901</v>
      </c>
      <c r="AD50" s="64">
        <v>2724</v>
      </c>
      <c r="AE50" s="145">
        <v>2612</v>
      </c>
      <c r="AF50" s="10"/>
    </row>
    <row r="51" spans="1:32" ht="15" customHeight="1" x14ac:dyDescent="0.25">
      <c r="A51" s="152">
        <v>60</v>
      </c>
      <c r="B51" s="15" t="s">
        <v>65</v>
      </c>
      <c r="C51" s="68">
        <v>1070</v>
      </c>
      <c r="D51" s="68">
        <v>1151</v>
      </c>
      <c r="E51" s="68">
        <v>1155</v>
      </c>
      <c r="F51" s="68">
        <v>1184</v>
      </c>
      <c r="G51" s="68">
        <v>1192</v>
      </c>
      <c r="H51" s="68">
        <v>1143</v>
      </c>
      <c r="I51" s="68">
        <v>1094</v>
      </c>
      <c r="J51" s="68">
        <v>1202</v>
      </c>
      <c r="K51" s="68">
        <v>1341</v>
      </c>
      <c r="L51" s="68">
        <v>1577</v>
      </c>
      <c r="M51" s="68">
        <v>1716</v>
      </c>
      <c r="N51" s="68">
        <v>1903</v>
      </c>
      <c r="O51" s="68">
        <v>2045</v>
      </c>
      <c r="P51" s="68">
        <v>2098</v>
      </c>
      <c r="Q51" s="68">
        <v>2185</v>
      </c>
      <c r="R51" s="68">
        <v>2246</v>
      </c>
      <c r="S51" s="68">
        <v>2314</v>
      </c>
      <c r="T51" s="68">
        <v>2340</v>
      </c>
      <c r="U51" s="68">
        <v>2374</v>
      </c>
      <c r="V51" s="68">
        <v>2417</v>
      </c>
      <c r="W51" s="68">
        <v>2415</v>
      </c>
      <c r="X51" s="68">
        <v>2460</v>
      </c>
      <c r="Y51" s="68">
        <v>2407</v>
      </c>
      <c r="Z51" s="68">
        <v>2222</v>
      </c>
      <c r="AA51" s="68">
        <v>2035</v>
      </c>
      <c r="AB51" s="68">
        <v>2139</v>
      </c>
      <c r="AC51" s="68">
        <v>2275</v>
      </c>
      <c r="AD51" s="68">
        <v>2135</v>
      </c>
      <c r="AE51" s="153">
        <v>2005</v>
      </c>
    </row>
    <row r="52" spans="1:32" ht="15" customHeight="1" x14ac:dyDescent="0.25">
      <c r="A52" s="161">
        <v>61</v>
      </c>
      <c r="B52" s="20" t="s">
        <v>66</v>
      </c>
      <c r="C52" s="73">
        <v>4</v>
      </c>
      <c r="D52" s="73">
        <v>4</v>
      </c>
      <c r="E52" s="73">
        <v>5</v>
      </c>
      <c r="F52" s="73">
        <v>4</v>
      </c>
      <c r="G52" s="73">
        <v>4</v>
      </c>
      <c r="H52" s="73" t="s">
        <v>383</v>
      </c>
      <c r="I52" s="73">
        <v>5</v>
      </c>
      <c r="J52" s="73">
        <v>5</v>
      </c>
      <c r="K52" s="73" t="s">
        <v>383</v>
      </c>
      <c r="L52" s="73" t="s">
        <v>383</v>
      </c>
      <c r="M52" s="73">
        <v>5</v>
      </c>
      <c r="N52" s="73">
        <v>4</v>
      </c>
      <c r="O52" s="73">
        <v>5</v>
      </c>
      <c r="P52" s="73">
        <v>6</v>
      </c>
      <c r="Q52" s="73">
        <v>7</v>
      </c>
      <c r="R52" s="73">
        <v>8</v>
      </c>
      <c r="S52" s="73">
        <v>7</v>
      </c>
      <c r="T52" s="73">
        <v>7</v>
      </c>
      <c r="U52" s="73">
        <v>6</v>
      </c>
      <c r="V52" s="73">
        <v>7</v>
      </c>
      <c r="W52" s="73">
        <v>7</v>
      </c>
      <c r="X52" s="73">
        <v>7</v>
      </c>
      <c r="Y52" s="73">
        <v>5</v>
      </c>
      <c r="Z52" s="73">
        <v>6</v>
      </c>
      <c r="AA52" s="73">
        <v>5</v>
      </c>
      <c r="AB52" s="73">
        <v>7</v>
      </c>
      <c r="AC52" s="73">
        <v>6</v>
      </c>
      <c r="AD52" s="73" t="s">
        <v>383</v>
      </c>
      <c r="AE52" s="162">
        <v>4</v>
      </c>
    </row>
    <row r="53" spans="1:32" ht="15" customHeight="1" x14ac:dyDescent="0.25">
      <c r="A53" s="152">
        <v>62</v>
      </c>
      <c r="B53" s="15" t="s">
        <v>67</v>
      </c>
      <c r="C53" s="68">
        <v>10</v>
      </c>
      <c r="D53" s="68">
        <v>13</v>
      </c>
      <c r="E53" s="68">
        <v>15</v>
      </c>
      <c r="F53" s="68">
        <v>13</v>
      </c>
      <c r="G53" s="68">
        <v>11</v>
      </c>
      <c r="H53" s="68" t="s">
        <v>383</v>
      </c>
      <c r="I53" s="68">
        <v>9</v>
      </c>
      <c r="J53" s="68">
        <v>6</v>
      </c>
      <c r="K53" s="68" t="s">
        <v>383</v>
      </c>
      <c r="L53" s="68" t="s">
        <v>383</v>
      </c>
      <c r="M53" s="68">
        <v>10</v>
      </c>
      <c r="N53" s="68">
        <v>10</v>
      </c>
      <c r="O53" s="68">
        <v>10</v>
      </c>
      <c r="P53" s="68">
        <v>11</v>
      </c>
      <c r="Q53" s="68">
        <v>11</v>
      </c>
      <c r="R53" s="68">
        <v>10</v>
      </c>
      <c r="S53" s="68">
        <v>10</v>
      </c>
      <c r="T53" s="68">
        <v>10</v>
      </c>
      <c r="U53" s="68">
        <v>9</v>
      </c>
      <c r="V53" s="68">
        <v>8</v>
      </c>
      <c r="W53" s="68">
        <v>8</v>
      </c>
      <c r="X53" s="68">
        <v>11</v>
      </c>
      <c r="Y53" s="68">
        <v>12</v>
      </c>
      <c r="Z53" s="68">
        <v>13</v>
      </c>
      <c r="AA53" s="68">
        <v>12</v>
      </c>
      <c r="AB53" s="68">
        <v>10</v>
      </c>
      <c r="AC53" s="68">
        <v>11</v>
      </c>
      <c r="AD53" s="68" t="s">
        <v>383</v>
      </c>
      <c r="AE53" s="153">
        <v>7</v>
      </c>
    </row>
    <row r="54" spans="1:32" ht="15" customHeight="1" x14ac:dyDescent="0.25">
      <c r="A54" s="163">
        <v>63</v>
      </c>
      <c r="B54" s="21" t="s">
        <v>68</v>
      </c>
      <c r="C54" s="74">
        <v>150</v>
      </c>
      <c r="D54" s="74">
        <v>157</v>
      </c>
      <c r="E54" s="74">
        <v>179</v>
      </c>
      <c r="F54" s="74">
        <v>186</v>
      </c>
      <c r="G54" s="74">
        <v>185</v>
      </c>
      <c r="H54" s="74">
        <v>183</v>
      </c>
      <c r="I54" s="74">
        <v>177</v>
      </c>
      <c r="J54" s="74">
        <v>184</v>
      </c>
      <c r="K54" s="74">
        <v>229</v>
      </c>
      <c r="L54" s="74">
        <v>269</v>
      </c>
      <c r="M54" s="74">
        <v>303</v>
      </c>
      <c r="N54" s="74">
        <v>308</v>
      </c>
      <c r="O54" s="74">
        <v>344</v>
      </c>
      <c r="P54" s="74">
        <v>368</v>
      </c>
      <c r="Q54" s="74">
        <v>384</v>
      </c>
      <c r="R54" s="74">
        <v>404</v>
      </c>
      <c r="S54" s="74">
        <v>432</v>
      </c>
      <c r="T54" s="74">
        <v>454</v>
      </c>
      <c r="U54" s="74">
        <v>480</v>
      </c>
      <c r="V54" s="74">
        <v>482</v>
      </c>
      <c r="W54" s="74">
        <v>502</v>
      </c>
      <c r="X54" s="74">
        <v>507</v>
      </c>
      <c r="Y54" s="74">
        <v>513</v>
      </c>
      <c r="Z54" s="74">
        <v>487</v>
      </c>
      <c r="AA54" s="74">
        <v>466</v>
      </c>
      <c r="AB54" s="74">
        <v>471</v>
      </c>
      <c r="AC54" s="74">
        <v>499</v>
      </c>
      <c r="AD54" s="74">
        <v>479</v>
      </c>
      <c r="AE54" s="164">
        <v>503</v>
      </c>
    </row>
    <row r="55" spans="1:32" ht="15" customHeight="1" thickBot="1" x14ac:dyDescent="0.3">
      <c r="A55" s="152">
        <v>64</v>
      </c>
      <c r="B55" s="15" t="s">
        <v>99</v>
      </c>
      <c r="C55" s="68">
        <v>65</v>
      </c>
      <c r="D55" s="68">
        <v>66</v>
      </c>
      <c r="E55" s="68">
        <v>80</v>
      </c>
      <c r="F55" s="68">
        <v>91</v>
      </c>
      <c r="G55" s="68">
        <v>107</v>
      </c>
      <c r="H55" s="68">
        <v>106</v>
      </c>
      <c r="I55" s="68">
        <v>86</v>
      </c>
      <c r="J55" s="68">
        <v>87</v>
      </c>
      <c r="K55" s="68">
        <v>103</v>
      </c>
      <c r="L55" s="68">
        <v>103</v>
      </c>
      <c r="M55" s="68">
        <v>104</v>
      </c>
      <c r="N55" s="68">
        <v>106</v>
      </c>
      <c r="O55" s="68">
        <v>97</v>
      </c>
      <c r="P55" s="68">
        <v>90</v>
      </c>
      <c r="Q55" s="68">
        <v>88</v>
      </c>
      <c r="R55" s="68">
        <v>87</v>
      </c>
      <c r="S55" s="68">
        <v>90</v>
      </c>
      <c r="T55" s="68">
        <v>90</v>
      </c>
      <c r="U55" s="68">
        <v>95</v>
      </c>
      <c r="V55" s="68">
        <v>99</v>
      </c>
      <c r="W55" s="68">
        <v>102</v>
      </c>
      <c r="X55" s="68">
        <v>117</v>
      </c>
      <c r="Y55" s="68">
        <v>120</v>
      </c>
      <c r="Z55" s="68">
        <v>108</v>
      </c>
      <c r="AA55" s="68">
        <v>103</v>
      </c>
      <c r="AB55" s="68">
        <v>113</v>
      </c>
      <c r="AC55" s="68">
        <v>110</v>
      </c>
      <c r="AD55" s="68">
        <v>97</v>
      </c>
      <c r="AE55" s="153">
        <v>93</v>
      </c>
    </row>
    <row r="56" spans="1:32" s="11" customFormat="1" ht="15" customHeight="1" thickBot="1" x14ac:dyDescent="0.3">
      <c r="A56" s="144" t="s">
        <v>70</v>
      </c>
      <c r="B56" s="9" t="s">
        <v>71</v>
      </c>
      <c r="C56" s="64">
        <v>211</v>
      </c>
      <c r="D56" s="64">
        <v>210</v>
      </c>
      <c r="E56" s="64">
        <v>222</v>
      </c>
      <c r="F56" s="64">
        <v>241</v>
      </c>
      <c r="G56" s="64">
        <v>239</v>
      </c>
      <c r="H56" s="64">
        <v>225</v>
      </c>
      <c r="I56" s="64">
        <v>197</v>
      </c>
      <c r="J56" s="64">
        <v>217</v>
      </c>
      <c r="K56" s="64">
        <v>229</v>
      </c>
      <c r="L56" s="64">
        <v>244</v>
      </c>
      <c r="M56" s="64">
        <v>251</v>
      </c>
      <c r="N56" s="64">
        <v>283</v>
      </c>
      <c r="O56" s="64">
        <v>311</v>
      </c>
      <c r="P56" s="64">
        <v>295</v>
      </c>
      <c r="Q56" s="64">
        <v>304</v>
      </c>
      <c r="R56" s="64">
        <v>312</v>
      </c>
      <c r="S56" s="64">
        <v>320</v>
      </c>
      <c r="T56" s="64">
        <v>334</v>
      </c>
      <c r="U56" s="64">
        <v>322</v>
      </c>
      <c r="V56" s="64">
        <v>317</v>
      </c>
      <c r="W56" s="64">
        <v>332</v>
      </c>
      <c r="X56" s="64">
        <v>352</v>
      </c>
      <c r="Y56" s="64">
        <v>353</v>
      </c>
      <c r="Z56" s="64">
        <v>327</v>
      </c>
      <c r="AA56" s="64">
        <v>327</v>
      </c>
      <c r="AB56" s="64">
        <v>321</v>
      </c>
      <c r="AC56" s="64">
        <v>310</v>
      </c>
      <c r="AD56" s="64">
        <v>299</v>
      </c>
      <c r="AE56" s="145">
        <v>286</v>
      </c>
      <c r="AF56" s="10"/>
    </row>
    <row r="57" spans="1:32" ht="15" customHeight="1" x14ac:dyDescent="0.25">
      <c r="A57" s="152">
        <v>65</v>
      </c>
      <c r="B57" s="15" t="s">
        <v>72</v>
      </c>
      <c r="C57" s="68">
        <v>72</v>
      </c>
      <c r="D57" s="68">
        <v>70</v>
      </c>
      <c r="E57" s="68">
        <v>78</v>
      </c>
      <c r="F57" s="68">
        <v>85</v>
      </c>
      <c r="G57" s="68">
        <v>77</v>
      </c>
      <c r="H57" s="68">
        <v>77</v>
      </c>
      <c r="I57" s="68">
        <v>65</v>
      </c>
      <c r="J57" s="68">
        <v>79</v>
      </c>
      <c r="K57" s="68">
        <v>84</v>
      </c>
      <c r="L57" s="68">
        <v>82</v>
      </c>
      <c r="M57" s="68">
        <v>79</v>
      </c>
      <c r="N57" s="68">
        <v>81</v>
      </c>
      <c r="O57" s="68">
        <v>87</v>
      </c>
      <c r="P57" s="68">
        <v>85</v>
      </c>
      <c r="Q57" s="68">
        <v>82</v>
      </c>
      <c r="R57" s="68">
        <v>87</v>
      </c>
      <c r="S57" s="68">
        <v>91</v>
      </c>
      <c r="T57" s="68">
        <v>97</v>
      </c>
      <c r="U57" s="68">
        <v>91</v>
      </c>
      <c r="V57" s="68">
        <v>90</v>
      </c>
      <c r="W57" s="68">
        <v>91</v>
      </c>
      <c r="X57" s="68">
        <v>101</v>
      </c>
      <c r="Y57" s="68">
        <v>99</v>
      </c>
      <c r="Z57" s="68">
        <v>91</v>
      </c>
      <c r="AA57" s="68">
        <v>85</v>
      </c>
      <c r="AB57" s="68">
        <v>84</v>
      </c>
      <c r="AC57" s="68">
        <v>79</v>
      </c>
      <c r="AD57" s="68">
        <v>82</v>
      </c>
      <c r="AE57" s="153">
        <v>84</v>
      </c>
    </row>
    <row r="58" spans="1:32" ht="15" customHeight="1" x14ac:dyDescent="0.25">
      <c r="A58" s="156">
        <v>66</v>
      </c>
      <c r="B58" s="17" t="s">
        <v>100</v>
      </c>
      <c r="C58" s="70">
        <v>73</v>
      </c>
      <c r="D58" s="70">
        <v>76</v>
      </c>
      <c r="E58" s="70">
        <v>75</v>
      </c>
      <c r="F58" s="70">
        <v>84</v>
      </c>
      <c r="G58" s="70">
        <v>89</v>
      </c>
      <c r="H58" s="70">
        <v>80</v>
      </c>
      <c r="I58" s="70">
        <v>76</v>
      </c>
      <c r="J58" s="70">
        <v>79</v>
      </c>
      <c r="K58" s="70">
        <v>77</v>
      </c>
      <c r="L58" s="70">
        <v>84</v>
      </c>
      <c r="M58" s="70">
        <v>83</v>
      </c>
      <c r="N58" s="70">
        <v>85</v>
      </c>
      <c r="O58" s="70">
        <v>84</v>
      </c>
      <c r="P58" s="70">
        <v>72</v>
      </c>
      <c r="Q58" s="70">
        <v>74</v>
      </c>
      <c r="R58" s="70">
        <v>78</v>
      </c>
      <c r="S58" s="70">
        <v>78</v>
      </c>
      <c r="T58" s="70">
        <v>80</v>
      </c>
      <c r="U58" s="70">
        <v>75</v>
      </c>
      <c r="V58" s="70">
        <v>78</v>
      </c>
      <c r="W58" s="70">
        <v>78</v>
      </c>
      <c r="X58" s="70">
        <v>77</v>
      </c>
      <c r="Y58" s="70">
        <v>75</v>
      </c>
      <c r="Z58" s="70">
        <v>73</v>
      </c>
      <c r="AA58" s="70">
        <v>78</v>
      </c>
      <c r="AB58" s="70">
        <v>78</v>
      </c>
      <c r="AC58" s="70">
        <v>70</v>
      </c>
      <c r="AD58" s="70">
        <v>68</v>
      </c>
      <c r="AE58" s="157">
        <v>66</v>
      </c>
    </row>
    <row r="59" spans="1:32" ht="15" customHeight="1" thickBot="1" x14ac:dyDescent="0.3">
      <c r="A59" s="152">
        <v>67</v>
      </c>
      <c r="B59" s="15" t="s">
        <v>74</v>
      </c>
      <c r="C59" s="68">
        <v>66</v>
      </c>
      <c r="D59" s="68">
        <v>64</v>
      </c>
      <c r="E59" s="68">
        <v>69</v>
      </c>
      <c r="F59" s="68">
        <v>72</v>
      </c>
      <c r="G59" s="68">
        <v>73</v>
      </c>
      <c r="H59" s="68">
        <v>68</v>
      </c>
      <c r="I59" s="68">
        <v>56</v>
      </c>
      <c r="J59" s="68">
        <v>59</v>
      </c>
      <c r="K59" s="68">
        <v>68</v>
      </c>
      <c r="L59" s="68">
        <v>78</v>
      </c>
      <c r="M59" s="68">
        <v>89</v>
      </c>
      <c r="N59" s="68">
        <v>117</v>
      </c>
      <c r="O59" s="68">
        <v>140</v>
      </c>
      <c r="P59" s="68">
        <v>138</v>
      </c>
      <c r="Q59" s="68">
        <v>148</v>
      </c>
      <c r="R59" s="68">
        <v>147</v>
      </c>
      <c r="S59" s="68">
        <v>151</v>
      </c>
      <c r="T59" s="68">
        <v>157</v>
      </c>
      <c r="U59" s="68">
        <v>156</v>
      </c>
      <c r="V59" s="68">
        <v>149</v>
      </c>
      <c r="W59" s="68">
        <v>163</v>
      </c>
      <c r="X59" s="68">
        <v>174</v>
      </c>
      <c r="Y59" s="68">
        <v>179</v>
      </c>
      <c r="Z59" s="68">
        <v>163</v>
      </c>
      <c r="AA59" s="68">
        <v>164</v>
      </c>
      <c r="AB59" s="68">
        <v>159</v>
      </c>
      <c r="AC59" s="68">
        <v>161</v>
      </c>
      <c r="AD59" s="68">
        <v>149</v>
      </c>
      <c r="AE59" s="153">
        <v>136</v>
      </c>
    </row>
    <row r="60" spans="1:32" s="11" customFormat="1" ht="15" customHeight="1" thickBot="1" x14ac:dyDescent="0.3">
      <c r="A60" s="144" t="s">
        <v>75</v>
      </c>
      <c r="B60" s="9" t="s">
        <v>76</v>
      </c>
      <c r="C60" s="64">
        <v>2768</v>
      </c>
      <c r="D60" s="64">
        <v>2813</v>
      </c>
      <c r="E60" s="64">
        <v>2818</v>
      </c>
      <c r="F60" s="64">
        <v>2820</v>
      </c>
      <c r="G60" s="64">
        <v>2837</v>
      </c>
      <c r="H60" s="64">
        <v>2756</v>
      </c>
      <c r="I60" s="64">
        <v>2633</v>
      </c>
      <c r="J60" s="64">
        <v>2812</v>
      </c>
      <c r="K60" s="64">
        <v>3100</v>
      </c>
      <c r="L60" s="64">
        <v>3275</v>
      </c>
      <c r="M60" s="64">
        <v>3388</v>
      </c>
      <c r="N60" s="64">
        <v>3537</v>
      </c>
      <c r="O60" s="64">
        <v>3573</v>
      </c>
      <c r="P60" s="64">
        <v>3581</v>
      </c>
      <c r="Q60" s="64">
        <v>3575</v>
      </c>
      <c r="R60" s="64">
        <v>3636</v>
      </c>
      <c r="S60" s="64">
        <v>3580</v>
      </c>
      <c r="T60" s="64">
        <v>3666</v>
      </c>
      <c r="U60" s="64">
        <v>3654</v>
      </c>
      <c r="V60" s="64">
        <v>3638</v>
      </c>
      <c r="W60" s="64">
        <v>3642</v>
      </c>
      <c r="X60" s="64">
        <v>3685</v>
      </c>
      <c r="Y60" s="64">
        <v>3620</v>
      </c>
      <c r="Z60" s="64">
        <v>3296</v>
      </c>
      <c r="AA60" s="64">
        <v>3150</v>
      </c>
      <c r="AB60" s="64">
        <v>3221</v>
      </c>
      <c r="AC60" s="64">
        <v>3295</v>
      </c>
      <c r="AD60" s="64">
        <v>3012</v>
      </c>
      <c r="AE60" s="145">
        <v>2901</v>
      </c>
      <c r="AF60" s="10"/>
    </row>
    <row r="61" spans="1:32" ht="15" customHeight="1" x14ac:dyDescent="0.25">
      <c r="A61" s="146">
        <v>70</v>
      </c>
      <c r="B61" s="12" t="s">
        <v>77</v>
      </c>
      <c r="C61" s="65">
        <v>1207</v>
      </c>
      <c r="D61" s="65">
        <v>1191</v>
      </c>
      <c r="E61" s="65">
        <v>1163</v>
      </c>
      <c r="F61" s="65">
        <v>1114</v>
      </c>
      <c r="G61" s="65">
        <v>1099</v>
      </c>
      <c r="H61" s="65">
        <v>1080</v>
      </c>
      <c r="I61" s="65">
        <v>1044</v>
      </c>
      <c r="J61" s="65">
        <v>1074</v>
      </c>
      <c r="K61" s="65">
        <v>1138</v>
      </c>
      <c r="L61" s="65">
        <v>1173</v>
      </c>
      <c r="M61" s="65">
        <v>1193</v>
      </c>
      <c r="N61" s="65">
        <v>1206</v>
      </c>
      <c r="O61" s="65">
        <v>1191</v>
      </c>
      <c r="P61" s="65">
        <v>1193</v>
      </c>
      <c r="Q61" s="65">
        <v>1193</v>
      </c>
      <c r="R61" s="65">
        <v>1198</v>
      </c>
      <c r="S61" s="65">
        <v>1156</v>
      </c>
      <c r="T61" s="65">
        <v>1184</v>
      </c>
      <c r="U61" s="65">
        <v>1184</v>
      </c>
      <c r="V61" s="65">
        <v>1170</v>
      </c>
      <c r="W61" s="65">
        <v>1174</v>
      </c>
      <c r="X61" s="65">
        <v>1156</v>
      </c>
      <c r="Y61" s="65">
        <v>1113</v>
      </c>
      <c r="Z61" s="65">
        <v>1007</v>
      </c>
      <c r="AA61" s="65">
        <v>947</v>
      </c>
      <c r="AB61" s="65">
        <v>931</v>
      </c>
      <c r="AC61" s="65">
        <v>906</v>
      </c>
      <c r="AD61" s="65">
        <v>812</v>
      </c>
      <c r="AE61" s="147">
        <v>769</v>
      </c>
    </row>
    <row r="62" spans="1:32" ht="15" customHeight="1" x14ac:dyDescent="0.25">
      <c r="A62" s="156">
        <v>71</v>
      </c>
      <c r="B62" s="17" t="s">
        <v>78</v>
      </c>
      <c r="C62" s="70">
        <v>55</v>
      </c>
      <c r="D62" s="70">
        <v>52</v>
      </c>
      <c r="E62" s="70">
        <v>58</v>
      </c>
      <c r="F62" s="70">
        <v>59</v>
      </c>
      <c r="G62" s="70">
        <v>57</v>
      </c>
      <c r="H62" s="70">
        <v>54</v>
      </c>
      <c r="I62" s="70">
        <v>42</v>
      </c>
      <c r="J62" s="70">
        <v>51</v>
      </c>
      <c r="K62" s="70">
        <v>71</v>
      </c>
      <c r="L62" s="70">
        <v>88</v>
      </c>
      <c r="M62" s="70">
        <v>99</v>
      </c>
      <c r="N62" s="70">
        <v>112</v>
      </c>
      <c r="O62" s="70">
        <v>120</v>
      </c>
      <c r="P62" s="70">
        <v>112</v>
      </c>
      <c r="Q62" s="70">
        <v>120</v>
      </c>
      <c r="R62" s="70">
        <v>126</v>
      </c>
      <c r="S62" s="70">
        <v>124</v>
      </c>
      <c r="T62" s="70">
        <v>132</v>
      </c>
      <c r="U62" s="70">
        <v>139</v>
      </c>
      <c r="V62" s="70">
        <v>135</v>
      </c>
      <c r="W62" s="70">
        <v>146</v>
      </c>
      <c r="X62" s="70">
        <v>157</v>
      </c>
      <c r="Y62" s="70">
        <v>148</v>
      </c>
      <c r="Z62" s="70">
        <v>131</v>
      </c>
      <c r="AA62" s="70">
        <v>122</v>
      </c>
      <c r="AB62" s="70">
        <v>124</v>
      </c>
      <c r="AC62" s="70">
        <v>128</v>
      </c>
      <c r="AD62" s="70">
        <v>142</v>
      </c>
      <c r="AE62" s="157">
        <v>134</v>
      </c>
    </row>
    <row r="63" spans="1:32" ht="15" customHeight="1" x14ac:dyDescent="0.25">
      <c r="A63" s="156">
        <v>72</v>
      </c>
      <c r="B63" s="17" t="s">
        <v>79</v>
      </c>
      <c r="C63" s="70">
        <v>44</v>
      </c>
      <c r="D63" s="70">
        <v>50</v>
      </c>
      <c r="E63" s="70">
        <v>50</v>
      </c>
      <c r="F63" s="70">
        <v>63</v>
      </c>
      <c r="G63" s="70">
        <v>67</v>
      </c>
      <c r="H63" s="70">
        <v>55</v>
      </c>
      <c r="I63" s="70">
        <v>58</v>
      </c>
      <c r="J63" s="70">
        <v>68</v>
      </c>
      <c r="K63" s="70">
        <v>72</v>
      </c>
      <c r="L63" s="70">
        <v>84</v>
      </c>
      <c r="M63" s="70">
        <v>95</v>
      </c>
      <c r="N63" s="70">
        <v>116</v>
      </c>
      <c r="O63" s="70">
        <v>123</v>
      </c>
      <c r="P63" s="70">
        <v>118</v>
      </c>
      <c r="Q63" s="70">
        <v>124</v>
      </c>
      <c r="R63" s="70">
        <v>135</v>
      </c>
      <c r="S63" s="70">
        <v>147</v>
      </c>
      <c r="T63" s="70">
        <v>153</v>
      </c>
      <c r="U63" s="70">
        <v>148</v>
      </c>
      <c r="V63" s="70">
        <v>162</v>
      </c>
      <c r="W63" s="70">
        <v>165</v>
      </c>
      <c r="X63" s="70">
        <v>178</v>
      </c>
      <c r="Y63" s="70">
        <v>182</v>
      </c>
      <c r="Z63" s="70">
        <v>183</v>
      </c>
      <c r="AA63" s="70">
        <v>204</v>
      </c>
      <c r="AB63" s="70">
        <v>221</v>
      </c>
      <c r="AC63" s="70">
        <v>246</v>
      </c>
      <c r="AD63" s="70">
        <v>246</v>
      </c>
      <c r="AE63" s="157">
        <v>252</v>
      </c>
    </row>
    <row r="64" spans="1:32" ht="15" customHeight="1" x14ac:dyDescent="0.25">
      <c r="A64" s="156">
        <v>73</v>
      </c>
      <c r="B64" s="17" t="s">
        <v>80</v>
      </c>
      <c r="C64" s="70">
        <v>8</v>
      </c>
      <c r="D64" s="70">
        <v>6</v>
      </c>
      <c r="E64" s="70">
        <v>7</v>
      </c>
      <c r="F64" s="70">
        <v>8</v>
      </c>
      <c r="G64" s="70">
        <v>9</v>
      </c>
      <c r="H64" s="70">
        <v>9</v>
      </c>
      <c r="I64" s="70">
        <v>10</v>
      </c>
      <c r="J64" s="70">
        <v>11</v>
      </c>
      <c r="K64" s="70">
        <v>8</v>
      </c>
      <c r="L64" s="70">
        <v>7</v>
      </c>
      <c r="M64" s="70">
        <v>9</v>
      </c>
      <c r="N64" s="70">
        <v>9</v>
      </c>
      <c r="O64" s="70">
        <v>13</v>
      </c>
      <c r="P64" s="70">
        <v>10</v>
      </c>
      <c r="Q64" s="70">
        <v>8</v>
      </c>
      <c r="R64" s="70">
        <v>11</v>
      </c>
      <c r="S64" s="70">
        <v>11</v>
      </c>
      <c r="T64" s="70">
        <v>13</v>
      </c>
      <c r="U64" s="70">
        <v>14</v>
      </c>
      <c r="V64" s="70">
        <v>13</v>
      </c>
      <c r="W64" s="70">
        <v>19</v>
      </c>
      <c r="X64" s="70">
        <v>20</v>
      </c>
      <c r="Y64" s="70">
        <v>17</v>
      </c>
      <c r="Z64" s="70">
        <v>20</v>
      </c>
      <c r="AA64" s="70">
        <v>20</v>
      </c>
      <c r="AB64" s="70">
        <v>21</v>
      </c>
      <c r="AC64" s="70">
        <v>24</v>
      </c>
      <c r="AD64" s="70">
        <v>21</v>
      </c>
      <c r="AE64" s="157">
        <v>23</v>
      </c>
    </row>
    <row r="65" spans="1:32" ht="15" customHeight="1" x14ac:dyDescent="0.25">
      <c r="A65" s="156">
        <v>74</v>
      </c>
      <c r="B65" s="17" t="s">
        <v>81</v>
      </c>
      <c r="C65" s="70">
        <v>1444</v>
      </c>
      <c r="D65" s="70">
        <v>1504</v>
      </c>
      <c r="E65" s="70">
        <v>1527</v>
      </c>
      <c r="F65" s="70">
        <v>1560</v>
      </c>
      <c r="G65" s="70">
        <v>1585</v>
      </c>
      <c r="H65" s="70">
        <v>1536</v>
      </c>
      <c r="I65" s="70">
        <v>1457</v>
      </c>
      <c r="J65" s="70">
        <v>1585</v>
      </c>
      <c r="K65" s="70">
        <v>1786</v>
      </c>
      <c r="L65" s="70">
        <v>1899</v>
      </c>
      <c r="M65" s="70">
        <v>1966</v>
      </c>
      <c r="N65" s="70">
        <v>2066</v>
      </c>
      <c r="O65" s="70">
        <v>2099</v>
      </c>
      <c r="P65" s="70">
        <v>2123</v>
      </c>
      <c r="Q65" s="70">
        <v>2105</v>
      </c>
      <c r="R65" s="70">
        <v>2141</v>
      </c>
      <c r="S65" s="70">
        <v>2118</v>
      </c>
      <c r="T65" s="70">
        <v>2162</v>
      </c>
      <c r="U65" s="70">
        <v>2148</v>
      </c>
      <c r="V65" s="70">
        <v>2140</v>
      </c>
      <c r="W65" s="70">
        <v>2120</v>
      </c>
      <c r="X65" s="70">
        <v>2157</v>
      </c>
      <c r="Y65" s="70">
        <v>2145</v>
      </c>
      <c r="Z65" s="70">
        <v>1942</v>
      </c>
      <c r="AA65" s="70">
        <v>1845</v>
      </c>
      <c r="AB65" s="70">
        <v>1911</v>
      </c>
      <c r="AC65" s="70">
        <v>1977</v>
      </c>
      <c r="AD65" s="70">
        <v>1777</v>
      </c>
      <c r="AE65" s="157">
        <v>1710</v>
      </c>
    </row>
    <row r="66" spans="1:32" ht="15" customHeight="1" thickBot="1" x14ac:dyDescent="0.3">
      <c r="A66" s="158">
        <v>75</v>
      </c>
      <c r="B66" s="18" t="s">
        <v>185</v>
      </c>
      <c r="C66" s="71">
        <v>10</v>
      </c>
      <c r="D66" s="71">
        <v>10</v>
      </c>
      <c r="E66" s="71">
        <v>13</v>
      </c>
      <c r="F66" s="71">
        <v>16</v>
      </c>
      <c r="G66" s="71">
        <v>20</v>
      </c>
      <c r="H66" s="71">
        <v>22</v>
      </c>
      <c r="I66" s="71">
        <v>22</v>
      </c>
      <c r="J66" s="71">
        <v>23</v>
      </c>
      <c r="K66" s="71">
        <v>25</v>
      </c>
      <c r="L66" s="71">
        <v>24</v>
      </c>
      <c r="M66" s="71">
        <v>26</v>
      </c>
      <c r="N66" s="71">
        <v>28</v>
      </c>
      <c r="O66" s="71">
        <v>27</v>
      </c>
      <c r="P66" s="71">
        <v>25</v>
      </c>
      <c r="Q66" s="71">
        <v>25</v>
      </c>
      <c r="R66" s="71">
        <v>25</v>
      </c>
      <c r="S66" s="71">
        <v>24</v>
      </c>
      <c r="T66" s="71">
        <v>22</v>
      </c>
      <c r="U66" s="71">
        <v>21</v>
      </c>
      <c r="V66" s="71">
        <v>18</v>
      </c>
      <c r="W66" s="71">
        <v>18</v>
      </c>
      <c r="X66" s="71">
        <v>17</v>
      </c>
      <c r="Y66" s="71">
        <v>15</v>
      </c>
      <c r="Z66" s="71">
        <v>13</v>
      </c>
      <c r="AA66" s="71">
        <v>12</v>
      </c>
      <c r="AB66" s="71">
        <v>13</v>
      </c>
      <c r="AC66" s="71">
        <v>14</v>
      </c>
      <c r="AD66" s="71">
        <v>14</v>
      </c>
      <c r="AE66" s="159">
        <v>13</v>
      </c>
    </row>
    <row r="67" spans="1:32" s="11" customFormat="1" ht="15" customHeight="1" thickBot="1" x14ac:dyDescent="0.3">
      <c r="A67" s="160" t="s">
        <v>83</v>
      </c>
      <c r="B67" s="19" t="s">
        <v>84</v>
      </c>
      <c r="C67" s="64">
        <v>213</v>
      </c>
      <c r="D67" s="64">
        <v>230</v>
      </c>
      <c r="E67" s="64">
        <v>218</v>
      </c>
      <c r="F67" s="64">
        <v>229</v>
      </c>
      <c r="G67" s="64">
        <v>232</v>
      </c>
      <c r="H67" s="64">
        <v>221</v>
      </c>
      <c r="I67" s="64">
        <v>218</v>
      </c>
      <c r="J67" s="64">
        <v>224</v>
      </c>
      <c r="K67" s="64">
        <v>241</v>
      </c>
      <c r="L67" s="64">
        <v>252</v>
      </c>
      <c r="M67" s="64">
        <v>271</v>
      </c>
      <c r="N67" s="64">
        <v>283</v>
      </c>
      <c r="O67" s="64">
        <v>291</v>
      </c>
      <c r="P67" s="64">
        <v>297</v>
      </c>
      <c r="Q67" s="64">
        <v>305</v>
      </c>
      <c r="R67" s="64">
        <v>318</v>
      </c>
      <c r="S67" s="64">
        <v>349</v>
      </c>
      <c r="T67" s="64">
        <v>370</v>
      </c>
      <c r="U67" s="64">
        <v>366</v>
      </c>
      <c r="V67" s="64">
        <v>376</v>
      </c>
      <c r="W67" s="64">
        <v>386</v>
      </c>
      <c r="X67" s="64">
        <v>403</v>
      </c>
      <c r="Y67" s="64">
        <v>397</v>
      </c>
      <c r="Z67" s="64">
        <v>377</v>
      </c>
      <c r="AA67" s="64">
        <v>336</v>
      </c>
      <c r="AB67" s="64">
        <v>354</v>
      </c>
      <c r="AC67" s="64">
        <v>362</v>
      </c>
      <c r="AD67" s="64">
        <v>353</v>
      </c>
      <c r="AE67" s="145">
        <v>329</v>
      </c>
      <c r="AF67" s="10"/>
    </row>
    <row r="68" spans="1:32" ht="15" customHeight="1" thickBot="1" x14ac:dyDescent="0.3">
      <c r="A68" s="150">
        <v>80</v>
      </c>
      <c r="B68" s="14" t="s">
        <v>85</v>
      </c>
      <c r="C68" s="70">
        <v>213</v>
      </c>
      <c r="D68" s="67">
        <v>230</v>
      </c>
      <c r="E68" s="67">
        <v>218</v>
      </c>
      <c r="F68" s="67">
        <v>229</v>
      </c>
      <c r="G68" s="67">
        <v>232</v>
      </c>
      <c r="H68" s="67">
        <v>221</v>
      </c>
      <c r="I68" s="67">
        <v>218</v>
      </c>
      <c r="J68" s="67">
        <v>224</v>
      </c>
      <c r="K68" s="67">
        <v>241</v>
      </c>
      <c r="L68" s="67">
        <v>252</v>
      </c>
      <c r="M68" s="67">
        <v>271</v>
      </c>
      <c r="N68" s="67">
        <v>283</v>
      </c>
      <c r="O68" s="67">
        <v>291</v>
      </c>
      <c r="P68" s="67">
        <v>297</v>
      </c>
      <c r="Q68" s="67">
        <v>305</v>
      </c>
      <c r="R68" s="67">
        <v>318</v>
      </c>
      <c r="S68" s="67">
        <v>349</v>
      </c>
      <c r="T68" s="67">
        <v>370</v>
      </c>
      <c r="U68" s="67">
        <v>366</v>
      </c>
      <c r="V68" s="67">
        <v>376</v>
      </c>
      <c r="W68" s="67">
        <v>386</v>
      </c>
      <c r="X68" s="67">
        <v>403</v>
      </c>
      <c r="Y68" s="67">
        <v>397</v>
      </c>
      <c r="Z68" s="67">
        <v>377</v>
      </c>
      <c r="AA68" s="67">
        <v>336</v>
      </c>
      <c r="AB68" s="67">
        <v>354</v>
      </c>
      <c r="AC68" s="67">
        <v>362</v>
      </c>
      <c r="AD68" s="67">
        <v>353</v>
      </c>
      <c r="AE68" s="151">
        <v>329</v>
      </c>
    </row>
    <row r="69" spans="1:32" s="11" customFormat="1" ht="15" customHeight="1" thickBot="1" x14ac:dyDescent="0.3">
      <c r="A69" s="144" t="s">
        <v>86</v>
      </c>
      <c r="B69" s="9" t="s">
        <v>87</v>
      </c>
      <c r="C69" s="64">
        <v>718</v>
      </c>
      <c r="D69" s="64">
        <v>720</v>
      </c>
      <c r="E69" s="64">
        <v>716</v>
      </c>
      <c r="F69" s="64">
        <v>694</v>
      </c>
      <c r="G69" s="64">
        <v>679</v>
      </c>
      <c r="H69" s="64">
        <v>666</v>
      </c>
      <c r="I69" s="64">
        <v>628</v>
      </c>
      <c r="J69" s="64">
        <v>664</v>
      </c>
      <c r="K69" s="64">
        <v>744</v>
      </c>
      <c r="L69" s="64">
        <v>800</v>
      </c>
      <c r="M69" s="64">
        <v>826</v>
      </c>
      <c r="N69" s="64">
        <v>875</v>
      </c>
      <c r="O69" s="64">
        <v>934</v>
      </c>
      <c r="P69" s="64">
        <v>969</v>
      </c>
      <c r="Q69" s="64">
        <v>1014</v>
      </c>
      <c r="R69" s="64">
        <v>1084</v>
      </c>
      <c r="S69" s="64">
        <v>1164</v>
      </c>
      <c r="T69" s="64">
        <v>1226</v>
      </c>
      <c r="U69" s="64">
        <v>1264</v>
      </c>
      <c r="V69" s="64">
        <v>1295</v>
      </c>
      <c r="W69" s="64">
        <v>1332</v>
      </c>
      <c r="X69" s="64">
        <v>1405</v>
      </c>
      <c r="Y69" s="64">
        <v>1408</v>
      </c>
      <c r="Z69" s="64">
        <v>1323</v>
      </c>
      <c r="AA69" s="64">
        <v>1258</v>
      </c>
      <c r="AB69" s="64">
        <v>1280</v>
      </c>
      <c r="AC69" s="64">
        <v>1288</v>
      </c>
      <c r="AD69" s="64">
        <v>1266</v>
      </c>
      <c r="AE69" s="145">
        <v>1202</v>
      </c>
      <c r="AF69" s="10"/>
    </row>
    <row r="70" spans="1:32" ht="15" customHeight="1" thickBot="1" x14ac:dyDescent="0.3">
      <c r="A70" s="150">
        <v>85</v>
      </c>
      <c r="B70" s="14" t="s">
        <v>88</v>
      </c>
      <c r="C70" s="67">
        <v>718</v>
      </c>
      <c r="D70" s="67">
        <v>720</v>
      </c>
      <c r="E70" s="67">
        <v>716</v>
      </c>
      <c r="F70" s="67">
        <v>694</v>
      </c>
      <c r="G70" s="67">
        <v>679</v>
      </c>
      <c r="H70" s="67">
        <v>666</v>
      </c>
      <c r="I70" s="67">
        <v>628</v>
      </c>
      <c r="J70" s="67">
        <v>664</v>
      </c>
      <c r="K70" s="67">
        <v>744</v>
      </c>
      <c r="L70" s="67">
        <v>800</v>
      </c>
      <c r="M70" s="67">
        <v>826</v>
      </c>
      <c r="N70" s="67">
        <v>875</v>
      </c>
      <c r="O70" s="67">
        <v>934</v>
      </c>
      <c r="P70" s="67">
        <v>969</v>
      </c>
      <c r="Q70" s="67">
        <v>1014</v>
      </c>
      <c r="R70" s="67">
        <v>1084</v>
      </c>
      <c r="S70" s="67">
        <v>1164</v>
      </c>
      <c r="T70" s="67">
        <v>1226</v>
      </c>
      <c r="U70" s="67">
        <v>1264</v>
      </c>
      <c r="V70" s="67">
        <v>1295</v>
      </c>
      <c r="W70" s="67">
        <v>1332</v>
      </c>
      <c r="X70" s="67">
        <v>1405</v>
      </c>
      <c r="Y70" s="67">
        <v>1408</v>
      </c>
      <c r="Z70" s="67">
        <v>1323</v>
      </c>
      <c r="AA70" s="67">
        <v>1258</v>
      </c>
      <c r="AB70" s="67">
        <v>1280</v>
      </c>
      <c r="AC70" s="67">
        <v>1288</v>
      </c>
      <c r="AD70" s="67">
        <v>1266</v>
      </c>
      <c r="AE70" s="151">
        <v>1202</v>
      </c>
    </row>
    <row r="71" spans="1:32" s="11" customFormat="1" ht="15" customHeight="1" thickBot="1" x14ac:dyDescent="0.3">
      <c r="A71" s="144" t="s">
        <v>89</v>
      </c>
      <c r="B71" s="9" t="s">
        <v>90</v>
      </c>
      <c r="C71" s="64">
        <v>1402</v>
      </c>
      <c r="D71" s="64">
        <v>1453</v>
      </c>
      <c r="E71" s="64">
        <v>1389</v>
      </c>
      <c r="F71" s="64">
        <v>1359</v>
      </c>
      <c r="G71" s="64">
        <v>1376</v>
      </c>
      <c r="H71" s="64">
        <v>1341</v>
      </c>
      <c r="I71" s="64">
        <v>1294</v>
      </c>
      <c r="J71" s="64">
        <v>1396</v>
      </c>
      <c r="K71" s="64">
        <v>1596</v>
      </c>
      <c r="L71" s="64">
        <v>1728</v>
      </c>
      <c r="M71" s="64">
        <v>1822</v>
      </c>
      <c r="N71" s="64">
        <v>1848</v>
      </c>
      <c r="O71" s="64">
        <v>1814</v>
      </c>
      <c r="P71" s="64">
        <v>1773</v>
      </c>
      <c r="Q71" s="64">
        <v>1754</v>
      </c>
      <c r="R71" s="64">
        <v>1828</v>
      </c>
      <c r="S71" s="64">
        <v>1874</v>
      </c>
      <c r="T71" s="64">
        <v>1863</v>
      </c>
      <c r="U71" s="64">
        <v>1881</v>
      </c>
      <c r="V71" s="64">
        <v>1886</v>
      </c>
      <c r="W71" s="64">
        <v>1913</v>
      </c>
      <c r="X71" s="64">
        <v>2033</v>
      </c>
      <c r="Y71" s="64">
        <v>2041</v>
      </c>
      <c r="Z71" s="64">
        <v>1719</v>
      </c>
      <c r="AA71" s="64">
        <v>1571</v>
      </c>
      <c r="AB71" s="64">
        <v>1632</v>
      </c>
      <c r="AC71" s="64">
        <v>1670</v>
      </c>
      <c r="AD71" s="64">
        <v>1421</v>
      </c>
      <c r="AE71" s="145">
        <v>1316</v>
      </c>
      <c r="AF71" s="10"/>
    </row>
    <row r="72" spans="1:32" ht="15" customHeight="1" x14ac:dyDescent="0.25">
      <c r="A72" s="146">
        <v>90</v>
      </c>
      <c r="B72" s="12" t="s">
        <v>91</v>
      </c>
      <c r="C72" s="65">
        <v>37</v>
      </c>
      <c r="D72" s="65">
        <v>24</v>
      </c>
      <c r="E72" s="65">
        <v>25</v>
      </c>
      <c r="F72" s="65">
        <v>17</v>
      </c>
      <c r="G72" s="65">
        <v>23</v>
      </c>
      <c r="H72" s="65">
        <v>16</v>
      </c>
      <c r="I72" s="65">
        <v>14</v>
      </c>
      <c r="J72" s="65">
        <v>18</v>
      </c>
      <c r="K72" s="65">
        <v>22</v>
      </c>
      <c r="L72" s="65">
        <v>24</v>
      </c>
      <c r="M72" s="65">
        <v>26</v>
      </c>
      <c r="N72" s="65">
        <v>24</v>
      </c>
      <c r="O72" s="65">
        <v>20</v>
      </c>
      <c r="P72" s="65">
        <v>24</v>
      </c>
      <c r="Q72" s="65">
        <v>25</v>
      </c>
      <c r="R72" s="65">
        <v>33</v>
      </c>
      <c r="S72" s="65">
        <v>34</v>
      </c>
      <c r="T72" s="65">
        <v>27</v>
      </c>
      <c r="U72" s="65">
        <v>22</v>
      </c>
      <c r="V72" s="65">
        <v>26</v>
      </c>
      <c r="W72" s="65">
        <v>26</v>
      </c>
      <c r="X72" s="65">
        <v>29</v>
      </c>
      <c r="Y72" s="65">
        <v>32</v>
      </c>
      <c r="Z72" s="65">
        <v>29</v>
      </c>
      <c r="AA72" s="65">
        <v>28</v>
      </c>
      <c r="AB72" s="65">
        <v>33</v>
      </c>
      <c r="AC72" s="65">
        <v>31</v>
      </c>
      <c r="AD72" s="65">
        <v>27</v>
      </c>
      <c r="AE72" s="147">
        <v>25</v>
      </c>
    </row>
    <row r="73" spans="1:32" ht="15" customHeight="1" x14ac:dyDescent="0.25">
      <c r="A73" s="156">
        <v>91</v>
      </c>
      <c r="B73" s="17" t="s">
        <v>92</v>
      </c>
      <c r="C73" s="70">
        <v>460</v>
      </c>
      <c r="D73" s="70">
        <v>471</v>
      </c>
      <c r="E73" s="70">
        <v>465</v>
      </c>
      <c r="F73" s="70">
        <v>501</v>
      </c>
      <c r="G73" s="70">
        <v>503</v>
      </c>
      <c r="H73" s="70">
        <v>505</v>
      </c>
      <c r="I73" s="70">
        <v>499</v>
      </c>
      <c r="J73" s="70">
        <v>512</v>
      </c>
      <c r="K73" s="70">
        <v>524</v>
      </c>
      <c r="L73" s="70">
        <v>543</v>
      </c>
      <c r="M73" s="70">
        <v>575</v>
      </c>
      <c r="N73" s="70">
        <v>588</v>
      </c>
      <c r="O73" s="70">
        <v>586</v>
      </c>
      <c r="P73" s="70">
        <v>609</v>
      </c>
      <c r="Q73" s="70">
        <v>614</v>
      </c>
      <c r="R73" s="70">
        <v>636</v>
      </c>
      <c r="S73" s="70">
        <v>666</v>
      </c>
      <c r="T73" s="70">
        <v>677</v>
      </c>
      <c r="U73" s="70">
        <v>680</v>
      </c>
      <c r="V73" s="70">
        <v>698</v>
      </c>
      <c r="W73" s="70">
        <v>703</v>
      </c>
      <c r="X73" s="70">
        <v>695</v>
      </c>
      <c r="Y73" s="70">
        <v>682</v>
      </c>
      <c r="Z73" s="70">
        <v>663</v>
      </c>
      <c r="AA73" s="70">
        <v>647</v>
      </c>
      <c r="AB73" s="70">
        <v>641</v>
      </c>
      <c r="AC73" s="70">
        <v>623</v>
      </c>
      <c r="AD73" s="70">
        <v>595</v>
      </c>
      <c r="AE73" s="157">
        <v>576</v>
      </c>
    </row>
    <row r="74" spans="1:32" ht="15" customHeight="1" x14ac:dyDescent="0.25">
      <c r="A74" s="156">
        <v>92</v>
      </c>
      <c r="B74" s="17" t="s">
        <v>93</v>
      </c>
      <c r="C74" s="70">
        <v>175</v>
      </c>
      <c r="D74" s="70">
        <v>168</v>
      </c>
      <c r="E74" s="70">
        <v>164</v>
      </c>
      <c r="F74" s="70">
        <v>161</v>
      </c>
      <c r="G74" s="70">
        <v>151</v>
      </c>
      <c r="H74" s="70">
        <v>148</v>
      </c>
      <c r="I74" s="70">
        <v>137</v>
      </c>
      <c r="J74" s="70">
        <v>144</v>
      </c>
      <c r="K74" s="70">
        <v>166</v>
      </c>
      <c r="L74" s="70">
        <v>197</v>
      </c>
      <c r="M74" s="70">
        <v>211</v>
      </c>
      <c r="N74" s="70">
        <v>229</v>
      </c>
      <c r="O74" s="70">
        <v>243</v>
      </c>
      <c r="P74" s="70">
        <v>237</v>
      </c>
      <c r="Q74" s="70">
        <v>233</v>
      </c>
      <c r="R74" s="70">
        <v>257</v>
      </c>
      <c r="S74" s="70">
        <v>280</v>
      </c>
      <c r="T74" s="70">
        <v>305</v>
      </c>
      <c r="U74" s="70">
        <v>312</v>
      </c>
      <c r="V74" s="70">
        <v>312</v>
      </c>
      <c r="W74" s="70">
        <v>341</v>
      </c>
      <c r="X74" s="70">
        <v>373</v>
      </c>
      <c r="Y74" s="70">
        <v>373</v>
      </c>
      <c r="Z74" s="70">
        <v>292</v>
      </c>
      <c r="AA74" s="70">
        <v>264</v>
      </c>
      <c r="AB74" s="70">
        <v>283</v>
      </c>
      <c r="AC74" s="70">
        <v>311</v>
      </c>
      <c r="AD74" s="70">
        <v>260</v>
      </c>
      <c r="AE74" s="157">
        <v>244</v>
      </c>
    </row>
    <row r="75" spans="1:32" ht="15" customHeight="1" thickBot="1" x14ac:dyDescent="0.3">
      <c r="A75" s="158">
        <v>93</v>
      </c>
      <c r="B75" s="18" t="s">
        <v>94</v>
      </c>
      <c r="C75" s="76">
        <v>730</v>
      </c>
      <c r="D75" s="76">
        <v>790</v>
      </c>
      <c r="E75" s="76">
        <v>735</v>
      </c>
      <c r="F75" s="76">
        <v>680</v>
      </c>
      <c r="G75" s="76">
        <v>699</v>
      </c>
      <c r="H75" s="76">
        <v>672</v>
      </c>
      <c r="I75" s="76">
        <v>644</v>
      </c>
      <c r="J75" s="76">
        <v>722</v>
      </c>
      <c r="K75" s="76">
        <v>884</v>
      </c>
      <c r="L75" s="76">
        <v>964</v>
      </c>
      <c r="M75" s="76">
        <v>1010</v>
      </c>
      <c r="N75" s="76">
        <v>1007</v>
      </c>
      <c r="O75" s="76">
        <v>965</v>
      </c>
      <c r="P75" s="76">
        <v>903</v>
      </c>
      <c r="Q75" s="76">
        <v>882</v>
      </c>
      <c r="R75" s="76">
        <v>902</v>
      </c>
      <c r="S75" s="76">
        <v>894</v>
      </c>
      <c r="T75" s="76">
        <v>854</v>
      </c>
      <c r="U75" s="76">
        <v>867</v>
      </c>
      <c r="V75" s="76">
        <v>850</v>
      </c>
      <c r="W75" s="76">
        <v>843</v>
      </c>
      <c r="X75" s="76">
        <v>936</v>
      </c>
      <c r="Y75" s="76">
        <v>954</v>
      </c>
      <c r="Z75" s="76">
        <v>735</v>
      </c>
      <c r="AA75" s="76">
        <v>632</v>
      </c>
      <c r="AB75" s="76">
        <v>675</v>
      </c>
      <c r="AC75" s="76">
        <v>705</v>
      </c>
      <c r="AD75" s="76">
        <v>539</v>
      </c>
      <c r="AE75" s="165">
        <v>471</v>
      </c>
    </row>
    <row r="76" spans="1:32" s="23" customFormat="1" ht="15" customHeight="1" thickBot="1" x14ac:dyDescent="0.3">
      <c r="A76" s="166"/>
      <c r="B76" s="167" t="s">
        <v>95</v>
      </c>
      <c r="C76" s="168">
        <v>18090</v>
      </c>
      <c r="D76" s="168">
        <v>18305</v>
      </c>
      <c r="E76" s="168">
        <v>18152</v>
      </c>
      <c r="F76" s="168">
        <v>18208</v>
      </c>
      <c r="G76" s="168">
        <v>17954</v>
      </c>
      <c r="H76" s="168">
        <v>17238</v>
      </c>
      <c r="I76" s="168">
        <v>16322</v>
      </c>
      <c r="J76" s="168">
        <v>17603</v>
      </c>
      <c r="K76" s="168">
        <v>19553</v>
      </c>
      <c r="L76" s="168">
        <v>21249</v>
      </c>
      <c r="M76" s="168">
        <v>22639</v>
      </c>
      <c r="N76" s="168">
        <v>23908</v>
      </c>
      <c r="O76" s="168">
        <v>24683</v>
      </c>
      <c r="P76" s="168">
        <v>24819</v>
      </c>
      <c r="Q76" s="168">
        <v>25212</v>
      </c>
      <c r="R76" s="168">
        <v>26120</v>
      </c>
      <c r="S76" s="168">
        <v>26746</v>
      </c>
      <c r="T76" s="168">
        <v>27391</v>
      </c>
      <c r="U76" s="168">
        <v>27537</v>
      </c>
      <c r="V76" s="168">
        <v>27941</v>
      </c>
      <c r="W76" s="168">
        <v>28484</v>
      </c>
      <c r="X76" s="168">
        <v>29812</v>
      </c>
      <c r="Y76" s="168">
        <v>29954</v>
      </c>
      <c r="Z76" s="168">
        <v>26845</v>
      </c>
      <c r="AA76" s="168">
        <v>25290</v>
      </c>
      <c r="AB76" s="168">
        <v>26531</v>
      </c>
      <c r="AC76" s="168">
        <v>27933</v>
      </c>
      <c r="AD76" s="168">
        <v>24793</v>
      </c>
      <c r="AE76" s="169">
        <v>23944</v>
      </c>
      <c r="AF76" s="22"/>
    </row>
    <row r="77" spans="1:32" ht="12" customHeight="1" x14ac:dyDescent="0.25">
      <c r="A77" s="7"/>
      <c r="B77" s="7"/>
      <c r="C77" s="7"/>
      <c r="D77" s="7"/>
      <c r="E77" s="24"/>
      <c r="F77" s="7"/>
      <c r="G77" s="25"/>
      <c r="H77" s="7"/>
      <c r="I77" s="7"/>
      <c r="J77" s="7"/>
      <c r="K77" s="7"/>
      <c r="L77" s="7"/>
      <c r="M77" s="7"/>
      <c r="N77" s="7"/>
      <c r="O77" s="7"/>
      <c r="P77" s="7"/>
      <c r="Q77" s="7"/>
      <c r="R77" s="7"/>
      <c r="S77" s="7"/>
      <c r="T77" s="7"/>
      <c r="U77" s="7"/>
      <c r="V77" s="7"/>
      <c r="W77" s="7"/>
      <c r="X77" s="7"/>
      <c r="Y77" s="7"/>
      <c r="Z77" s="7"/>
      <c r="AA77" s="7"/>
      <c r="AB77" s="7"/>
      <c r="AC77" s="7"/>
      <c r="AD77" s="7"/>
      <c r="AE77" s="7"/>
    </row>
    <row r="78" spans="1:32" ht="11.25" x14ac:dyDescent="0.25">
      <c r="A78" s="307" t="s">
        <v>96</v>
      </c>
      <c r="B78" s="307"/>
      <c r="C78" s="277"/>
      <c r="D78" s="277"/>
      <c r="E78" s="277"/>
      <c r="F78" s="26"/>
      <c r="G78" s="26"/>
      <c r="H78" s="7"/>
      <c r="I78" s="7"/>
      <c r="J78" s="7"/>
      <c r="K78" s="7"/>
      <c r="L78" s="7"/>
      <c r="M78" s="7"/>
      <c r="N78" s="7"/>
      <c r="O78" s="7"/>
      <c r="P78" s="7"/>
      <c r="Q78" s="7"/>
      <c r="R78" s="7"/>
      <c r="S78" s="7"/>
      <c r="T78" s="7"/>
      <c r="U78" s="7"/>
      <c r="V78" s="7"/>
      <c r="W78" s="7"/>
      <c r="X78" s="7"/>
      <c r="Y78" s="7"/>
      <c r="Z78" s="7"/>
      <c r="AA78" s="7"/>
      <c r="AB78" s="7"/>
      <c r="AC78" s="7"/>
      <c r="AD78" s="7"/>
      <c r="AE78" s="7"/>
    </row>
    <row r="79" spans="1:32" ht="26.45" customHeight="1" x14ac:dyDescent="0.25">
      <c r="A79" s="307" t="s">
        <v>381</v>
      </c>
      <c r="B79" s="307"/>
      <c r="C79" s="307"/>
      <c r="D79" s="277"/>
      <c r="E79" s="277"/>
      <c r="F79" s="277"/>
      <c r="G79" s="277"/>
      <c r="H79" s="27"/>
      <c r="I79" s="27"/>
      <c r="J79" s="27"/>
      <c r="K79" s="27"/>
      <c r="L79" s="7"/>
      <c r="M79" s="7"/>
      <c r="N79" s="7"/>
      <c r="O79" s="7"/>
      <c r="P79" s="7"/>
      <c r="Q79" s="7"/>
      <c r="R79" s="7"/>
      <c r="S79" s="7"/>
      <c r="T79" s="7"/>
      <c r="U79" s="7"/>
      <c r="V79" s="7"/>
      <c r="W79" s="7"/>
      <c r="X79" s="7"/>
      <c r="Y79" s="7"/>
      <c r="Z79" s="7"/>
      <c r="AA79" s="7"/>
      <c r="AB79" s="7"/>
      <c r="AC79" s="7"/>
      <c r="AD79" s="7"/>
      <c r="AE79" s="7"/>
    </row>
    <row r="80" spans="1:32" ht="26.45" customHeight="1" x14ac:dyDescent="0.25">
      <c r="A80" s="307" t="s">
        <v>382</v>
      </c>
      <c r="B80" s="307"/>
      <c r="C80" s="307"/>
      <c r="D80" s="277"/>
      <c r="E80" s="277"/>
      <c r="F80" s="277"/>
      <c r="G80" s="277"/>
      <c r="H80" s="27"/>
      <c r="I80" s="27"/>
      <c r="J80" s="27"/>
      <c r="K80" s="27"/>
      <c r="L80" s="7"/>
      <c r="M80" s="7"/>
      <c r="N80" s="7"/>
      <c r="O80" s="7"/>
      <c r="P80" s="7"/>
      <c r="Q80" s="7"/>
      <c r="R80" s="7"/>
      <c r="S80" s="7"/>
      <c r="T80" s="7"/>
      <c r="U80" s="7"/>
      <c r="V80" s="7"/>
      <c r="W80" s="7"/>
      <c r="X80" s="7"/>
      <c r="Y80" s="7"/>
      <c r="Z80" s="7"/>
      <c r="AA80" s="7"/>
      <c r="AB80" s="7"/>
      <c r="AC80" s="7"/>
      <c r="AD80" s="7"/>
      <c r="AE80" s="7"/>
    </row>
    <row r="81" spans="1:31" ht="26.45" customHeight="1" x14ac:dyDescent="0.25">
      <c r="A81" s="307" t="s">
        <v>151</v>
      </c>
      <c r="B81" s="307"/>
      <c r="C81" s="307"/>
      <c r="D81" s="277"/>
      <c r="E81" s="277"/>
      <c r="F81" s="277"/>
      <c r="G81" s="277"/>
      <c r="H81" s="27"/>
      <c r="I81" s="27"/>
      <c r="J81" s="27"/>
      <c r="K81" s="27"/>
      <c r="L81" s="7"/>
      <c r="M81" s="7"/>
      <c r="N81" s="7"/>
      <c r="O81" s="7"/>
      <c r="P81" s="7"/>
      <c r="Q81" s="7"/>
      <c r="R81" s="7"/>
      <c r="S81" s="7"/>
      <c r="T81" s="7"/>
      <c r="U81" s="7"/>
      <c r="V81" s="7"/>
      <c r="W81" s="7"/>
      <c r="X81" s="7"/>
      <c r="Y81" s="7"/>
      <c r="Z81" s="7"/>
      <c r="AA81" s="7"/>
      <c r="AB81" s="7"/>
      <c r="AC81" s="7"/>
      <c r="AD81" s="7"/>
      <c r="AE81" s="7"/>
    </row>
    <row r="82" spans="1:31" s="29" customFormat="1" ht="46.5" customHeight="1" x14ac:dyDescent="0.25">
      <c r="A82" s="307" t="s">
        <v>384</v>
      </c>
      <c r="B82" s="307"/>
      <c r="C82" s="307"/>
      <c r="D82" s="307"/>
      <c r="E82" s="307"/>
      <c r="F82" s="307"/>
      <c r="G82" s="307"/>
      <c r="H82" s="28"/>
      <c r="I82" s="28"/>
      <c r="J82" s="28"/>
    </row>
    <row r="83" spans="1:31" ht="19.899999999999999" customHeight="1" x14ac:dyDescent="0.25">
      <c r="A83" s="276"/>
      <c r="B83" s="276"/>
      <c r="C83" s="276"/>
      <c r="D83" s="276"/>
      <c r="E83" s="276"/>
      <c r="F83" s="276"/>
      <c r="G83" s="276"/>
      <c r="H83" s="28"/>
      <c r="I83" s="28"/>
      <c r="J83" s="28"/>
      <c r="K83" s="7"/>
      <c r="L83" s="7"/>
      <c r="M83" s="7"/>
      <c r="N83" s="7"/>
      <c r="O83" s="7"/>
      <c r="P83" s="7"/>
      <c r="Q83" s="7"/>
      <c r="R83" s="7"/>
      <c r="S83" s="7"/>
      <c r="T83" s="7"/>
      <c r="U83" s="7"/>
      <c r="V83" s="7"/>
      <c r="W83" s="7"/>
      <c r="X83" s="7"/>
      <c r="Y83" s="7"/>
      <c r="Z83" s="7"/>
      <c r="AA83" s="7"/>
      <c r="AB83" s="7"/>
      <c r="AC83" s="7"/>
      <c r="AD83" s="7"/>
      <c r="AE83" s="7"/>
    </row>
    <row r="84" spans="1:31" ht="6.75" customHeight="1" x14ac:dyDescent="0.25">
      <c r="A84" s="7"/>
      <c r="B84" s="7"/>
      <c r="C84" s="7"/>
      <c r="D84" s="7"/>
      <c r="E84" s="7"/>
      <c r="F84" s="7"/>
      <c r="G84" s="7"/>
      <c r="H84" s="7"/>
      <c r="I84" s="7"/>
      <c r="J84" s="7"/>
      <c r="K84" s="7"/>
      <c r="L84" s="7"/>
      <c r="M84" s="7"/>
      <c r="N84" s="7"/>
      <c r="O84" s="7"/>
      <c r="P84" s="7"/>
      <c r="Q84" s="7"/>
      <c r="R84" s="7"/>
      <c r="S84" s="7"/>
      <c r="T84" s="7"/>
      <c r="U84" s="7"/>
      <c r="V84" s="7"/>
      <c r="W84" s="7"/>
      <c r="X84" s="7"/>
      <c r="Y84" s="7"/>
      <c r="Z84" s="7"/>
      <c r="AA84" s="7"/>
      <c r="AB84" s="7"/>
      <c r="AC84" s="7"/>
      <c r="AD84" s="7"/>
      <c r="AE84" s="7"/>
    </row>
    <row r="85" spans="1:31" ht="0" hidden="1" customHeight="1" x14ac:dyDescent="0.25"/>
    <row r="86" spans="1:31" ht="0" hidden="1" customHeight="1" x14ac:dyDescent="0.25"/>
    <row r="87" spans="1:31" ht="0" hidden="1" customHeight="1" x14ac:dyDescent="0.25"/>
    <row r="88" spans="1:31" ht="0" hidden="1" customHeight="1" x14ac:dyDescent="0.25"/>
    <row r="89" spans="1:31" ht="0" hidden="1" customHeight="1" x14ac:dyDescent="0.25"/>
    <row r="90" spans="1:31" ht="0" hidden="1" customHeight="1" x14ac:dyDescent="0.25"/>
    <row r="91" spans="1:31" ht="0" hidden="1" customHeight="1" x14ac:dyDescent="0.25"/>
    <row r="92" spans="1:31" ht="0" hidden="1" customHeight="1" x14ac:dyDescent="0.25"/>
    <row r="93" spans="1:31" ht="0" hidden="1" customHeight="1" x14ac:dyDescent="0.25"/>
    <row r="94" spans="1:31" ht="0" hidden="1" customHeight="1" x14ac:dyDescent="0.25"/>
  </sheetData>
  <mergeCells count="37">
    <mergeCell ref="A80:C80"/>
    <mergeCell ref="A81:C81"/>
    <mergeCell ref="A78:B78"/>
    <mergeCell ref="N4:N5"/>
    <mergeCell ref="O4:O5"/>
    <mergeCell ref="L4:L5"/>
    <mergeCell ref="M4:M5"/>
    <mergeCell ref="I4:I5"/>
    <mergeCell ref="J4:J5"/>
    <mergeCell ref="H4:H5"/>
    <mergeCell ref="A82:G82"/>
    <mergeCell ref="AE4:AE5"/>
    <mergeCell ref="Y4:Y5"/>
    <mergeCell ref="AB4:AB5"/>
    <mergeCell ref="Z4:Z5"/>
    <mergeCell ref="A79:C79"/>
    <mergeCell ref="X4:X5"/>
    <mergeCell ref="S4:S5"/>
    <mergeCell ref="T4:T5"/>
    <mergeCell ref="P4:P5"/>
    <mergeCell ref="U4:U5"/>
    <mergeCell ref="V4:V5"/>
    <mergeCell ref="W4:W5"/>
    <mergeCell ref="F4:F5"/>
    <mergeCell ref="K4:K5"/>
    <mergeCell ref="G4:G5"/>
    <mergeCell ref="AD4:AD5"/>
    <mergeCell ref="A2:C2"/>
    <mergeCell ref="B4:B5"/>
    <mergeCell ref="C4:C5"/>
    <mergeCell ref="D4:D5"/>
    <mergeCell ref="E4:E5"/>
    <mergeCell ref="A4:A5"/>
    <mergeCell ref="AC4:AC5"/>
    <mergeCell ref="AA4:AA5"/>
    <mergeCell ref="Q4:Q5"/>
    <mergeCell ref="R4:R5"/>
  </mergeCells>
  <pageMargins left="0.74803149606299213" right="0.74803149606299213" top="0.98425196850393704" bottom="0.98425196850393704" header="0" footer="0"/>
  <pageSetup paperSize="9" scale="65" fitToWidth="19" orientation="portrait" r:id="rId1"/>
  <headerFooter alignWithMargins="0"/>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8"/>
  <dimension ref="A1:DW94"/>
  <sheetViews>
    <sheetView zoomScale="115" zoomScaleNormal="115" workbookViewId="0">
      <pane xSplit="2" ySplit="5" topLeftCell="C6" activePane="bottomRight" state="frozen"/>
      <selection activeCell="C6" sqref="C6"/>
      <selection pane="topRight" activeCell="C6" sqref="C6"/>
      <selection pane="bottomLeft" activeCell="C6" sqref="C6"/>
      <selection pane="bottomRight" activeCell="C6" sqref="C6"/>
    </sheetView>
  </sheetViews>
  <sheetFormatPr baseColWidth="10" defaultColWidth="0" defaultRowHeight="0" customHeight="1" zeroHeight="1" x14ac:dyDescent="0.25"/>
  <cols>
    <col min="1" max="1" width="5.7109375" style="8" customWidth="1"/>
    <col min="2" max="2" width="62.7109375" style="8" customWidth="1"/>
    <col min="3" max="4" width="11.140625" style="30" customWidth="1"/>
    <col min="5" max="6" width="11.140625" style="8" customWidth="1"/>
    <col min="7" max="7" width="11.140625" style="31" customWidth="1"/>
    <col min="8" max="31" width="11.140625" style="8" customWidth="1"/>
    <col min="32" max="32" width="4.28515625" style="7" customWidth="1"/>
    <col min="33" max="127" width="0" style="8" hidden="1" customWidth="1"/>
    <col min="128" max="16384" width="11.140625" style="8" hidden="1"/>
  </cols>
  <sheetData>
    <row r="1" spans="1:32" s="5" customFormat="1" ht="25.5" customHeight="1" thickBot="1" x14ac:dyDescent="0.25">
      <c r="A1" s="1"/>
      <c r="B1" s="2"/>
      <c r="C1" s="3"/>
      <c r="D1" s="172" t="s">
        <v>0</v>
      </c>
      <c r="E1" s="171"/>
      <c r="F1" s="171"/>
      <c r="G1" s="173"/>
      <c r="H1" s="171"/>
      <c r="I1" s="171"/>
      <c r="J1" s="171"/>
      <c r="K1" s="171"/>
      <c r="L1" s="171"/>
      <c r="M1" s="171"/>
      <c r="N1" s="171"/>
      <c r="O1" s="171"/>
      <c r="P1" s="171"/>
      <c r="Q1" s="171"/>
      <c r="R1" s="171"/>
      <c r="S1" s="171"/>
      <c r="T1" s="171"/>
      <c r="U1" s="171"/>
      <c r="V1" s="171"/>
      <c r="W1" s="171"/>
      <c r="X1" s="171"/>
      <c r="Y1" s="171"/>
      <c r="Z1" s="171"/>
      <c r="AA1" s="171"/>
      <c r="AB1" s="171"/>
      <c r="AC1" s="171"/>
      <c r="AD1" s="171"/>
      <c r="AE1" s="171"/>
      <c r="AF1" s="2"/>
    </row>
    <row r="2" spans="1:32" s="7" customFormat="1" ht="22.5" customHeight="1" thickBot="1" x14ac:dyDescent="0.3">
      <c r="A2" s="303" t="s">
        <v>109</v>
      </c>
      <c r="B2" s="304"/>
      <c r="C2" s="304"/>
      <c r="D2" s="140"/>
      <c r="E2" s="140"/>
      <c r="F2" s="140"/>
      <c r="G2" s="140"/>
      <c r="H2" s="140"/>
      <c r="I2" s="140"/>
      <c r="J2" s="140"/>
      <c r="K2" s="140"/>
      <c r="L2" s="140"/>
      <c r="M2" s="140"/>
      <c r="N2" s="140"/>
      <c r="O2" s="140"/>
      <c r="P2" s="140"/>
      <c r="Q2" s="140"/>
      <c r="R2" s="140"/>
      <c r="S2" s="140"/>
      <c r="T2" s="140"/>
      <c r="U2" s="140"/>
      <c r="V2" s="140"/>
      <c r="W2" s="140"/>
      <c r="X2" s="140"/>
      <c r="Y2" s="140"/>
      <c r="Z2" s="140"/>
      <c r="AA2" s="140"/>
      <c r="AB2" s="140"/>
      <c r="AC2" s="140"/>
      <c r="AD2" s="140"/>
      <c r="AE2" s="141"/>
    </row>
    <row r="3" spans="1:32" ht="16.5" customHeight="1" thickBot="1" x14ac:dyDescent="0.25">
      <c r="A3" s="142" t="s">
        <v>299</v>
      </c>
      <c r="B3" s="57"/>
      <c r="C3" s="57"/>
      <c r="D3" s="58"/>
      <c r="E3" s="58"/>
      <c r="F3" s="58"/>
      <c r="G3" s="58"/>
      <c r="H3" s="59"/>
      <c r="I3" s="59"/>
      <c r="J3" s="59"/>
      <c r="K3" s="59"/>
      <c r="L3" s="59"/>
      <c r="M3" s="59"/>
      <c r="N3" s="59"/>
      <c r="O3" s="59"/>
      <c r="P3" s="59"/>
      <c r="Q3" s="59"/>
      <c r="R3" s="59"/>
      <c r="S3" s="59"/>
      <c r="T3" s="59"/>
      <c r="U3" s="59"/>
      <c r="V3" s="59"/>
      <c r="W3" s="59"/>
      <c r="X3" s="59"/>
      <c r="Y3" s="59"/>
      <c r="Z3" s="59"/>
      <c r="AA3" s="59"/>
      <c r="AB3" s="59"/>
      <c r="AC3" s="59"/>
      <c r="AD3" s="59"/>
      <c r="AE3" s="143"/>
    </row>
    <row r="4" spans="1:32" ht="15.75" customHeight="1" x14ac:dyDescent="0.25">
      <c r="A4" s="310"/>
      <c r="B4" s="308" t="s">
        <v>2</v>
      </c>
      <c r="C4" s="301">
        <v>1996</v>
      </c>
      <c r="D4" s="301">
        <v>1997</v>
      </c>
      <c r="E4" s="301">
        <v>1998</v>
      </c>
      <c r="F4" s="301">
        <v>1999</v>
      </c>
      <c r="G4" s="301">
        <v>2000</v>
      </c>
      <c r="H4" s="301">
        <v>2001</v>
      </c>
      <c r="I4" s="301">
        <v>2002</v>
      </c>
      <c r="J4" s="301">
        <v>2003</v>
      </c>
      <c r="K4" s="301">
        <v>2004</v>
      </c>
      <c r="L4" s="301">
        <v>2005</v>
      </c>
      <c r="M4" s="301">
        <v>2006</v>
      </c>
      <c r="N4" s="301">
        <v>2007</v>
      </c>
      <c r="O4" s="301">
        <v>2008</v>
      </c>
      <c r="P4" s="301">
        <v>2009</v>
      </c>
      <c r="Q4" s="301">
        <v>2010</v>
      </c>
      <c r="R4" s="301">
        <v>2011</v>
      </c>
      <c r="S4" s="301">
        <v>2012</v>
      </c>
      <c r="T4" s="301">
        <v>2013</v>
      </c>
      <c r="U4" s="301">
        <v>2014</v>
      </c>
      <c r="V4" s="301">
        <v>2015</v>
      </c>
      <c r="W4" s="301">
        <v>2016</v>
      </c>
      <c r="X4" s="301">
        <v>2017</v>
      </c>
      <c r="Y4" s="301">
        <v>2018</v>
      </c>
      <c r="Z4" s="301">
        <v>2019</v>
      </c>
      <c r="AA4" s="301">
        <v>2020</v>
      </c>
      <c r="AB4" s="301">
        <v>2021</v>
      </c>
      <c r="AC4" s="301">
        <v>2022</v>
      </c>
      <c r="AD4" s="301">
        <v>2023</v>
      </c>
      <c r="AE4" s="299">
        <v>2024</v>
      </c>
    </row>
    <row r="5" spans="1:32" ht="15.75" customHeight="1" thickBot="1" x14ac:dyDescent="0.3">
      <c r="A5" s="311"/>
      <c r="B5" s="309"/>
      <c r="C5" s="302"/>
      <c r="D5" s="302" t="s">
        <v>3</v>
      </c>
      <c r="E5" s="302"/>
      <c r="F5" s="302" t="s">
        <v>4</v>
      </c>
      <c r="G5" s="302"/>
      <c r="H5" s="302" t="s">
        <v>5</v>
      </c>
      <c r="I5" s="302"/>
      <c r="J5" s="302" t="s">
        <v>6</v>
      </c>
      <c r="K5" s="302"/>
      <c r="L5" s="302" t="s">
        <v>7</v>
      </c>
      <c r="M5" s="302"/>
      <c r="N5" s="302" t="s">
        <v>8</v>
      </c>
      <c r="O5" s="302"/>
      <c r="P5" s="302" t="s">
        <v>9</v>
      </c>
      <c r="Q5" s="302"/>
      <c r="R5" s="302" t="s">
        <v>10</v>
      </c>
      <c r="S5" s="302"/>
      <c r="T5" s="302"/>
      <c r="U5" s="302"/>
      <c r="V5" s="302"/>
      <c r="W5" s="302"/>
      <c r="X5" s="302"/>
      <c r="Y5" s="302"/>
      <c r="Z5" s="302"/>
      <c r="AA5" s="302"/>
      <c r="AB5" s="302"/>
      <c r="AC5" s="302"/>
      <c r="AD5" s="302"/>
      <c r="AE5" s="300"/>
    </row>
    <row r="6" spans="1:32" s="11" customFormat="1" ht="15" customHeight="1" thickBot="1" x14ac:dyDescent="0.3">
      <c r="A6" s="144" t="s">
        <v>11</v>
      </c>
      <c r="B6" s="9" t="s">
        <v>12</v>
      </c>
      <c r="C6" s="64">
        <v>1389</v>
      </c>
      <c r="D6" s="64">
        <v>1338</v>
      </c>
      <c r="E6" s="64">
        <v>1281</v>
      </c>
      <c r="F6" s="64">
        <v>1276</v>
      </c>
      <c r="G6" s="64">
        <v>1253</v>
      </c>
      <c r="H6" s="64">
        <v>1169</v>
      </c>
      <c r="I6" s="64">
        <v>1056</v>
      </c>
      <c r="J6" s="64">
        <v>1116</v>
      </c>
      <c r="K6" s="64">
        <v>1227</v>
      </c>
      <c r="L6" s="64">
        <v>1321</v>
      </c>
      <c r="M6" s="64">
        <v>1420</v>
      </c>
      <c r="N6" s="64">
        <v>1470</v>
      </c>
      <c r="O6" s="64">
        <v>1488</v>
      </c>
      <c r="P6" s="64">
        <v>1504</v>
      </c>
      <c r="Q6" s="64">
        <v>1458</v>
      </c>
      <c r="R6" s="64">
        <v>1414</v>
      </c>
      <c r="S6" s="64">
        <v>1390</v>
      </c>
      <c r="T6" s="64">
        <v>1409</v>
      </c>
      <c r="U6" s="64">
        <v>1413</v>
      </c>
      <c r="V6" s="64">
        <v>1537</v>
      </c>
      <c r="W6" s="64">
        <v>1591</v>
      </c>
      <c r="X6" s="64">
        <v>1690</v>
      </c>
      <c r="Y6" s="64">
        <v>1728</v>
      </c>
      <c r="Z6" s="64">
        <v>1709</v>
      </c>
      <c r="AA6" s="64">
        <v>1719</v>
      </c>
      <c r="AB6" s="64">
        <v>1788</v>
      </c>
      <c r="AC6" s="64">
        <v>1810</v>
      </c>
      <c r="AD6" s="64">
        <v>1761</v>
      </c>
      <c r="AE6" s="145">
        <v>1700</v>
      </c>
      <c r="AF6" s="10"/>
    </row>
    <row r="7" spans="1:32" ht="15" customHeight="1" x14ac:dyDescent="0.25">
      <c r="A7" s="146">
        <v>1</v>
      </c>
      <c r="B7" s="12" t="s">
        <v>13</v>
      </c>
      <c r="C7" s="68">
        <v>1153</v>
      </c>
      <c r="D7" s="68">
        <v>1093</v>
      </c>
      <c r="E7" s="68">
        <v>1031</v>
      </c>
      <c r="F7" s="68">
        <v>1013</v>
      </c>
      <c r="G7" s="68">
        <v>993</v>
      </c>
      <c r="H7" s="68">
        <v>904</v>
      </c>
      <c r="I7" s="68">
        <v>803</v>
      </c>
      <c r="J7" s="68">
        <v>855</v>
      </c>
      <c r="K7" s="68">
        <v>942</v>
      </c>
      <c r="L7" s="68">
        <v>1021</v>
      </c>
      <c r="M7" s="68">
        <v>1102</v>
      </c>
      <c r="N7" s="68">
        <v>1148</v>
      </c>
      <c r="O7" s="68">
        <v>1168</v>
      </c>
      <c r="P7" s="68">
        <v>1198</v>
      </c>
      <c r="Q7" s="68">
        <v>1168</v>
      </c>
      <c r="R7" s="68">
        <v>1131</v>
      </c>
      <c r="S7" s="68">
        <v>1113</v>
      </c>
      <c r="T7" s="68">
        <v>1147</v>
      </c>
      <c r="U7" s="68">
        <v>1171</v>
      </c>
      <c r="V7" s="68">
        <v>1298</v>
      </c>
      <c r="W7" s="68">
        <v>1350</v>
      </c>
      <c r="X7" s="68">
        <v>1448</v>
      </c>
      <c r="Y7" s="68">
        <v>1499</v>
      </c>
      <c r="Z7" s="68">
        <v>1491</v>
      </c>
      <c r="AA7" s="68">
        <v>1507</v>
      </c>
      <c r="AB7" s="68">
        <v>1581</v>
      </c>
      <c r="AC7" s="68">
        <v>1608</v>
      </c>
      <c r="AD7" s="68">
        <v>1559</v>
      </c>
      <c r="AE7" s="147">
        <v>1513</v>
      </c>
    </row>
    <row r="8" spans="1:32" ht="15" customHeight="1" thickBot="1" x14ac:dyDescent="0.3">
      <c r="A8" s="148">
        <v>2</v>
      </c>
      <c r="B8" s="13" t="s">
        <v>14</v>
      </c>
      <c r="C8" s="69">
        <v>236</v>
      </c>
      <c r="D8" s="69">
        <v>245</v>
      </c>
      <c r="E8" s="69">
        <v>250</v>
      </c>
      <c r="F8" s="69">
        <v>263</v>
      </c>
      <c r="G8" s="69">
        <v>260</v>
      </c>
      <c r="H8" s="69">
        <v>265</v>
      </c>
      <c r="I8" s="69">
        <v>253</v>
      </c>
      <c r="J8" s="69">
        <v>261</v>
      </c>
      <c r="K8" s="69">
        <v>285</v>
      </c>
      <c r="L8" s="69">
        <v>300</v>
      </c>
      <c r="M8" s="69">
        <v>318</v>
      </c>
      <c r="N8" s="69">
        <v>322</v>
      </c>
      <c r="O8" s="69">
        <v>320</v>
      </c>
      <c r="P8" s="69">
        <v>306</v>
      </c>
      <c r="Q8" s="69">
        <v>290</v>
      </c>
      <c r="R8" s="69">
        <v>283</v>
      </c>
      <c r="S8" s="69">
        <v>277</v>
      </c>
      <c r="T8" s="69">
        <v>262</v>
      </c>
      <c r="U8" s="69">
        <v>242</v>
      </c>
      <c r="V8" s="69">
        <v>239</v>
      </c>
      <c r="W8" s="69">
        <v>241</v>
      </c>
      <c r="X8" s="69">
        <v>242</v>
      </c>
      <c r="Y8" s="69">
        <v>229</v>
      </c>
      <c r="Z8" s="69">
        <v>218</v>
      </c>
      <c r="AA8" s="69">
        <v>212</v>
      </c>
      <c r="AB8" s="69">
        <v>207</v>
      </c>
      <c r="AC8" s="69">
        <v>202</v>
      </c>
      <c r="AD8" s="69">
        <v>202</v>
      </c>
      <c r="AE8" s="149">
        <v>187</v>
      </c>
    </row>
    <row r="9" spans="1:32" s="11" customFormat="1" ht="15" customHeight="1" thickBot="1" x14ac:dyDescent="0.3">
      <c r="A9" s="144" t="s">
        <v>15</v>
      </c>
      <c r="B9" s="9" t="s">
        <v>16</v>
      </c>
      <c r="C9" s="64" t="s">
        <v>383</v>
      </c>
      <c r="D9" s="64" t="s">
        <v>383</v>
      </c>
      <c r="E9" s="64" t="s">
        <v>383</v>
      </c>
      <c r="F9" s="64" t="s">
        <v>383</v>
      </c>
      <c r="G9" s="64" t="s">
        <v>383</v>
      </c>
      <c r="H9" s="64" t="s">
        <v>383</v>
      </c>
      <c r="I9" s="64">
        <v>4</v>
      </c>
      <c r="J9" s="64">
        <v>4</v>
      </c>
      <c r="K9" s="64">
        <v>4</v>
      </c>
      <c r="L9" s="64" t="s">
        <v>383</v>
      </c>
      <c r="M9" s="64" t="s">
        <v>383</v>
      </c>
      <c r="N9" s="64" t="s">
        <v>383</v>
      </c>
      <c r="O9" s="64" t="s">
        <v>383</v>
      </c>
      <c r="P9" s="64" t="s">
        <v>383</v>
      </c>
      <c r="Q9" s="64" t="s">
        <v>383</v>
      </c>
      <c r="R9" s="64" t="s">
        <v>383</v>
      </c>
      <c r="S9" s="64" t="s">
        <v>383</v>
      </c>
      <c r="T9" s="64" t="s">
        <v>383</v>
      </c>
      <c r="U9" s="64">
        <v>4</v>
      </c>
      <c r="V9" s="64" t="s">
        <v>383</v>
      </c>
      <c r="W9" s="64" t="s">
        <v>383</v>
      </c>
      <c r="X9" s="64" t="s">
        <v>383</v>
      </c>
      <c r="Y9" s="64" t="s">
        <v>383</v>
      </c>
      <c r="Z9" s="64" t="s">
        <v>383</v>
      </c>
      <c r="AA9" s="64" t="s">
        <v>383</v>
      </c>
      <c r="AB9" s="64" t="s">
        <v>383</v>
      </c>
      <c r="AC9" s="64" t="s">
        <v>383</v>
      </c>
      <c r="AD9" s="64" t="s">
        <v>383</v>
      </c>
      <c r="AE9" s="145" t="s">
        <v>383</v>
      </c>
      <c r="AF9" s="10"/>
    </row>
    <row r="10" spans="1:32" ht="15" customHeight="1" thickBot="1" x14ac:dyDescent="0.3">
      <c r="A10" s="150">
        <v>5</v>
      </c>
      <c r="B10" s="14" t="s">
        <v>17</v>
      </c>
      <c r="C10" s="67" t="s">
        <v>383</v>
      </c>
      <c r="D10" s="67" t="s">
        <v>383</v>
      </c>
      <c r="E10" s="67" t="s">
        <v>383</v>
      </c>
      <c r="F10" s="67" t="s">
        <v>383</v>
      </c>
      <c r="G10" s="67" t="s">
        <v>383</v>
      </c>
      <c r="H10" s="67" t="s">
        <v>383</v>
      </c>
      <c r="I10" s="67">
        <v>4</v>
      </c>
      <c r="J10" s="67">
        <v>4</v>
      </c>
      <c r="K10" s="67">
        <v>4</v>
      </c>
      <c r="L10" s="67" t="s">
        <v>383</v>
      </c>
      <c r="M10" s="67" t="s">
        <v>383</v>
      </c>
      <c r="N10" s="67" t="s">
        <v>383</v>
      </c>
      <c r="O10" s="67" t="s">
        <v>383</v>
      </c>
      <c r="P10" s="67" t="s">
        <v>383</v>
      </c>
      <c r="Q10" s="67" t="s">
        <v>383</v>
      </c>
      <c r="R10" s="67" t="s">
        <v>383</v>
      </c>
      <c r="S10" s="67" t="s">
        <v>383</v>
      </c>
      <c r="T10" s="67" t="s">
        <v>383</v>
      </c>
      <c r="U10" s="67">
        <v>4</v>
      </c>
      <c r="V10" s="67" t="s">
        <v>383</v>
      </c>
      <c r="W10" s="67" t="s">
        <v>383</v>
      </c>
      <c r="X10" s="67" t="s">
        <v>383</v>
      </c>
      <c r="Y10" s="67" t="s">
        <v>383</v>
      </c>
      <c r="Z10" s="67" t="s">
        <v>383</v>
      </c>
      <c r="AA10" s="67" t="s">
        <v>383</v>
      </c>
      <c r="AB10" s="67" t="s">
        <v>383</v>
      </c>
      <c r="AC10" s="67" t="s">
        <v>383</v>
      </c>
      <c r="AD10" s="67" t="s">
        <v>383</v>
      </c>
      <c r="AE10" s="151" t="s">
        <v>383</v>
      </c>
    </row>
    <row r="11" spans="1:32" s="11" customFormat="1" ht="15" customHeight="1" thickBot="1" x14ac:dyDescent="0.3">
      <c r="A11" s="144" t="s">
        <v>18</v>
      </c>
      <c r="B11" s="9" t="s">
        <v>19</v>
      </c>
      <c r="C11" s="64">
        <v>20</v>
      </c>
      <c r="D11" s="64">
        <v>22</v>
      </c>
      <c r="E11" s="64">
        <v>18</v>
      </c>
      <c r="F11" s="64">
        <v>18</v>
      </c>
      <c r="G11" s="64">
        <v>21</v>
      </c>
      <c r="H11" s="64">
        <v>22</v>
      </c>
      <c r="I11" s="64">
        <v>12</v>
      </c>
      <c r="J11" s="64">
        <v>15</v>
      </c>
      <c r="K11" s="64">
        <v>15</v>
      </c>
      <c r="L11" s="64">
        <v>18</v>
      </c>
      <c r="M11" s="64">
        <v>20</v>
      </c>
      <c r="N11" s="64">
        <v>22</v>
      </c>
      <c r="O11" s="64">
        <v>24</v>
      </c>
      <c r="P11" s="64">
        <v>24</v>
      </c>
      <c r="Q11" s="64">
        <v>26</v>
      </c>
      <c r="R11" s="64">
        <v>25</v>
      </c>
      <c r="S11" s="64">
        <v>28</v>
      </c>
      <c r="T11" s="64">
        <v>38</v>
      </c>
      <c r="U11" s="64">
        <v>35</v>
      </c>
      <c r="V11" s="64">
        <v>37</v>
      </c>
      <c r="W11" s="64">
        <v>32</v>
      </c>
      <c r="X11" s="64">
        <v>30</v>
      </c>
      <c r="Y11" s="64">
        <v>30</v>
      </c>
      <c r="Z11" s="64">
        <v>28</v>
      </c>
      <c r="AA11" s="64">
        <v>27</v>
      </c>
      <c r="AB11" s="64">
        <v>27</v>
      </c>
      <c r="AC11" s="64">
        <v>28</v>
      </c>
      <c r="AD11" s="64">
        <v>27</v>
      </c>
      <c r="AE11" s="145">
        <v>26</v>
      </c>
      <c r="AF11" s="10"/>
    </row>
    <row r="12" spans="1:32" ht="15" customHeight="1" x14ac:dyDescent="0.25">
      <c r="A12" s="152">
        <v>11</v>
      </c>
      <c r="B12" s="15" t="s">
        <v>20</v>
      </c>
      <c r="C12" s="68">
        <v>6</v>
      </c>
      <c r="D12" s="68">
        <v>4</v>
      </c>
      <c r="E12" s="68" t="s">
        <v>383</v>
      </c>
      <c r="F12" s="68" t="s">
        <v>383</v>
      </c>
      <c r="G12" s="68">
        <v>4</v>
      </c>
      <c r="H12" s="68">
        <v>6</v>
      </c>
      <c r="I12" s="68" t="s">
        <v>383</v>
      </c>
      <c r="J12" s="68" t="s">
        <v>383</v>
      </c>
      <c r="K12" s="68" t="s">
        <v>383</v>
      </c>
      <c r="L12" s="68" t="s">
        <v>383</v>
      </c>
      <c r="M12" s="68" t="s">
        <v>383</v>
      </c>
      <c r="N12" s="68" t="s">
        <v>383</v>
      </c>
      <c r="O12" s="68" t="s">
        <v>383</v>
      </c>
      <c r="P12" s="68" t="s">
        <v>383</v>
      </c>
      <c r="Q12" s="68" t="s">
        <v>383</v>
      </c>
      <c r="R12" s="68" t="s">
        <v>383</v>
      </c>
      <c r="S12" s="68" t="s">
        <v>383</v>
      </c>
      <c r="T12" s="68" t="s">
        <v>383</v>
      </c>
      <c r="U12" s="68" t="s">
        <v>383</v>
      </c>
      <c r="V12" s="68" t="s">
        <v>383</v>
      </c>
      <c r="W12" s="68" t="s">
        <v>383</v>
      </c>
      <c r="X12" s="68" t="s">
        <v>383</v>
      </c>
      <c r="Y12" s="68" t="s">
        <v>383</v>
      </c>
      <c r="Z12" s="68" t="s">
        <v>383</v>
      </c>
      <c r="AA12" s="68" t="s">
        <v>383</v>
      </c>
      <c r="AB12" s="68" t="s">
        <v>383</v>
      </c>
      <c r="AC12" s="68" t="s">
        <v>383</v>
      </c>
      <c r="AD12" s="68" t="s">
        <v>383</v>
      </c>
      <c r="AE12" s="153" t="s">
        <v>383</v>
      </c>
    </row>
    <row r="13" spans="1:32" ht="15" customHeight="1" x14ac:dyDescent="0.25">
      <c r="A13" s="154">
        <v>13</v>
      </c>
      <c r="B13" s="16" t="s">
        <v>21</v>
      </c>
      <c r="C13" s="69">
        <v>0</v>
      </c>
      <c r="D13" s="69">
        <v>0</v>
      </c>
      <c r="E13" s="69">
        <v>0</v>
      </c>
      <c r="F13" s="69">
        <v>0</v>
      </c>
      <c r="G13" s="69">
        <v>0</v>
      </c>
      <c r="H13" s="69">
        <v>0</v>
      </c>
      <c r="I13" s="69">
        <v>0</v>
      </c>
      <c r="J13" s="69">
        <v>0</v>
      </c>
      <c r="K13" s="69">
        <v>0</v>
      </c>
      <c r="L13" s="69">
        <v>0</v>
      </c>
      <c r="M13" s="69">
        <v>0</v>
      </c>
      <c r="N13" s="69">
        <v>0</v>
      </c>
      <c r="O13" s="69">
        <v>0</v>
      </c>
      <c r="P13" s="69">
        <v>0</v>
      </c>
      <c r="Q13" s="69">
        <v>0</v>
      </c>
      <c r="R13" s="69">
        <v>0</v>
      </c>
      <c r="S13" s="69">
        <v>0</v>
      </c>
      <c r="T13" s="69">
        <v>0</v>
      </c>
      <c r="U13" s="69">
        <v>0</v>
      </c>
      <c r="V13" s="69">
        <v>0</v>
      </c>
      <c r="W13" s="69">
        <v>0</v>
      </c>
      <c r="X13" s="69">
        <v>0</v>
      </c>
      <c r="Y13" s="69">
        <v>0</v>
      </c>
      <c r="Z13" s="69">
        <v>0</v>
      </c>
      <c r="AA13" s="69">
        <v>0</v>
      </c>
      <c r="AB13" s="69">
        <v>0</v>
      </c>
      <c r="AC13" s="69">
        <v>0</v>
      </c>
      <c r="AD13" s="69">
        <v>0</v>
      </c>
      <c r="AE13" s="155">
        <v>0</v>
      </c>
    </row>
    <row r="14" spans="1:32" ht="15" customHeight="1" thickBot="1" x14ac:dyDescent="0.3">
      <c r="A14" s="152">
        <v>14</v>
      </c>
      <c r="B14" s="15" t="s">
        <v>22</v>
      </c>
      <c r="C14" s="68">
        <v>14</v>
      </c>
      <c r="D14" s="68">
        <v>18</v>
      </c>
      <c r="E14" s="68" t="s">
        <v>383</v>
      </c>
      <c r="F14" s="68" t="s">
        <v>383</v>
      </c>
      <c r="G14" s="68">
        <v>17</v>
      </c>
      <c r="H14" s="68">
        <v>16</v>
      </c>
      <c r="I14" s="68" t="s">
        <v>383</v>
      </c>
      <c r="J14" s="68" t="s">
        <v>383</v>
      </c>
      <c r="K14" s="68" t="s">
        <v>383</v>
      </c>
      <c r="L14" s="68" t="s">
        <v>383</v>
      </c>
      <c r="M14" s="68" t="s">
        <v>383</v>
      </c>
      <c r="N14" s="68" t="s">
        <v>383</v>
      </c>
      <c r="O14" s="68" t="s">
        <v>383</v>
      </c>
      <c r="P14" s="68" t="s">
        <v>383</v>
      </c>
      <c r="Q14" s="68" t="s">
        <v>383</v>
      </c>
      <c r="R14" s="68" t="s">
        <v>383</v>
      </c>
      <c r="S14" s="68" t="s">
        <v>383</v>
      </c>
      <c r="T14" s="68" t="s">
        <v>383</v>
      </c>
      <c r="U14" s="68" t="s">
        <v>383</v>
      </c>
      <c r="V14" s="68" t="s">
        <v>383</v>
      </c>
      <c r="W14" s="68" t="s">
        <v>383</v>
      </c>
      <c r="X14" s="68" t="s">
        <v>383</v>
      </c>
      <c r="Y14" s="68" t="s">
        <v>383</v>
      </c>
      <c r="Z14" s="68" t="s">
        <v>383</v>
      </c>
      <c r="AA14" s="68" t="s">
        <v>383</v>
      </c>
      <c r="AB14" s="68" t="s">
        <v>383</v>
      </c>
      <c r="AC14" s="68" t="s">
        <v>383</v>
      </c>
      <c r="AD14" s="68" t="s">
        <v>383</v>
      </c>
      <c r="AE14" s="153" t="s">
        <v>383</v>
      </c>
    </row>
    <row r="15" spans="1:32" s="11" customFormat="1" ht="15" customHeight="1" thickBot="1" x14ac:dyDescent="0.3">
      <c r="A15" s="144" t="s">
        <v>23</v>
      </c>
      <c r="B15" s="9" t="s">
        <v>24</v>
      </c>
      <c r="C15" s="64">
        <v>914</v>
      </c>
      <c r="D15" s="64">
        <v>936</v>
      </c>
      <c r="E15" s="64">
        <v>895</v>
      </c>
      <c r="F15" s="64">
        <v>897</v>
      </c>
      <c r="G15" s="64">
        <v>856</v>
      </c>
      <c r="H15" s="64">
        <v>815</v>
      </c>
      <c r="I15" s="64">
        <v>761</v>
      </c>
      <c r="J15" s="64">
        <v>890</v>
      </c>
      <c r="K15" s="64">
        <v>982</v>
      </c>
      <c r="L15" s="64">
        <v>1034</v>
      </c>
      <c r="M15" s="64">
        <v>1090</v>
      </c>
      <c r="N15" s="64">
        <v>1114</v>
      </c>
      <c r="O15" s="64">
        <v>1151</v>
      </c>
      <c r="P15" s="64">
        <v>1123</v>
      </c>
      <c r="Q15" s="64">
        <v>1143</v>
      </c>
      <c r="R15" s="64">
        <v>1177</v>
      </c>
      <c r="S15" s="64">
        <v>1181</v>
      </c>
      <c r="T15" s="64">
        <v>1175</v>
      </c>
      <c r="U15" s="64">
        <v>1196</v>
      </c>
      <c r="V15" s="64">
        <v>1194</v>
      </c>
      <c r="W15" s="64">
        <v>1186</v>
      </c>
      <c r="X15" s="64">
        <v>1173</v>
      </c>
      <c r="Y15" s="64">
        <v>1142</v>
      </c>
      <c r="Z15" s="64">
        <v>1095</v>
      </c>
      <c r="AA15" s="64">
        <v>1085</v>
      </c>
      <c r="AB15" s="64">
        <v>1101</v>
      </c>
      <c r="AC15" s="64">
        <v>1146</v>
      </c>
      <c r="AD15" s="64">
        <v>1139</v>
      </c>
      <c r="AE15" s="145">
        <v>1098</v>
      </c>
      <c r="AF15" s="10"/>
    </row>
    <row r="16" spans="1:32" ht="15" customHeight="1" x14ac:dyDescent="0.25">
      <c r="A16" s="152">
        <v>15</v>
      </c>
      <c r="B16" s="15" t="s">
        <v>25</v>
      </c>
      <c r="C16" s="68">
        <v>300</v>
      </c>
      <c r="D16" s="68">
        <v>308</v>
      </c>
      <c r="E16" s="68">
        <v>287</v>
      </c>
      <c r="F16" s="68">
        <v>270</v>
      </c>
      <c r="G16" s="68">
        <v>277</v>
      </c>
      <c r="H16" s="68">
        <v>286</v>
      </c>
      <c r="I16" s="68">
        <v>262</v>
      </c>
      <c r="J16" s="68">
        <v>281</v>
      </c>
      <c r="K16" s="68">
        <v>300</v>
      </c>
      <c r="L16" s="68">
        <v>311</v>
      </c>
      <c r="M16" s="68">
        <v>322</v>
      </c>
      <c r="N16" s="68">
        <v>327</v>
      </c>
      <c r="O16" s="68">
        <v>348</v>
      </c>
      <c r="P16" s="68">
        <v>351</v>
      </c>
      <c r="Q16" s="68">
        <v>355</v>
      </c>
      <c r="R16" s="68">
        <v>355</v>
      </c>
      <c r="S16" s="68">
        <v>371</v>
      </c>
      <c r="T16" s="68">
        <v>373</v>
      </c>
      <c r="U16" s="68">
        <v>384</v>
      </c>
      <c r="V16" s="68">
        <v>383</v>
      </c>
      <c r="W16" s="68">
        <v>380</v>
      </c>
      <c r="X16" s="68">
        <v>379</v>
      </c>
      <c r="Y16" s="68">
        <v>367</v>
      </c>
      <c r="Z16" s="68">
        <v>363</v>
      </c>
      <c r="AA16" s="68">
        <v>353</v>
      </c>
      <c r="AB16" s="68">
        <v>353</v>
      </c>
      <c r="AC16" s="68">
        <v>369</v>
      </c>
      <c r="AD16" s="68">
        <v>382</v>
      </c>
      <c r="AE16" s="153">
        <v>378</v>
      </c>
    </row>
    <row r="17" spans="1:31" ht="15" customHeight="1" x14ac:dyDescent="0.25">
      <c r="A17" s="156">
        <v>16</v>
      </c>
      <c r="B17" s="17" t="s">
        <v>26</v>
      </c>
      <c r="C17" s="70">
        <v>5</v>
      </c>
      <c r="D17" s="70">
        <v>5</v>
      </c>
      <c r="E17" s="70">
        <v>5</v>
      </c>
      <c r="F17" s="70">
        <v>6</v>
      </c>
      <c r="G17" s="70">
        <v>6</v>
      </c>
      <c r="H17" s="70">
        <v>6</v>
      </c>
      <c r="I17" s="70">
        <v>5</v>
      </c>
      <c r="J17" s="70">
        <v>5</v>
      </c>
      <c r="K17" s="70">
        <v>6</v>
      </c>
      <c r="L17" s="70">
        <v>7</v>
      </c>
      <c r="M17" s="70">
        <v>6</v>
      </c>
      <c r="N17" s="70">
        <v>6</v>
      </c>
      <c r="O17" s="70">
        <v>7</v>
      </c>
      <c r="P17" s="70">
        <v>7</v>
      </c>
      <c r="Q17" s="70">
        <v>7</v>
      </c>
      <c r="R17" s="70">
        <v>7</v>
      </c>
      <c r="S17" s="70">
        <v>7</v>
      </c>
      <c r="T17" s="70">
        <v>6</v>
      </c>
      <c r="U17" s="70">
        <v>6</v>
      </c>
      <c r="V17" s="70">
        <v>8</v>
      </c>
      <c r="W17" s="70">
        <v>8</v>
      </c>
      <c r="X17" s="70">
        <v>8</v>
      </c>
      <c r="Y17" s="70">
        <v>7</v>
      </c>
      <c r="Z17" s="70">
        <v>7</v>
      </c>
      <c r="AA17" s="70">
        <v>7</v>
      </c>
      <c r="AB17" s="70">
        <v>8</v>
      </c>
      <c r="AC17" s="70">
        <v>8</v>
      </c>
      <c r="AD17" s="70">
        <v>7</v>
      </c>
      <c r="AE17" s="157">
        <v>8</v>
      </c>
    </row>
    <row r="18" spans="1:31" ht="15" customHeight="1" x14ac:dyDescent="0.25">
      <c r="A18" s="156">
        <v>17</v>
      </c>
      <c r="B18" s="17" t="s">
        <v>27</v>
      </c>
      <c r="C18" s="70">
        <v>5</v>
      </c>
      <c r="D18" s="70">
        <v>6</v>
      </c>
      <c r="E18" s="70">
        <v>8</v>
      </c>
      <c r="F18" s="70">
        <v>8</v>
      </c>
      <c r="G18" s="70">
        <v>7</v>
      </c>
      <c r="H18" s="70">
        <v>5</v>
      </c>
      <c r="I18" s="70">
        <v>6</v>
      </c>
      <c r="J18" s="70">
        <v>4</v>
      </c>
      <c r="K18" s="70">
        <v>6</v>
      </c>
      <c r="L18" s="70">
        <v>6</v>
      </c>
      <c r="M18" s="70">
        <v>7</v>
      </c>
      <c r="N18" s="70">
        <v>7</v>
      </c>
      <c r="O18" s="70">
        <v>10</v>
      </c>
      <c r="P18" s="70">
        <v>9</v>
      </c>
      <c r="Q18" s="70">
        <v>12</v>
      </c>
      <c r="R18" s="70">
        <v>10</v>
      </c>
      <c r="S18" s="70">
        <v>9</v>
      </c>
      <c r="T18" s="70">
        <v>8</v>
      </c>
      <c r="U18" s="70">
        <v>8</v>
      </c>
      <c r="V18" s="70">
        <v>8</v>
      </c>
      <c r="W18" s="70">
        <v>9</v>
      </c>
      <c r="X18" s="70">
        <v>8</v>
      </c>
      <c r="Y18" s="70">
        <v>8</v>
      </c>
      <c r="Z18" s="70">
        <v>8</v>
      </c>
      <c r="AA18" s="70">
        <v>9</v>
      </c>
      <c r="AB18" s="70">
        <v>9</v>
      </c>
      <c r="AC18" s="70">
        <v>11</v>
      </c>
      <c r="AD18" s="70">
        <v>12</v>
      </c>
      <c r="AE18" s="157">
        <v>11</v>
      </c>
    </row>
    <row r="19" spans="1:31" ht="15" customHeight="1" x14ac:dyDescent="0.25">
      <c r="A19" s="156">
        <v>18</v>
      </c>
      <c r="B19" s="17" t="s">
        <v>28</v>
      </c>
      <c r="C19" s="70">
        <v>10</v>
      </c>
      <c r="D19" s="70">
        <v>12</v>
      </c>
      <c r="E19" s="70">
        <v>9</v>
      </c>
      <c r="F19" s="70">
        <v>11</v>
      </c>
      <c r="G19" s="70">
        <v>8</v>
      </c>
      <c r="H19" s="70">
        <v>5</v>
      </c>
      <c r="I19" s="70">
        <v>6</v>
      </c>
      <c r="J19" s="70">
        <v>6</v>
      </c>
      <c r="K19" s="70" t="s">
        <v>383</v>
      </c>
      <c r="L19" s="70">
        <v>5</v>
      </c>
      <c r="M19" s="70">
        <v>5</v>
      </c>
      <c r="N19" s="70">
        <v>8</v>
      </c>
      <c r="O19" s="70">
        <v>11</v>
      </c>
      <c r="P19" s="70">
        <v>14</v>
      </c>
      <c r="Q19" s="70">
        <v>18</v>
      </c>
      <c r="R19" s="70">
        <v>13</v>
      </c>
      <c r="S19" s="70">
        <v>10</v>
      </c>
      <c r="T19" s="70">
        <v>12</v>
      </c>
      <c r="U19" s="70">
        <v>14</v>
      </c>
      <c r="V19" s="70">
        <v>14</v>
      </c>
      <c r="W19" s="70">
        <v>22</v>
      </c>
      <c r="X19" s="70">
        <v>17</v>
      </c>
      <c r="Y19" s="70">
        <v>16</v>
      </c>
      <c r="Z19" s="70">
        <v>10</v>
      </c>
      <c r="AA19" s="70">
        <v>9</v>
      </c>
      <c r="AB19" s="70">
        <v>8</v>
      </c>
      <c r="AC19" s="70">
        <v>11</v>
      </c>
      <c r="AD19" s="70">
        <v>12</v>
      </c>
      <c r="AE19" s="157">
        <v>9</v>
      </c>
    </row>
    <row r="20" spans="1:31" ht="15" customHeight="1" x14ac:dyDescent="0.25">
      <c r="A20" s="156">
        <v>19</v>
      </c>
      <c r="B20" s="17" t="s">
        <v>105</v>
      </c>
      <c r="C20" s="70">
        <v>9</v>
      </c>
      <c r="D20" s="70">
        <v>6</v>
      </c>
      <c r="E20" s="70">
        <v>6</v>
      </c>
      <c r="F20" s="70">
        <v>7</v>
      </c>
      <c r="G20" s="70">
        <v>6</v>
      </c>
      <c r="H20" s="70">
        <v>5</v>
      </c>
      <c r="I20" s="70">
        <v>4</v>
      </c>
      <c r="J20" s="70">
        <v>6</v>
      </c>
      <c r="K20" s="70">
        <v>5</v>
      </c>
      <c r="L20" s="70">
        <v>6</v>
      </c>
      <c r="M20" s="70">
        <v>5</v>
      </c>
      <c r="N20" s="70">
        <v>7</v>
      </c>
      <c r="O20" s="70">
        <v>6</v>
      </c>
      <c r="P20" s="70">
        <v>7</v>
      </c>
      <c r="Q20" s="70">
        <v>7</v>
      </c>
      <c r="R20" s="70">
        <v>6</v>
      </c>
      <c r="S20" s="70">
        <v>7</v>
      </c>
      <c r="T20" s="70">
        <v>8</v>
      </c>
      <c r="U20" s="70">
        <v>7</v>
      </c>
      <c r="V20" s="70">
        <v>8</v>
      </c>
      <c r="W20" s="70">
        <v>7</v>
      </c>
      <c r="X20" s="70">
        <v>7</v>
      </c>
      <c r="Y20" s="70">
        <v>8</v>
      </c>
      <c r="Z20" s="70">
        <v>8</v>
      </c>
      <c r="AA20" s="70">
        <v>7</v>
      </c>
      <c r="AB20" s="70">
        <v>7</v>
      </c>
      <c r="AC20" s="70">
        <v>6</v>
      </c>
      <c r="AD20" s="70">
        <v>6</v>
      </c>
      <c r="AE20" s="157">
        <v>7</v>
      </c>
    </row>
    <row r="21" spans="1:31" ht="15" customHeight="1" x14ac:dyDescent="0.25">
      <c r="A21" s="156">
        <v>20</v>
      </c>
      <c r="B21" s="17" t="s">
        <v>30</v>
      </c>
      <c r="C21" s="70">
        <v>331</v>
      </c>
      <c r="D21" s="70">
        <v>331</v>
      </c>
      <c r="E21" s="70">
        <v>315</v>
      </c>
      <c r="F21" s="70">
        <v>320</v>
      </c>
      <c r="G21" s="70">
        <v>306</v>
      </c>
      <c r="H21" s="70">
        <v>272</v>
      </c>
      <c r="I21" s="70">
        <v>265</v>
      </c>
      <c r="J21" s="70">
        <v>344</v>
      </c>
      <c r="K21" s="70">
        <v>399</v>
      </c>
      <c r="L21" s="70">
        <v>410</v>
      </c>
      <c r="M21" s="70">
        <v>436</v>
      </c>
      <c r="N21" s="70">
        <v>430</v>
      </c>
      <c r="O21" s="70">
        <v>443</v>
      </c>
      <c r="P21" s="70">
        <v>418</v>
      </c>
      <c r="Q21" s="70">
        <v>424</v>
      </c>
      <c r="R21" s="70">
        <v>444</v>
      </c>
      <c r="S21" s="70">
        <v>433</v>
      </c>
      <c r="T21" s="70">
        <v>421</v>
      </c>
      <c r="U21" s="70">
        <v>423</v>
      </c>
      <c r="V21" s="70">
        <v>417</v>
      </c>
      <c r="W21" s="70">
        <v>399</v>
      </c>
      <c r="X21" s="70">
        <v>401</v>
      </c>
      <c r="Y21" s="70">
        <v>385</v>
      </c>
      <c r="Z21" s="70">
        <v>373</v>
      </c>
      <c r="AA21" s="70">
        <v>375</v>
      </c>
      <c r="AB21" s="70">
        <v>380</v>
      </c>
      <c r="AC21" s="70">
        <v>383</v>
      </c>
      <c r="AD21" s="70">
        <v>363</v>
      </c>
      <c r="AE21" s="157">
        <v>341</v>
      </c>
    </row>
    <row r="22" spans="1:31" ht="15" customHeight="1" x14ac:dyDescent="0.25">
      <c r="A22" s="156">
        <v>21</v>
      </c>
      <c r="B22" s="17" t="s">
        <v>31</v>
      </c>
      <c r="C22" s="70">
        <v>13</v>
      </c>
      <c r="D22" s="70">
        <v>13</v>
      </c>
      <c r="E22" s="70">
        <v>11</v>
      </c>
      <c r="F22" s="70">
        <v>11</v>
      </c>
      <c r="G22" s="70">
        <v>11</v>
      </c>
      <c r="H22" s="70">
        <v>12</v>
      </c>
      <c r="I22" s="70">
        <v>11</v>
      </c>
      <c r="J22" s="70">
        <v>8</v>
      </c>
      <c r="K22" s="70">
        <v>11</v>
      </c>
      <c r="L22" s="70">
        <v>10</v>
      </c>
      <c r="M22" s="70">
        <v>11</v>
      </c>
      <c r="N22" s="70">
        <v>10</v>
      </c>
      <c r="O22" s="70">
        <v>10</v>
      </c>
      <c r="P22" s="70">
        <v>8</v>
      </c>
      <c r="Q22" s="70">
        <v>8</v>
      </c>
      <c r="R22" s="70">
        <v>8</v>
      </c>
      <c r="S22" s="70">
        <v>10</v>
      </c>
      <c r="T22" s="70">
        <v>10</v>
      </c>
      <c r="U22" s="70">
        <v>10</v>
      </c>
      <c r="V22" s="70">
        <v>10</v>
      </c>
      <c r="W22" s="70">
        <v>9</v>
      </c>
      <c r="X22" s="70">
        <v>8</v>
      </c>
      <c r="Y22" s="70">
        <v>7</v>
      </c>
      <c r="Z22" s="70">
        <v>8</v>
      </c>
      <c r="AA22" s="70">
        <v>8</v>
      </c>
      <c r="AB22" s="70">
        <v>9</v>
      </c>
      <c r="AC22" s="70">
        <v>9</v>
      </c>
      <c r="AD22" s="70">
        <v>8</v>
      </c>
      <c r="AE22" s="157">
        <v>9</v>
      </c>
    </row>
    <row r="23" spans="1:31" ht="15" customHeight="1" x14ac:dyDescent="0.25">
      <c r="A23" s="156">
        <v>22</v>
      </c>
      <c r="B23" s="17" t="s">
        <v>98</v>
      </c>
      <c r="C23" s="70">
        <v>29</v>
      </c>
      <c r="D23" s="70">
        <v>29</v>
      </c>
      <c r="E23" s="70">
        <v>37</v>
      </c>
      <c r="F23" s="70">
        <v>37</v>
      </c>
      <c r="G23" s="70">
        <v>32</v>
      </c>
      <c r="H23" s="70">
        <v>29</v>
      </c>
      <c r="I23" s="70">
        <v>26</v>
      </c>
      <c r="J23" s="70">
        <v>26</v>
      </c>
      <c r="K23" s="70">
        <v>29</v>
      </c>
      <c r="L23" s="70">
        <v>34</v>
      </c>
      <c r="M23" s="70">
        <v>40</v>
      </c>
      <c r="N23" s="70">
        <v>41</v>
      </c>
      <c r="O23" s="70">
        <v>36</v>
      </c>
      <c r="P23" s="70">
        <v>36</v>
      </c>
      <c r="Q23" s="70">
        <v>39</v>
      </c>
      <c r="R23" s="70">
        <v>45</v>
      </c>
      <c r="S23" s="70">
        <v>45</v>
      </c>
      <c r="T23" s="70">
        <v>45</v>
      </c>
      <c r="U23" s="70">
        <v>47</v>
      </c>
      <c r="V23" s="70">
        <v>46</v>
      </c>
      <c r="W23" s="70">
        <v>47</v>
      </c>
      <c r="X23" s="70">
        <v>50</v>
      </c>
      <c r="Y23" s="70">
        <v>51</v>
      </c>
      <c r="Z23" s="70">
        <v>43</v>
      </c>
      <c r="AA23" s="70">
        <v>44</v>
      </c>
      <c r="AB23" s="70">
        <v>40</v>
      </c>
      <c r="AC23" s="70">
        <v>42</v>
      </c>
      <c r="AD23" s="70">
        <v>40</v>
      </c>
      <c r="AE23" s="157">
        <v>41</v>
      </c>
    </row>
    <row r="24" spans="1:31" ht="15" customHeight="1" x14ac:dyDescent="0.25">
      <c r="A24" s="156">
        <v>23</v>
      </c>
      <c r="B24" s="17" t="s">
        <v>33</v>
      </c>
      <c r="C24" s="70">
        <v>4</v>
      </c>
      <c r="D24" s="70">
        <v>4</v>
      </c>
      <c r="E24" s="70">
        <v>4</v>
      </c>
      <c r="F24" s="70">
        <v>4</v>
      </c>
      <c r="G24" s="70">
        <v>4</v>
      </c>
      <c r="H24" s="70">
        <v>4</v>
      </c>
      <c r="I24" s="70" t="s">
        <v>383</v>
      </c>
      <c r="J24" s="70">
        <v>4</v>
      </c>
      <c r="K24" s="70" t="s">
        <v>383</v>
      </c>
      <c r="L24" s="70" t="s">
        <v>383</v>
      </c>
      <c r="M24" s="70" t="s">
        <v>383</v>
      </c>
      <c r="N24" s="70" t="s">
        <v>383</v>
      </c>
      <c r="O24" s="70" t="s">
        <v>383</v>
      </c>
      <c r="P24" s="70" t="s">
        <v>383</v>
      </c>
      <c r="Q24" s="70" t="s">
        <v>383</v>
      </c>
      <c r="R24" s="70" t="s">
        <v>383</v>
      </c>
      <c r="S24" s="70" t="s">
        <v>383</v>
      </c>
      <c r="T24" s="70" t="s">
        <v>383</v>
      </c>
      <c r="U24" s="70" t="s">
        <v>383</v>
      </c>
      <c r="V24" s="70" t="s">
        <v>383</v>
      </c>
      <c r="W24" s="70" t="s">
        <v>383</v>
      </c>
      <c r="X24" s="70" t="s">
        <v>383</v>
      </c>
      <c r="Y24" s="70" t="s">
        <v>383</v>
      </c>
      <c r="Z24" s="70" t="s">
        <v>383</v>
      </c>
      <c r="AA24" s="70" t="s">
        <v>383</v>
      </c>
      <c r="AB24" s="70" t="s">
        <v>383</v>
      </c>
      <c r="AC24" s="70" t="s">
        <v>383</v>
      </c>
      <c r="AD24" s="70" t="s">
        <v>383</v>
      </c>
      <c r="AE24" s="157" t="s">
        <v>383</v>
      </c>
    </row>
    <row r="25" spans="1:31" ht="15" customHeight="1" x14ac:dyDescent="0.25">
      <c r="A25" s="156">
        <v>24</v>
      </c>
      <c r="B25" s="17" t="s">
        <v>34</v>
      </c>
      <c r="C25" s="70">
        <v>32</v>
      </c>
      <c r="D25" s="70">
        <v>33</v>
      </c>
      <c r="E25" s="70">
        <v>33</v>
      </c>
      <c r="F25" s="70">
        <v>42</v>
      </c>
      <c r="G25" s="70">
        <v>42</v>
      </c>
      <c r="H25" s="70">
        <v>42</v>
      </c>
      <c r="I25" s="70">
        <v>38</v>
      </c>
      <c r="J25" s="70">
        <v>38</v>
      </c>
      <c r="K25" s="70">
        <v>40</v>
      </c>
      <c r="L25" s="70">
        <v>37</v>
      </c>
      <c r="M25" s="70">
        <v>38</v>
      </c>
      <c r="N25" s="70">
        <v>35</v>
      </c>
      <c r="O25" s="70">
        <v>35</v>
      </c>
      <c r="P25" s="70">
        <v>35</v>
      </c>
      <c r="Q25" s="70">
        <v>39</v>
      </c>
      <c r="R25" s="70">
        <v>36</v>
      </c>
      <c r="S25" s="70">
        <v>35</v>
      </c>
      <c r="T25" s="70">
        <v>32</v>
      </c>
      <c r="U25" s="70">
        <v>33</v>
      </c>
      <c r="V25" s="70">
        <v>31</v>
      </c>
      <c r="W25" s="70">
        <v>31</v>
      </c>
      <c r="X25" s="70">
        <v>31</v>
      </c>
      <c r="Y25" s="70">
        <v>30</v>
      </c>
      <c r="Z25" s="70">
        <v>30</v>
      </c>
      <c r="AA25" s="70">
        <v>32</v>
      </c>
      <c r="AB25" s="70">
        <v>35</v>
      </c>
      <c r="AC25" s="70">
        <v>38</v>
      </c>
      <c r="AD25" s="70">
        <v>37</v>
      </c>
      <c r="AE25" s="157">
        <v>37</v>
      </c>
    </row>
    <row r="26" spans="1:31" ht="15" customHeight="1" x14ac:dyDescent="0.25">
      <c r="A26" s="156">
        <v>25</v>
      </c>
      <c r="B26" s="17" t="s">
        <v>35</v>
      </c>
      <c r="C26" s="70">
        <v>11</v>
      </c>
      <c r="D26" s="70">
        <v>15</v>
      </c>
      <c r="E26" s="70">
        <v>13</v>
      </c>
      <c r="F26" s="70">
        <v>13</v>
      </c>
      <c r="G26" s="70">
        <v>12</v>
      </c>
      <c r="H26" s="70">
        <v>12</v>
      </c>
      <c r="I26" s="70">
        <v>12</v>
      </c>
      <c r="J26" s="70">
        <v>12</v>
      </c>
      <c r="K26" s="70">
        <v>12</v>
      </c>
      <c r="L26" s="70">
        <v>13</v>
      </c>
      <c r="M26" s="70">
        <v>12</v>
      </c>
      <c r="N26" s="70">
        <v>14</v>
      </c>
      <c r="O26" s="70">
        <v>14</v>
      </c>
      <c r="P26" s="70">
        <v>13</v>
      </c>
      <c r="Q26" s="70">
        <v>14</v>
      </c>
      <c r="R26" s="70">
        <v>15</v>
      </c>
      <c r="S26" s="70">
        <v>16</v>
      </c>
      <c r="T26" s="70">
        <v>18</v>
      </c>
      <c r="U26" s="70">
        <v>18</v>
      </c>
      <c r="V26" s="70">
        <v>18</v>
      </c>
      <c r="W26" s="70">
        <v>17</v>
      </c>
      <c r="X26" s="70">
        <v>16</v>
      </c>
      <c r="Y26" s="70">
        <v>16</v>
      </c>
      <c r="Z26" s="70">
        <v>15</v>
      </c>
      <c r="AA26" s="70">
        <v>14</v>
      </c>
      <c r="AB26" s="70">
        <v>14</v>
      </c>
      <c r="AC26" s="70">
        <v>17</v>
      </c>
      <c r="AD26" s="70">
        <v>17</v>
      </c>
      <c r="AE26" s="157">
        <v>18</v>
      </c>
    </row>
    <row r="27" spans="1:31" ht="15" customHeight="1" x14ac:dyDescent="0.25">
      <c r="A27" s="156">
        <v>26</v>
      </c>
      <c r="B27" s="17" t="s">
        <v>36</v>
      </c>
      <c r="C27" s="70">
        <v>25</v>
      </c>
      <c r="D27" s="70">
        <v>26</v>
      </c>
      <c r="E27" s="70">
        <v>25</v>
      </c>
      <c r="F27" s="70">
        <v>27</v>
      </c>
      <c r="G27" s="70">
        <v>24</v>
      </c>
      <c r="H27" s="70">
        <v>23</v>
      </c>
      <c r="I27" s="70">
        <v>21</v>
      </c>
      <c r="J27" s="70">
        <v>27</v>
      </c>
      <c r="K27" s="70">
        <v>27</v>
      </c>
      <c r="L27" s="70">
        <v>34</v>
      </c>
      <c r="M27" s="70">
        <v>37</v>
      </c>
      <c r="N27" s="70">
        <v>45</v>
      </c>
      <c r="O27" s="70">
        <v>47</v>
      </c>
      <c r="P27" s="70">
        <v>47</v>
      </c>
      <c r="Q27" s="70">
        <v>48</v>
      </c>
      <c r="R27" s="70">
        <v>49</v>
      </c>
      <c r="S27" s="70">
        <v>48</v>
      </c>
      <c r="T27" s="70">
        <v>47</v>
      </c>
      <c r="U27" s="70">
        <v>49</v>
      </c>
      <c r="V27" s="70">
        <v>48</v>
      </c>
      <c r="W27" s="70">
        <v>51</v>
      </c>
      <c r="X27" s="70">
        <v>49</v>
      </c>
      <c r="Y27" s="70">
        <v>47</v>
      </c>
      <c r="Z27" s="70">
        <v>45</v>
      </c>
      <c r="AA27" s="70">
        <v>41</v>
      </c>
      <c r="AB27" s="70">
        <v>43</v>
      </c>
      <c r="AC27" s="70">
        <v>50</v>
      </c>
      <c r="AD27" s="70">
        <v>48</v>
      </c>
      <c r="AE27" s="157">
        <v>45</v>
      </c>
    </row>
    <row r="28" spans="1:31" ht="15" customHeight="1" x14ac:dyDescent="0.25">
      <c r="A28" s="156">
        <v>27</v>
      </c>
      <c r="B28" s="17" t="s">
        <v>37</v>
      </c>
      <c r="C28" s="70">
        <v>4</v>
      </c>
      <c r="D28" s="70">
        <v>5</v>
      </c>
      <c r="E28" s="70">
        <v>4</v>
      </c>
      <c r="F28" s="70">
        <v>4</v>
      </c>
      <c r="G28" s="70">
        <v>5</v>
      </c>
      <c r="H28" s="70">
        <v>5</v>
      </c>
      <c r="I28" s="70">
        <v>6</v>
      </c>
      <c r="J28" s="70">
        <v>5</v>
      </c>
      <c r="K28" s="70">
        <v>5</v>
      </c>
      <c r="L28" s="70">
        <v>4</v>
      </c>
      <c r="M28" s="70">
        <v>5</v>
      </c>
      <c r="N28" s="70">
        <v>6</v>
      </c>
      <c r="O28" s="70">
        <v>5</v>
      </c>
      <c r="P28" s="70">
        <v>5</v>
      </c>
      <c r="Q28" s="70" t="s">
        <v>383</v>
      </c>
      <c r="R28" s="70">
        <v>4</v>
      </c>
      <c r="S28" s="70" t="s">
        <v>383</v>
      </c>
      <c r="T28" s="70">
        <v>4</v>
      </c>
      <c r="U28" s="70" t="s">
        <v>383</v>
      </c>
      <c r="V28" s="70" t="s">
        <v>383</v>
      </c>
      <c r="W28" s="70" t="s">
        <v>383</v>
      </c>
      <c r="X28" s="70">
        <v>4</v>
      </c>
      <c r="Y28" s="70" t="s">
        <v>383</v>
      </c>
      <c r="Z28" s="70">
        <v>4</v>
      </c>
      <c r="AA28" s="70">
        <v>4</v>
      </c>
      <c r="AB28" s="70">
        <v>4</v>
      </c>
      <c r="AC28" s="70">
        <v>4</v>
      </c>
      <c r="AD28" s="70">
        <v>4</v>
      </c>
      <c r="AE28" s="157">
        <v>4</v>
      </c>
    </row>
    <row r="29" spans="1:31" ht="15" customHeight="1" x14ac:dyDescent="0.25">
      <c r="A29" s="156">
        <v>28</v>
      </c>
      <c r="B29" s="17" t="s">
        <v>38</v>
      </c>
      <c r="C29" s="70">
        <v>55</v>
      </c>
      <c r="D29" s="70">
        <v>61</v>
      </c>
      <c r="E29" s="70">
        <v>64</v>
      </c>
      <c r="F29" s="70">
        <v>64</v>
      </c>
      <c r="G29" s="70">
        <v>57</v>
      </c>
      <c r="H29" s="70">
        <v>54</v>
      </c>
      <c r="I29" s="70">
        <v>47</v>
      </c>
      <c r="J29" s="70">
        <v>59</v>
      </c>
      <c r="K29" s="70">
        <v>67</v>
      </c>
      <c r="L29" s="70">
        <v>68</v>
      </c>
      <c r="M29" s="70">
        <v>76</v>
      </c>
      <c r="N29" s="70">
        <v>82</v>
      </c>
      <c r="O29" s="70">
        <v>87</v>
      </c>
      <c r="P29" s="70">
        <v>89</v>
      </c>
      <c r="Q29" s="70">
        <v>78</v>
      </c>
      <c r="R29" s="70">
        <v>86</v>
      </c>
      <c r="S29" s="70">
        <v>85</v>
      </c>
      <c r="T29" s="70">
        <v>89</v>
      </c>
      <c r="U29" s="70">
        <v>89</v>
      </c>
      <c r="V29" s="70">
        <v>93</v>
      </c>
      <c r="W29" s="70">
        <v>98</v>
      </c>
      <c r="X29" s="70">
        <v>91</v>
      </c>
      <c r="Y29" s="70">
        <v>89</v>
      </c>
      <c r="Z29" s="70">
        <v>85</v>
      </c>
      <c r="AA29" s="70">
        <v>86</v>
      </c>
      <c r="AB29" s="70">
        <v>86</v>
      </c>
      <c r="AC29" s="70">
        <v>88</v>
      </c>
      <c r="AD29" s="70">
        <v>91</v>
      </c>
      <c r="AE29" s="157">
        <v>83</v>
      </c>
    </row>
    <row r="30" spans="1:31" ht="15" customHeight="1" x14ac:dyDescent="0.25">
      <c r="A30" s="156">
        <v>29</v>
      </c>
      <c r="B30" s="17" t="s">
        <v>39</v>
      </c>
      <c r="C30" s="70">
        <v>29</v>
      </c>
      <c r="D30" s="70">
        <v>28</v>
      </c>
      <c r="E30" s="70">
        <v>24</v>
      </c>
      <c r="F30" s="70">
        <v>26</v>
      </c>
      <c r="G30" s="70">
        <v>24</v>
      </c>
      <c r="H30" s="70">
        <v>22</v>
      </c>
      <c r="I30" s="70">
        <v>18</v>
      </c>
      <c r="J30" s="70">
        <v>23</v>
      </c>
      <c r="K30" s="70">
        <v>22</v>
      </c>
      <c r="L30" s="70">
        <v>28</v>
      </c>
      <c r="M30" s="70">
        <v>34</v>
      </c>
      <c r="N30" s="70">
        <v>34</v>
      </c>
      <c r="O30" s="70">
        <v>29</v>
      </c>
      <c r="P30" s="70">
        <v>29</v>
      </c>
      <c r="Q30" s="70">
        <v>30</v>
      </c>
      <c r="R30" s="70">
        <v>32</v>
      </c>
      <c r="S30" s="70">
        <v>31</v>
      </c>
      <c r="T30" s="70">
        <v>34</v>
      </c>
      <c r="U30" s="70">
        <v>35</v>
      </c>
      <c r="V30" s="70">
        <v>34</v>
      </c>
      <c r="W30" s="70">
        <v>34</v>
      </c>
      <c r="X30" s="70">
        <v>37</v>
      </c>
      <c r="Y30" s="70">
        <v>38</v>
      </c>
      <c r="Z30" s="70">
        <v>36</v>
      </c>
      <c r="AA30" s="70">
        <v>38</v>
      </c>
      <c r="AB30" s="70">
        <v>42</v>
      </c>
      <c r="AC30" s="70">
        <v>41</v>
      </c>
      <c r="AD30" s="70">
        <v>42</v>
      </c>
      <c r="AE30" s="157">
        <v>40</v>
      </c>
    </row>
    <row r="31" spans="1:31" ht="15" customHeight="1" x14ac:dyDescent="0.25">
      <c r="A31" s="156">
        <v>30</v>
      </c>
      <c r="B31" s="17" t="s">
        <v>40</v>
      </c>
      <c r="C31" s="70">
        <v>0</v>
      </c>
      <c r="D31" s="70">
        <v>0</v>
      </c>
      <c r="E31" s="70">
        <v>0</v>
      </c>
      <c r="F31" s="70">
        <v>0</v>
      </c>
      <c r="G31" s="70">
        <v>0</v>
      </c>
      <c r="H31" s="70">
        <v>0</v>
      </c>
      <c r="I31" s="70">
        <v>0</v>
      </c>
      <c r="J31" s="70">
        <v>0</v>
      </c>
      <c r="K31" s="70">
        <v>0</v>
      </c>
      <c r="L31" s="70">
        <v>0</v>
      </c>
      <c r="M31" s="70">
        <v>0</v>
      </c>
      <c r="N31" s="70">
        <v>0</v>
      </c>
      <c r="O31" s="70">
        <v>0</v>
      </c>
      <c r="P31" s="70">
        <v>0</v>
      </c>
      <c r="Q31" s="70">
        <v>0</v>
      </c>
      <c r="R31" s="70">
        <v>0</v>
      </c>
      <c r="S31" s="70">
        <v>0</v>
      </c>
      <c r="T31" s="70">
        <v>0</v>
      </c>
      <c r="U31" s="70">
        <v>0</v>
      </c>
      <c r="V31" s="70">
        <v>0</v>
      </c>
      <c r="W31" s="70">
        <v>0</v>
      </c>
      <c r="X31" s="70">
        <v>0</v>
      </c>
      <c r="Y31" s="70">
        <v>0</v>
      </c>
      <c r="Z31" s="70">
        <v>0</v>
      </c>
      <c r="AA31" s="70">
        <v>0</v>
      </c>
      <c r="AB31" s="70">
        <v>0</v>
      </c>
      <c r="AC31" s="70">
        <v>0</v>
      </c>
      <c r="AD31" s="70">
        <v>0</v>
      </c>
      <c r="AE31" s="157">
        <v>0</v>
      </c>
    </row>
    <row r="32" spans="1:31" ht="15" customHeight="1" x14ac:dyDescent="0.25">
      <c r="A32" s="156">
        <v>31</v>
      </c>
      <c r="B32" s="17" t="s">
        <v>41</v>
      </c>
      <c r="C32" s="70" t="s">
        <v>383</v>
      </c>
      <c r="D32" s="70" t="s">
        <v>383</v>
      </c>
      <c r="E32" s="70" t="s">
        <v>383</v>
      </c>
      <c r="F32" s="70" t="s">
        <v>383</v>
      </c>
      <c r="G32" s="70" t="s">
        <v>383</v>
      </c>
      <c r="H32" s="70" t="s">
        <v>383</v>
      </c>
      <c r="I32" s="70" t="s">
        <v>383</v>
      </c>
      <c r="J32" s="70">
        <v>4</v>
      </c>
      <c r="K32" s="70">
        <v>5</v>
      </c>
      <c r="L32" s="70">
        <v>4</v>
      </c>
      <c r="M32" s="70">
        <v>5</v>
      </c>
      <c r="N32" s="70">
        <v>5</v>
      </c>
      <c r="O32" s="70">
        <v>4</v>
      </c>
      <c r="P32" s="70" t="s">
        <v>383</v>
      </c>
      <c r="Q32" s="70" t="s">
        <v>383</v>
      </c>
      <c r="R32" s="70" t="s">
        <v>383</v>
      </c>
      <c r="S32" s="70" t="s">
        <v>383</v>
      </c>
      <c r="T32" s="70">
        <v>4</v>
      </c>
      <c r="U32" s="70" t="s">
        <v>383</v>
      </c>
      <c r="V32" s="70" t="s">
        <v>383</v>
      </c>
      <c r="W32" s="70" t="s">
        <v>383</v>
      </c>
      <c r="X32" s="70">
        <v>4</v>
      </c>
      <c r="Y32" s="70">
        <v>4</v>
      </c>
      <c r="Z32" s="70">
        <v>4</v>
      </c>
      <c r="AA32" s="70">
        <v>4</v>
      </c>
      <c r="AB32" s="70">
        <v>5</v>
      </c>
      <c r="AC32" s="70">
        <v>5</v>
      </c>
      <c r="AD32" s="70">
        <v>5</v>
      </c>
      <c r="AE32" s="157">
        <v>5</v>
      </c>
    </row>
    <row r="33" spans="1:32" ht="15" customHeight="1" x14ac:dyDescent="0.25">
      <c r="A33" s="156">
        <v>32</v>
      </c>
      <c r="B33" s="17" t="s">
        <v>42</v>
      </c>
      <c r="C33" s="70" t="s">
        <v>383</v>
      </c>
      <c r="D33" s="70" t="s">
        <v>383</v>
      </c>
      <c r="E33" s="70" t="s">
        <v>383</v>
      </c>
      <c r="F33" s="70" t="s">
        <v>383</v>
      </c>
      <c r="G33" s="70" t="s">
        <v>383</v>
      </c>
      <c r="H33" s="70" t="s">
        <v>383</v>
      </c>
      <c r="I33" s="70" t="s">
        <v>383</v>
      </c>
      <c r="J33" s="70" t="s">
        <v>383</v>
      </c>
      <c r="K33" s="70" t="s">
        <v>383</v>
      </c>
      <c r="L33" s="70" t="s">
        <v>383</v>
      </c>
      <c r="M33" s="70" t="s">
        <v>383</v>
      </c>
      <c r="N33" s="70" t="s">
        <v>383</v>
      </c>
      <c r="O33" s="70" t="s">
        <v>383</v>
      </c>
      <c r="P33" s="70" t="s">
        <v>383</v>
      </c>
      <c r="Q33" s="70" t="s">
        <v>383</v>
      </c>
      <c r="R33" s="70" t="s">
        <v>383</v>
      </c>
      <c r="S33" s="70" t="s">
        <v>383</v>
      </c>
      <c r="T33" s="70" t="s">
        <v>383</v>
      </c>
      <c r="U33" s="70" t="s">
        <v>383</v>
      </c>
      <c r="V33" s="70" t="s">
        <v>383</v>
      </c>
      <c r="W33" s="70" t="s">
        <v>383</v>
      </c>
      <c r="X33" s="70" t="s">
        <v>383</v>
      </c>
      <c r="Y33" s="70" t="s">
        <v>383</v>
      </c>
      <c r="Z33" s="70" t="s">
        <v>383</v>
      </c>
      <c r="AA33" s="70" t="s">
        <v>383</v>
      </c>
      <c r="AB33" s="70" t="s">
        <v>383</v>
      </c>
      <c r="AC33" s="70" t="s">
        <v>383</v>
      </c>
      <c r="AD33" s="70" t="s">
        <v>383</v>
      </c>
      <c r="AE33" s="157" t="s">
        <v>383</v>
      </c>
    </row>
    <row r="34" spans="1:32" ht="15" customHeight="1" x14ac:dyDescent="0.25">
      <c r="A34" s="156">
        <v>33</v>
      </c>
      <c r="B34" s="17" t="s">
        <v>43</v>
      </c>
      <c r="C34" s="70" t="s">
        <v>383</v>
      </c>
      <c r="D34" s="70" t="s">
        <v>383</v>
      </c>
      <c r="E34" s="70" t="s">
        <v>383</v>
      </c>
      <c r="F34" s="70" t="s">
        <v>383</v>
      </c>
      <c r="G34" s="70" t="s">
        <v>383</v>
      </c>
      <c r="H34" s="70" t="s">
        <v>383</v>
      </c>
      <c r="I34" s="70" t="s">
        <v>383</v>
      </c>
      <c r="J34" s="70" t="s">
        <v>383</v>
      </c>
      <c r="K34" s="70" t="s">
        <v>383</v>
      </c>
      <c r="L34" s="70" t="s">
        <v>383</v>
      </c>
      <c r="M34" s="70" t="s">
        <v>383</v>
      </c>
      <c r="N34" s="70">
        <v>4</v>
      </c>
      <c r="O34" s="70" t="s">
        <v>383</v>
      </c>
      <c r="P34" s="70" t="s">
        <v>383</v>
      </c>
      <c r="Q34" s="70" t="s">
        <v>383</v>
      </c>
      <c r="R34" s="70">
        <v>4</v>
      </c>
      <c r="S34" s="70">
        <v>5</v>
      </c>
      <c r="T34" s="70" t="s">
        <v>383</v>
      </c>
      <c r="U34" s="70" t="s">
        <v>383</v>
      </c>
      <c r="V34" s="70">
        <v>5</v>
      </c>
      <c r="W34" s="70" t="s">
        <v>383</v>
      </c>
      <c r="X34" s="70" t="s">
        <v>383</v>
      </c>
      <c r="Y34" s="70" t="s">
        <v>383</v>
      </c>
      <c r="Z34" s="70" t="s">
        <v>383</v>
      </c>
      <c r="AA34" s="70" t="s">
        <v>383</v>
      </c>
      <c r="AB34" s="70" t="s">
        <v>383</v>
      </c>
      <c r="AC34" s="70" t="s">
        <v>383</v>
      </c>
      <c r="AD34" s="70" t="s">
        <v>383</v>
      </c>
      <c r="AE34" s="157" t="s">
        <v>383</v>
      </c>
    </row>
    <row r="35" spans="1:32" ht="15" customHeight="1" x14ac:dyDescent="0.25">
      <c r="A35" s="156">
        <v>34</v>
      </c>
      <c r="B35" s="17" t="s">
        <v>44</v>
      </c>
      <c r="C35" s="70">
        <v>8</v>
      </c>
      <c r="D35" s="70">
        <v>10</v>
      </c>
      <c r="E35" s="70">
        <v>7</v>
      </c>
      <c r="F35" s="70">
        <v>8</v>
      </c>
      <c r="G35" s="70">
        <v>4</v>
      </c>
      <c r="H35" s="70">
        <v>6</v>
      </c>
      <c r="I35" s="70">
        <v>6</v>
      </c>
      <c r="J35" s="70">
        <v>5</v>
      </c>
      <c r="K35" s="70">
        <v>6</v>
      </c>
      <c r="L35" s="70">
        <v>7</v>
      </c>
      <c r="M35" s="70">
        <v>6</v>
      </c>
      <c r="N35" s="70">
        <v>5</v>
      </c>
      <c r="O35" s="70">
        <v>4</v>
      </c>
      <c r="P35" s="70">
        <v>5</v>
      </c>
      <c r="Q35" s="70">
        <v>5</v>
      </c>
      <c r="R35" s="70">
        <v>5</v>
      </c>
      <c r="S35" s="70">
        <v>6</v>
      </c>
      <c r="T35" s="70">
        <v>7</v>
      </c>
      <c r="U35" s="70">
        <v>7</v>
      </c>
      <c r="V35" s="70">
        <v>6</v>
      </c>
      <c r="W35" s="70">
        <v>6</v>
      </c>
      <c r="X35" s="70">
        <v>5</v>
      </c>
      <c r="Y35" s="70">
        <v>5</v>
      </c>
      <c r="Z35" s="70">
        <v>6</v>
      </c>
      <c r="AA35" s="70">
        <v>6</v>
      </c>
      <c r="AB35" s="70">
        <v>8</v>
      </c>
      <c r="AC35" s="70">
        <v>9</v>
      </c>
      <c r="AD35" s="70">
        <v>8</v>
      </c>
      <c r="AE35" s="157">
        <v>6</v>
      </c>
    </row>
    <row r="36" spans="1:32" ht="15" customHeight="1" x14ac:dyDescent="0.25">
      <c r="A36" s="156">
        <v>35</v>
      </c>
      <c r="B36" s="17" t="s">
        <v>45</v>
      </c>
      <c r="C36" s="70" t="s">
        <v>383</v>
      </c>
      <c r="D36" s="70" t="s">
        <v>383</v>
      </c>
      <c r="E36" s="70" t="s">
        <v>383</v>
      </c>
      <c r="F36" s="70" t="s">
        <v>383</v>
      </c>
      <c r="G36" s="70" t="s">
        <v>383</v>
      </c>
      <c r="H36" s="70" t="s">
        <v>383</v>
      </c>
      <c r="I36" s="70" t="s">
        <v>383</v>
      </c>
      <c r="J36" s="70" t="s">
        <v>383</v>
      </c>
      <c r="K36" s="70" t="s">
        <v>383</v>
      </c>
      <c r="L36" s="70" t="s">
        <v>383</v>
      </c>
      <c r="M36" s="70" t="s">
        <v>383</v>
      </c>
      <c r="N36" s="70" t="s">
        <v>383</v>
      </c>
      <c r="O36" s="70" t="s">
        <v>383</v>
      </c>
      <c r="P36" s="70" t="s">
        <v>383</v>
      </c>
      <c r="Q36" s="70" t="s">
        <v>383</v>
      </c>
      <c r="R36" s="70" t="s">
        <v>383</v>
      </c>
      <c r="S36" s="70" t="s">
        <v>383</v>
      </c>
      <c r="T36" s="70" t="s">
        <v>383</v>
      </c>
      <c r="U36" s="70" t="s">
        <v>383</v>
      </c>
      <c r="V36" s="70" t="s">
        <v>383</v>
      </c>
      <c r="W36" s="70" t="s">
        <v>383</v>
      </c>
      <c r="X36" s="70" t="s">
        <v>383</v>
      </c>
      <c r="Y36" s="70" t="s">
        <v>383</v>
      </c>
      <c r="Z36" s="70" t="s">
        <v>383</v>
      </c>
      <c r="AA36" s="70" t="s">
        <v>383</v>
      </c>
      <c r="AB36" s="70" t="s">
        <v>383</v>
      </c>
      <c r="AC36" s="70" t="s">
        <v>383</v>
      </c>
      <c r="AD36" s="70" t="s">
        <v>383</v>
      </c>
      <c r="AE36" s="157" t="s">
        <v>383</v>
      </c>
    </row>
    <row r="37" spans="1:32" ht="15" customHeight="1" x14ac:dyDescent="0.25">
      <c r="A37" s="156">
        <v>36</v>
      </c>
      <c r="B37" s="17" t="s">
        <v>46</v>
      </c>
      <c r="C37" s="70">
        <v>42</v>
      </c>
      <c r="D37" s="70">
        <v>42</v>
      </c>
      <c r="E37" s="70">
        <v>41</v>
      </c>
      <c r="F37" s="70">
        <v>36</v>
      </c>
      <c r="G37" s="70">
        <v>30</v>
      </c>
      <c r="H37" s="70">
        <v>24</v>
      </c>
      <c r="I37" s="70">
        <v>22</v>
      </c>
      <c r="J37" s="70">
        <v>32</v>
      </c>
      <c r="K37" s="70">
        <v>34</v>
      </c>
      <c r="L37" s="70">
        <v>45</v>
      </c>
      <c r="M37" s="70">
        <v>39</v>
      </c>
      <c r="N37" s="70">
        <v>41</v>
      </c>
      <c r="O37" s="70">
        <v>46</v>
      </c>
      <c r="P37" s="70">
        <v>39</v>
      </c>
      <c r="Q37" s="70">
        <v>43</v>
      </c>
      <c r="R37" s="70">
        <v>48</v>
      </c>
      <c r="S37" s="70">
        <v>50</v>
      </c>
      <c r="T37" s="70">
        <v>48</v>
      </c>
      <c r="U37" s="70">
        <v>53</v>
      </c>
      <c r="V37" s="70">
        <v>53</v>
      </c>
      <c r="W37" s="70">
        <v>55</v>
      </c>
      <c r="X37" s="70">
        <v>50</v>
      </c>
      <c r="Y37" s="70">
        <v>54</v>
      </c>
      <c r="Z37" s="70">
        <v>44</v>
      </c>
      <c r="AA37" s="70">
        <v>42</v>
      </c>
      <c r="AB37" s="70">
        <v>46</v>
      </c>
      <c r="AC37" s="70">
        <v>50</v>
      </c>
      <c r="AD37" s="70">
        <v>51</v>
      </c>
      <c r="AE37" s="157">
        <v>50</v>
      </c>
    </row>
    <row r="38" spans="1:32" ht="15" customHeight="1" thickBot="1" x14ac:dyDescent="0.3">
      <c r="A38" s="152">
        <v>37</v>
      </c>
      <c r="B38" s="15" t="s">
        <v>47</v>
      </c>
      <c r="C38" s="68" t="s">
        <v>383</v>
      </c>
      <c r="D38" s="68" t="s">
        <v>383</v>
      </c>
      <c r="E38" s="68" t="s">
        <v>383</v>
      </c>
      <c r="F38" s="68" t="s">
        <v>383</v>
      </c>
      <c r="G38" s="68" t="s">
        <v>383</v>
      </c>
      <c r="H38" s="68" t="s">
        <v>383</v>
      </c>
      <c r="I38" s="68" t="s">
        <v>383</v>
      </c>
      <c r="J38" s="68" t="s">
        <v>383</v>
      </c>
      <c r="K38" s="68" t="s">
        <v>383</v>
      </c>
      <c r="L38" s="68" t="s">
        <v>383</v>
      </c>
      <c r="M38" s="68" t="s">
        <v>383</v>
      </c>
      <c r="N38" s="68" t="s">
        <v>383</v>
      </c>
      <c r="O38" s="68" t="s">
        <v>383</v>
      </c>
      <c r="P38" s="68" t="s">
        <v>383</v>
      </c>
      <c r="Q38" s="68" t="s">
        <v>383</v>
      </c>
      <c r="R38" s="68" t="s">
        <v>383</v>
      </c>
      <c r="S38" s="68" t="s">
        <v>383</v>
      </c>
      <c r="T38" s="68" t="s">
        <v>383</v>
      </c>
      <c r="U38" s="68" t="s">
        <v>383</v>
      </c>
      <c r="V38" s="68">
        <v>4</v>
      </c>
      <c r="W38" s="68" t="s">
        <v>383</v>
      </c>
      <c r="X38" s="68" t="s">
        <v>383</v>
      </c>
      <c r="Y38" s="68" t="s">
        <v>383</v>
      </c>
      <c r="Z38" s="68" t="s">
        <v>383</v>
      </c>
      <c r="AA38" s="68" t="s">
        <v>383</v>
      </c>
      <c r="AB38" s="68" t="s">
        <v>383</v>
      </c>
      <c r="AC38" s="68" t="s">
        <v>383</v>
      </c>
      <c r="AD38" s="68" t="s">
        <v>383</v>
      </c>
      <c r="AE38" s="153" t="s">
        <v>383</v>
      </c>
    </row>
    <row r="39" spans="1:32" s="11" customFormat="1" ht="15" customHeight="1" thickBot="1" x14ac:dyDescent="0.3">
      <c r="A39" s="144" t="s">
        <v>48</v>
      </c>
      <c r="B39" s="9" t="s">
        <v>49</v>
      </c>
      <c r="C39" s="64">
        <v>42</v>
      </c>
      <c r="D39" s="64">
        <v>39</v>
      </c>
      <c r="E39" s="64">
        <v>37</v>
      </c>
      <c r="F39" s="64">
        <v>42</v>
      </c>
      <c r="G39" s="64">
        <v>44</v>
      </c>
      <c r="H39" s="64">
        <v>44</v>
      </c>
      <c r="I39" s="64">
        <v>41</v>
      </c>
      <c r="J39" s="64">
        <v>44</v>
      </c>
      <c r="K39" s="64">
        <v>42</v>
      </c>
      <c r="L39" s="64">
        <v>44</v>
      </c>
      <c r="M39" s="64">
        <v>45</v>
      </c>
      <c r="N39" s="64">
        <v>44</v>
      </c>
      <c r="O39" s="64">
        <v>45</v>
      </c>
      <c r="P39" s="64">
        <v>45</v>
      </c>
      <c r="Q39" s="64">
        <v>49</v>
      </c>
      <c r="R39" s="64">
        <v>48</v>
      </c>
      <c r="S39" s="64">
        <v>47</v>
      </c>
      <c r="T39" s="64">
        <v>47</v>
      </c>
      <c r="U39" s="64">
        <v>47</v>
      </c>
      <c r="V39" s="64">
        <v>48</v>
      </c>
      <c r="W39" s="64">
        <v>49</v>
      </c>
      <c r="X39" s="64">
        <v>48</v>
      </c>
      <c r="Y39" s="64">
        <v>48</v>
      </c>
      <c r="Z39" s="64">
        <v>49</v>
      </c>
      <c r="AA39" s="64">
        <v>49</v>
      </c>
      <c r="AB39" s="64">
        <v>48</v>
      </c>
      <c r="AC39" s="64">
        <v>48</v>
      </c>
      <c r="AD39" s="64">
        <v>49</v>
      </c>
      <c r="AE39" s="145">
        <v>49</v>
      </c>
      <c r="AF39" s="10"/>
    </row>
    <row r="40" spans="1:32" ht="15" customHeight="1" x14ac:dyDescent="0.25">
      <c r="A40" s="146">
        <v>40</v>
      </c>
      <c r="B40" s="12" t="s">
        <v>50</v>
      </c>
      <c r="C40" s="65">
        <v>13</v>
      </c>
      <c r="D40" s="65">
        <v>11</v>
      </c>
      <c r="E40" s="65">
        <v>10</v>
      </c>
      <c r="F40" s="65">
        <v>12</v>
      </c>
      <c r="G40" s="65">
        <v>12</v>
      </c>
      <c r="H40" s="65">
        <v>12</v>
      </c>
      <c r="I40" s="65">
        <v>11</v>
      </c>
      <c r="J40" s="65">
        <v>12</v>
      </c>
      <c r="K40" s="65">
        <v>11</v>
      </c>
      <c r="L40" s="65">
        <v>11</v>
      </c>
      <c r="M40" s="65">
        <v>11</v>
      </c>
      <c r="N40" s="65">
        <v>11</v>
      </c>
      <c r="O40" s="65">
        <v>11</v>
      </c>
      <c r="P40" s="65">
        <v>11</v>
      </c>
      <c r="Q40" s="65">
        <v>13</v>
      </c>
      <c r="R40" s="65">
        <v>13</v>
      </c>
      <c r="S40" s="65">
        <v>13</v>
      </c>
      <c r="T40" s="65">
        <v>13</v>
      </c>
      <c r="U40" s="65">
        <v>14</v>
      </c>
      <c r="V40" s="65">
        <v>14</v>
      </c>
      <c r="W40" s="65">
        <v>15</v>
      </c>
      <c r="X40" s="65">
        <v>14</v>
      </c>
      <c r="Y40" s="65">
        <v>13</v>
      </c>
      <c r="Z40" s="65">
        <v>14</v>
      </c>
      <c r="AA40" s="65">
        <v>13</v>
      </c>
      <c r="AB40" s="65">
        <v>14</v>
      </c>
      <c r="AC40" s="65">
        <v>14</v>
      </c>
      <c r="AD40" s="65">
        <v>14</v>
      </c>
      <c r="AE40" s="147">
        <v>15</v>
      </c>
    </row>
    <row r="41" spans="1:32" ht="15" customHeight="1" thickBot="1" x14ac:dyDescent="0.3">
      <c r="A41" s="158">
        <v>41</v>
      </c>
      <c r="B41" s="18" t="s">
        <v>51</v>
      </c>
      <c r="C41" s="71">
        <v>29</v>
      </c>
      <c r="D41" s="71">
        <v>28</v>
      </c>
      <c r="E41" s="71">
        <v>27</v>
      </c>
      <c r="F41" s="71">
        <v>30</v>
      </c>
      <c r="G41" s="71">
        <v>32</v>
      </c>
      <c r="H41" s="71">
        <v>32</v>
      </c>
      <c r="I41" s="71">
        <v>30</v>
      </c>
      <c r="J41" s="71">
        <v>32</v>
      </c>
      <c r="K41" s="71">
        <v>31</v>
      </c>
      <c r="L41" s="71">
        <v>33</v>
      </c>
      <c r="M41" s="71">
        <v>34</v>
      </c>
      <c r="N41" s="71">
        <v>33</v>
      </c>
      <c r="O41" s="71">
        <v>34</v>
      </c>
      <c r="P41" s="71">
        <v>34</v>
      </c>
      <c r="Q41" s="71">
        <v>36</v>
      </c>
      <c r="R41" s="71">
        <v>35</v>
      </c>
      <c r="S41" s="71">
        <v>34</v>
      </c>
      <c r="T41" s="71">
        <v>34</v>
      </c>
      <c r="U41" s="71">
        <v>33</v>
      </c>
      <c r="V41" s="71">
        <v>34</v>
      </c>
      <c r="W41" s="71">
        <v>34</v>
      </c>
      <c r="X41" s="71">
        <v>34</v>
      </c>
      <c r="Y41" s="71">
        <v>35</v>
      </c>
      <c r="Z41" s="71">
        <v>35</v>
      </c>
      <c r="AA41" s="71">
        <v>36</v>
      </c>
      <c r="AB41" s="71">
        <v>34</v>
      </c>
      <c r="AC41" s="71">
        <v>34</v>
      </c>
      <c r="AD41" s="71">
        <v>35</v>
      </c>
      <c r="AE41" s="159">
        <v>34</v>
      </c>
    </row>
    <row r="42" spans="1:32" s="11" customFormat="1" ht="15" customHeight="1" thickBot="1" x14ac:dyDescent="0.3">
      <c r="A42" s="160" t="s">
        <v>52</v>
      </c>
      <c r="B42" s="19" t="s">
        <v>53</v>
      </c>
      <c r="C42" s="64">
        <v>214</v>
      </c>
      <c r="D42" s="64">
        <v>222</v>
      </c>
      <c r="E42" s="64">
        <v>235</v>
      </c>
      <c r="F42" s="64">
        <v>245</v>
      </c>
      <c r="G42" s="64">
        <v>225</v>
      </c>
      <c r="H42" s="64">
        <v>209</v>
      </c>
      <c r="I42" s="64">
        <v>200</v>
      </c>
      <c r="J42" s="64">
        <v>224</v>
      </c>
      <c r="K42" s="64">
        <v>259</v>
      </c>
      <c r="L42" s="64">
        <v>297</v>
      </c>
      <c r="M42" s="64">
        <v>354</v>
      </c>
      <c r="N42" s="64">
        <v>387</v>
      </c>
      <c r="O42" s="64">
        <v>409</v>
      </c>
      <c r="P42" s="64">
        <v>430</v>
      </c>
      <c r="Q42" s="64">
        <v>462</v>
      </c>
      <c r="R42" s="64">
        <v>473</v>
      </c>
      <c r="S42" s="64">
        <v>469</v>
      </c>
      <c r="T42" s="64">
        <v>485</v>
      </c>
      <c r="U42" s="64">
        <v>502</v>
      </c>
      <c r="V42" s="64">
        <v>508</v>
      </c>
      <c r="W42" s="64">
        <v>487</v>
      </c>
      <c r="X42" s="64">
        <v>523</v>
      </c>
      <c r="Y42" s="64">
        <v>508</v>
      </c>
      <c r="Z42" s="64">
        <v>478</v>
      </c>
      <c r="AA42" s="64">
        <v>447</v>
      </c>
      <c r="AB42" s="64">
        <v>475</v>
      </c>
      <c r="AC42" s="64">
        <v>499</v>
      </c>
      <c r="AD42" s="64">
        <v>473</v>
      </c>
      <c r="AE42" s="145">
        <v>428</v>
      </c>
      <c r="AF42" s="10"/>
    </row>
    <row r="43" spans="1:32" ht="15" customHeight="1" thickBot="1" x14ac:dyDescent="0.3">
      <c r="A43" s="150">
        <v>45</v>
      </c>
      <c r="B43" s="14" t="s">
        <v>54</v>
      </c>
      <c r="C43" s="67">
        <v>214</v>
      </c>
      <c r="D43" s="67">
        <v>222</v>
      </c>
      <c r="E43" s="67">
        <v>235</v>
      </c>
      <c r="F43" s="67">
        <v>245</v>
      </c>
      <c r="G43" s="67">
        <v>225</v>
      </c>
      <c r="H43" s="67">
        <v>209</v>
      </c>
      <c r="I43" s="67">
        <v>200</v>
      </c>
      <c r="J43" s="67">
        <v>224</v>
      </c>
      <c r="K43" s="67">
        <v>259</v>
      </c>
      <c r="L43" s="67">
        <v>297</v>
      </c>
      <c r="M43" s="67">
        <v>354</v>
      </c>
      <c r="N43" s="67">
        <v>387</v>
      </c>
      <c r="O43" s="67">
        <v>409</v>
      </c>
      <c r="P43" s="67">
        <v>430</v>
      </c>
      <c r="Q43" s="67">
        <v>462</v>
      </c>
      <c r="R43" s="67">
        <v>473</v>
      </c>
      <c r="S43" s="67">
        <v>469</v>
      </c>
      <c r="T43" s="67">
        <v>485</v>
      </c>
      <c r="U43" s="67">
        <v>502</v>
      </c>
      <c r="V43" s="67">
        <v>508</v>
      </c>
      <c r="W43" s="67">
        <v>487</v>
      </c>
      <c r="X43" s="67">
        <v>523</v>
      </c>
      <c r="Y43" s="67">
        <v>508</v>
      </c>
      <c r="Z43" s="67">
        <v>478</v>
      </c>
      <c r="AA43" s="67">
        <v>447</v>
      </c>
      <c r="AB43" s="67">
        <v>475</v>
      </c>
      <c r="AC43" s="67">
        <v>499</v>
      </c>
      <c r="AD43" s="67">
        <v>473</v>
      </c>
      <c r="AE43" s="151">
        <v>428</v>
      </c>
    </row>
    <row r="44" spans="1:32" s="11" customFormat="1" ht="15" customHeight="1" thickBot="1" x14ac:dyDescent="0.3">
      <c r="A44" s="144" t="s">
        <v>55</v>
      </c>
      <c r="B44" s="9" t="s">
        <v>56</v>
      </c>
      <c r="C44" s="64">
        <v>1476</v>
      </c>
      <c r="D44" s="64">
        <v>1530</v>
      </c>
      <c r="E44" s="64">
        <v>1489</v>
      </c>
      <c r="F44" s="64">
        <v>1536</v>
      </c>
      <c r="G44" s="64">
        <v>1495</v>
      </c>
      <c r="H44" s="64">
        <v>1387</v>
      </c>
      <c r="I44" s="64">
        <v>1304</v>
      </c>
      <c r="J44" s="64">
        <v>1477</v>
      </c>
      <c r="K44" s="64">
        <v>1695</v>
      </c>
      <c r="L44" s="64">
        <v>1908</v>
      </c>
      <c r="M44" s="64">
        <v>2102</v>
      </c>
      <c r="N44" s="64">
        <v>2299</v>
      </c>
      <c r="O44" s="64">
        <v>2479</v>
      </c>
      <c r="P44" s="64">
        <v>2525</v>
      </c>
      <c r="Q44" s="64">
        <v>2611</v>
      </c>
      <c r="R44" s="64">
        <v>2718</v>
      </c>
      <c r="S44" s="64">
        <v>2775</v>
      </c>
      <c r="T44" s="64">
        <v>2949</v>
      </c>
      <c r="U44" s="64">
        <v>3011</v>
      </c>
      <c r="V44" s="64">
        <v>3036</v>
      </c>
      <c r="W44" s="64">
        <v>3003</v>
      </c>
      <c r="X44" s="64">
        <v>3097</v>
      </c>
      <c r="Y44" s="64">
        <v>3017</v>
      </c>
      <c r="Z44" s="64">
        <v>2970</v>
      </c>
      <c r="AA44" s="64">
        <v>2909</v>
      </c>
      <c r="AB44" s="64">
        <v>3004</v>
      </c>
      <c r="AC44" s="64">
        <v>3406</v>
      </c>
      <c r="AD44" s="64">
        <v>3730</v>
      </c>
      <c r="AE44" s="145">
        <v>3492</v>
      </c>
      <c r="AF44" s="10"/>
    </row>
    <row r="45" spans="1:32" ht="15" customHeight="1" x14ac:dyDescent="0.25">
      <c r="A45" s="146">
        <v>50</v>
      </c>
      <c r="B45" s="12" t="s">
        <v>57</v>
      </c>
      <c r="C45" s="65">
        <v>272</v>
      </c>
      <c r="D45" s="65">
        <v>275</v>
      </c>
      <c r="E45" s="65">
        <v>273</v>
      </c>
      <c r="F45" s="65">
        <v>287</v>
      </c>
      <c r="G45" s="65">
        <v>291</v>
      </c>
      <c r="H45" s="65">
        <v>260</v>
      </c>
      <c r="I45" s="65">
        <v>244</v>
      </c>
      <c r="J45" s="65">
        <v>263</v>
      </c>
      <c r="K45" s="65">
        <v>302</v>
      </c>
      <c r="L45" s="65">
        <v>335</v>
      </c>
      <c r="M45" s="65">
        <v>352</v>
      </c>
      <c r="N45" s="65">
        <v>395</v>
      </c>
      <c r="O45" s="65">
        <v>401</v>
      </c>
      <c r="P45" s="65">
        <v>408</v>
      </c>
      <c r="Q45" s="65">
        <v>419</v>
      </c>
      <c r="R45" s="65">
        <v>412</v>
      </c>
      <c r="S45" s="65">
        <v>422</v>
      </c>
      <c r="T45" s="65">
        <v>441</v>
      </c>
      <c r="U45" s="65">
        <v>434</v>
      </c>
      <c r="V45" s="65">
        <v>436</v>
      </c>
      <c r="W45" s="65">
        <v>427</v>
      </c>
      <c r="X45" s="65">
        <v>434</v>
      </c>
      <c r="Y45" s="65">
        <v>422</v>
      </c>
      <c r="Z45" s="65">
        <v>401</v>
      </c>
      <c r="AA45" s="65">
        <v>398</v>
      </c>
      <c r="AB45" s="65">
        <v>398</v>
      </c>
      <c r="AC45" s="65">
        <v>434</v>
      </c>
      <c r="AD45" s="65">
        <v>457</v>
      </c>
      <c r="AE45" s="147">
        <v>435</v>
      </c>
    </row>
    <row r="46" spans="1:32" ht="15" customHeight="1" x14ac:dyDescent="0.25">
      <c r="A46" s="156">
        <v>51</v>
      </c>
      <c r="B46" s="17" t="s">
        <v>58</v>
      </c>
      <c r="C46" s="70">
        <v>303</v>
      </c>
      <c r="D46" s="70">
        <v>337</v>
      </c>
      <c r="E46" s="70">
        <v>318</v>
      </c>
      <c r="F46" s="70">
        <v>318</v>
      </c>
      <c r="G46" s="70">
        <v>289</v>
      </c>
      <c r="H46" s="70">
        <v>275</v>
      </c>
      <c r="I46" s="70">
        <v>269</v>
      </c>
      <c r="J46" s="70">
        <v>305</v>
      </c>
      <c r="K46" s="70">
        <v>336</v>
      </c>
      <c r="L46" s="70">
        <v>386</v>
      </c>
      <c r="M46" s="70">
        <v>419</v>
      </c>
      <c r="N46" s="70">
        <v>441</v>
      </c>
      <c r="O46" s="70">
        <v>474</v>
      </c>
      <c r="P46" s="70">
        <v>469</v>
      </c>
      <c r="Q46" s="70">
        <v>474</v>
      </c>
      <c r="R46" s="70">
        <v>487</v>
      </c>
      <c r="S46" s="70">
        <v>489</v>
      </c>
      <c r="T46" s="70">
        <v>514</v>
      </c>
      <c r="U46" s="70">
        <v>539</v>
      </c>
      <c r="V46" s="70">
        <v>530</v>
      </c>
      <c r="W46" s="70">
        <v>529</v>
      </c>
      <c r="X46" s="70">
        <v>527</v>
      </c>
      <c r="Y46" s="70">
        <v>523</v>
      </c>
      <c r="Z46" s="70">
        <v>519</v>
      </c>
      <c r="AA46" s="70">
        <v>522</v>
      </c>
      <c r="AB46" s="70">
        <v>555</v>
      </c>
      <c r="AC46" s="70">
        <v>590</v>
      </c>
      <c r="AD46" s="70">
        <v>600</v>
      </c>
      <c r="AE46" s="157">
        <v>583</v>
      </c>
    </row>
    <row r="47" spans="1:32" ht="15" customHeight="1" thickBot="1" x14ac:dyDescent="0.3">
      <c r="A47" s="158">
        <v>52</v>
      </c>
      <c r="B47" s="18" t="s">
        <v>59</v>
      </c>
      <c r="C47" s="71">
        <v>901</v>
      </c>
      <c r="D47" s="71">
        <v>918</v>
      </c>
      <c r="E47" s="71">
        <v>898</v>
      </c>
      <c r="F47" s="71">
        <v>931</v>
      </c>
      <c r="G47" s="71">
        <v>915</v>
      </c>
      <c r="H47" s="71">
        <v>852</v>
      </c>
      <c r="I47" s="71">
        <v>791</v>
      </c>
      <c r="J47" s="71">
        <v>909</v>
      </c>
      <c r="K47" s="71">
        <v>1057</v>
      </c>
      <c r="L47" s="71">
        <v>1187</v>
      </c>
      <c r="M47" s="71">
        <v>1331</v>
      </c>
      <c r="N47" s="71">
        <v>1463</v>
      </c>
      <c r="O47" s="71">
        <v>1604</v>
      </c>
      <c r="P47" s="71">
        <v>1648</v>
      </c>
      <c r="Q47" s="71">
        <v>1718</v>
      </c>
      <c r="R47" s="71">
        <v>1819</v>
      </c>
      <c r="S47" s="71">
        <v>1864</v>
      </c>
      <c r="T47" s="71">
        <v>1994</v>
      </c>
      <c r="U47" s="71">
        <v>2038</v>
      </c>
      <c r="V47" s="71">
        <v>2070</v>
      </c>
      <c r="W47" s="71">
        <v>2047</v>
      </c>
      <c r="X47" s="71">
        <v>2136</v>
      </c>
      <c r="Y47" s="71">
        <v>2072</v>
      </c>
      <c r="Z47" s="71">
        <v>2050</v>
      </c>
      <c r="AA47" s="71">
        <v>1989</v>
      </c>
      <c r="AB47" s="71">
        <v>2051</v>
      </c>
      <c r="AC47" s="71">
        <v>2382</v>
      </c>
      <c r="AD47" s="71">
        <v>2673</v>
      </c>
      <c r="AE47" s="159">
        <v>2474</v>
      </c>
    </row>
    <row r="48" spans="1:32" s="11" customFormat="1" ht="15" customHeight="1" thickBot="1" x14ac:dyDescent="0.3">
      <c r="A48" s="160" t="s">
        <v>60</v>
      </c>
      <c r="B48" s="19" t="s">
        <v>61</v>
      </c>
      <c r="C48" s="64">
        <v>156</v>
      </c>
      <c r="D48" s="64">
        <v>149</v>
      </c>
      <c r="E48" s="64">
        <v>146</v>
      </c>
      <c r="F48" s="64">
        <v>147</v>
      </c>
      <c r="G48" s="64">
        <v>138</v>
      </c>
      <c r="H48" s="64">
        <v>128</v>
      </c>
      <c r="I48" s="64">
        <v>119</v>
      </c>
      <c r="J48" s="64">
        <v>134</v>
      </c>
      <c r="K48" s="64">
        <v>175</v>
      </c>
      <c r="L48" s="64">
        <v>215</v>
      </c>
      <c r="M48" s="64">
        <v>266</v>
      </c>
      <c r="N48" s="64">
        <v>294</v>
      </c>
      <c r="O48" s="64">
        <v>324</v>
      </c>
      <c r="P48" s="64">
        <v>335</v>
      </c>
      <c r="Q48" s="64">
        <v>363</v>
      </c>
      <c r="R48" s="64">
        <v>375</v>
      </c>
      <c r="S48" s="64">
        <v>386</v>
      </c>
      <c r="T48" s="64">
        <v>402</v>
      </c>
      <c r="U48" s="64">
        <v>394</v>
      </c>
      <c r="V48" s="64">
        <v>393</v>
      </c>
      <c r="W48" s="64">
        <v>394</v>
      </c>
      <c r="X48" s="64">
        <v>419</v>
      </c>
      <c r="Y48" s="64">
        <v>433</v>
      </c>
      <c r="Z48" s="64">
        <v>395</v>
      </c>
      <c r="AA48" s="64">
        <v>357</v>
      </c>
      <c r="AB48" s="64">
        <v>356</v>
      </c>
      <c r="AC48" s="64">
        <v>409</v>
      </c>
      <c r="AD48" s="64">
        <v>437</v>
      </c>
      <c r="AE48" s="145">
        <v>408</v>
      </c>
      <c r="AF48" s="10"/>
    </row>
    <row r="49" spans="1:32" ht="15" customHeight="1" thickBot="1" x14ac:dyDescent="0.3">
      <c r="A49" s="150">
        <v>55</v>
      </c>
      <c r="B49" s="14" t="s">
        <v>62</v>
      </c>
      <c r="C49" s="67">
        <v>156</v>
      </c>
      <c r="D49" s="67">
        <v>149</v>
      </c>
      <c r="E49" s="67">
        <v>146</v>
      </c>
      <c r="F49" s="67">
        <v>147</v>
      </c>
      <c r="G49" s="67">
        <v>138</v>
      </c>
      <c r="H49" s="67">
        <v>128</v>
      </c>
      <c r="I49" s="67">
        <v>119</v>
      </c>
      <c r="J49" s="67">
        <v>134</v>
      </c>
      <c r="K49" s="67">
        <v>175</v>
      </c>
      <c r="L49" s="67">
        <v>215</v>
      </c>
      <c r="M49" s="67">
        <v>266</v>
      </c>
      <c r="N49" s="67">
        <v>294</v>
      </c>
      <c r="O49" s="67">
        <v>324</v>
      </c>
      <c r="P49" s="67">
        <v>335</v>
      </c>
      <c r="Q49" s="67">
        <v>363</v>
      </c>
      <c r="R49" s="67">
        <v>375</v>
      </c>
      <c r="S49" s="67">
        <v>386</v>
      </c>
      <c r="T49" s="67">
        <v>402</v>
      </c>
      <c r="U49" s="67">
        <v>394</v>
      </c>
      <c r="V49" s="67">
        <v>393</v>
      </c>
      <c r="W49" s="67">
        <v>394</v>
      </c>
      <c r="X49" s="67">
        <v>419</v>
      </c>
      <c r="Y49" s="67">
        <v>433</v>
      </c>
      <c r="Z49" s="67">
        <v>395</v>
      </c>
      <c r="AA49" s="67">
        <v>357</v>
      </c>
      <c r="AB49" s="67">
        <v>356</v>
      </c>
      <c r="AC49" s="67">
        <v>409</v>
      </c>
      <c r="AD49" s="67">
        <v>437</v>
      </c>
      <c r="AE49" s="151">
        <v>408</v>
      </c>
    </row>
    <row r="50" spans="1:32" s="11" customFormat="1" ht="15" customHeight="1" thickBot="1" x14ac:dyDescent="0.3">
      <c r="A50" s="144" t="s">
        <v>63</v>
      </c>
      <c r="B50" s="9" t="s">
        <v>64</v>
      </c>
      <c r="C50" s="64">
        <v>401</v>
      </c>
      <c r="D50" s="64">
        <v>418</v>
      </c>
      <c r="E50" s="64">
        <v>429</v>
      </c>
      <c r="F50" s="64">
        <v>470</v>
      </c>
      <c r="G50" s="64">
        <v>451</v>
      </c>
      <c r="H50" s="64">
        <v>434</v>
      </c>
      <c r="I50" s="64">
        <v>423</v>
      </c>
      <c r="J50" s="64">
        <v>489</v>
      </c>
      <c r="K50" s="64">
        <v>576</v>
      </c>
      <c r="L50" s="64">
        <v>638</v>
      </c>
      <c r="M50" s="64">
        <v>669</v>
      </c>
      <c r="N50" s="64">
        <v>735</v>
      </c>
      <c r="O50" s="64">
        <v>770</v>
      </c>
      <c r="P50" s="64">
        <v>773</v>
      </c>
      <c r="Q50" s="64">
        <v>802</v>
      </c>
      <c r="R50" s="64">
        <v>825</v>
      </c>
      <c r="S50" s="64">
        <v>833</v>
      </c>
      <c r="T50" s="64">
        <v>857</v>
      </c>
      <c r="U50" s="64">
        <v>889</v>
      </c>
      <c r="V50" s="64">
        <v>874</v>
      </c>
      <c r="W50" s="64">
        <v>852</v>
      </c>
      <c r="X50" s="64">
        <v>878</v>
      </c>
      <c r="Y50" s="64">
        <v>859</v>
      </c>
      <c r="Z50" s="64">
        <v>809</v>
      </c>
      <c r="AA50" s="64">
        <v>784</v>
      </c>
      <c r="AB50" s="64">
        <v>815</v>
      </c>
      <c r="AC50" s="64">
        <v>857</v>
      </c>
      <c r="AD50" s="64">
        <v>875</v>
      </c>
      <c r="AE50" s="145">
        <v>826</v>
      </c>
      <c r="AF50" s="10"/>
    </row>
    <row r="51" spans="1:32" ht="15" customHeight="1" x14ac:dyDescent="0.25">
      <c r="A51" s="152">
        <v>60</v>
      </c>
      <c r="B51" s="15" t="s">
        <v>65</v>
      </c>
      <c r="C51" s="68">
        <v>295</v>
      </c>
      <c r="D51" s="68">
        <v>314</v>
      </c>
      <c r="E51" s="68">
        <v>319</v>
      </c>
      <c r="F51" s="68">
        <v>339</v>
      </c>
      <c r="G51" s="68">
        <v>320</v>
      </c>
      <c r="H51" s="68">
        <v>302</v>
      </c>
      <c r="I51" s="68">
        <v>296</v>
      </c>
      <c r="J51" s="68">
        <v>349</v>
      </c>
      <c r="K51" s="68">
        <v>413</v>
      </c>
      <c r="L51" s="68">
        <v>463</v>
      </c>
      <c r="M51" s="68">
        <v>481</v>
      </c>
      <c r="N51" s="68">
        <v>540</v>
      </c>
      <c r="O51" s="68">
        <v>561</v>
      </c>
      <c r="P51" s="68">
        <v>564</v>
      </c>
      <c r="Q51" s="68">
        <v>589</v>
      </c>
      <c r="R51" s="68">
        <v>610</v>
      </c>
      <c r="S51" s="68">
        <v>604</v>
      </c>
      <c r="T51" s="68">
        <v>616</v>
      </c>
      <c r="U51" s="68">
        <v>635</v>
      </c>
      <c r="V51" s="68">
        <v>629</v>
      </c>
      <c r="W51" s="68">
        <v>614</v>
      </c>
      <c r="X51" s="68">
        <v>637</v>
      </c>
      <c r="Y51" s="68">
        <v>622</v>
      </c>
      <c r="Z51" s="68">
        <v>584</v>
      </c>
      <c r="AA51" s="68">
        <v>562</v>
      </c>
      <c r="AB51" s="68">
        <v>600</v>
      </c>
      <c r="AC51" s="68">
        <v>637</v>
      </c>
      <c r="AD51" s="68">
        <v>649</v>
      </c>
      <c r="AE51" s="153">
        <v>612</v>
      </c>
    </row>
    <row r="52" spans="1:32" ht="15" customHeight="1" x14ac:dyDescent="0.25">
      <c r="A52" s="161">
        <v>61</v>
      </c>
      <c r="B52" s="20" t="s">
        <v>66</v>
      </c>
      <c r="C52" s="73" t="s">
        <v>383</v>
      </c>
      <c r="D52" s="73" t="s">
        <v>383</v>
      </c>
      <c r="E52" s="73" t="s">
        <v>383</v>
      </c>
      <c r="F52" s="73" t="s">
        <v>383</v>
      </c>
      <c r="G52" s="73" t="s">
        <v>383</v>
      </c>
      <c r="H52" s="73" t="s">
        <v>383</v>
      </c>
      <c r="I52" s="73" t="s">
        <v>383</v>
      </c>
      <c r="J52" s="73" t="s">
        <v>383</v>
      </c>
      <c r="K52" s="73">
        <v>7</v>
      </c>
      <c r="L52" s="73">
        <v>7</v>
      </c>
      <c r="M52" s="73">
        <v>5</v>
      </c>
      <c r="N52" s="73">
        <v>7</v>
      </c>
      <c r="O52" s="73">
        <v>8</v>
      </c>
      <c r="P52" s="73">
        <v>8</v>
      </c>
      <c r="Q52" s="73">
        <v>8</v>
      </c>
      <c r="R52" s="73" t="s">
        <v>383</v>
      </c>
      <c r="S52" s="73" t="s">
        <v>383</v>
      </c>
      <c r="T52" s="73" t="s">
        <v>383</v>
      </c>
      <c r="U52" s="73">
        <v>9</v>
      </c>
      <c r="V52" s="73">
        <v>11</v>
      </c>
      <c r="W52" s="73">
        <v>11</v>
      </c>
      <c r="X52" s="73">
        <v>12</v>
      </c>
      <c r="Y52" s="73">
        <v>11</v>
      </c>
      <c r="Z52" s="73">
        <v>11</v>
      </c>
      <c r="AA52" s="73">
        <v>11</v>
      </c>
      <c r="AB52" s="73" t="s">
        <v>383</v>
      </c>
      <c r="AC52" s="73" t="s">
        <v>383</v>
      </c>
      <c r="AD52" s="73" t="s">
        <v>383</v>
      </c>
      <c r="AE52" s="162" t="s">
        <v>383</v>
      </c>
    </row>
    <row r="53" spans="1:32" ht="15" customHeight="1" x14ac:dyDescent="0.25">
      <c r="A53" s="152">
        <v>62</v>
      </c>
      <c r="B53" s="15" t="s">
        <v>67</v>
      </c>
      <c r="C53" s="68" t="s">
        <v>383</v>
      </c>
      <c r="D53" s="68" t="s">
        <v>383</v>
      </c>
      <c r="E53" s="68" t="s">
        <v>383</v>
      </c>
      <c r="F53" s="68" t="s">
        <v>383</v>
      </c>
      <c r="G53" s="68" t="s">
        <v>383</v>
      </c>
      <c r="H53" s="68" t="s">
        <v>383</v>
      </c>
      <c r="I53" s="68" t="s">
        <v>383</v>
      </c>
      <c r="J53" s="68" t="s">
        <v>383</v>
      </c>
      <c r="K53" s="68">
        <v>4</v>
      </c>
      <c r="L53" s="68">
        <v>5</v>
      </c>
      <c r="M53" s="68">
        <v>4</v>
      </c>
      <c r="N53" s="68">
        <v>4</v>
      </c>
      <c r="O53" s="68">
        <v>4</v>
      </c>
      <c r="P53" s="68">
        <v>4</v>
      </c>
      <c r="Q53" s="68">
        <v>4</v>
      </c>
      <c r="R53" s="68" t="s">
        <v>383</v>
      </c>
      <c r="S53" s="68" t="s">
        <v>383</v>
      </c>
      <c r="T53" s="68" t="s">
        <v>383</v>
      </c>
      <c r="U53" s="68">
        <v>4</v>
      </c>
      <c r="V53" s="68">
        <v>4</v>
      </c>
      <c r="W53" s="68">
        <v>4</v>
      </c>
      <c r="X53" s="68">
        <v>5</v>
      </c>
      <c r="Y53" s="68">
        <v>5</v>
      </c>
      <c r="Z53" s="68">
        <v>5</v>
      </c>
      <c r="AA53" s="68">
        <v>5</v>
      </c>
      <c r="AB53" s="68" t="s">
        <v>383</v>
      </c>
      <c r="AC53" s="68" t="s">
        <v>383</v>
      </c>
      <c r="AD53" s="68" t="s">
        <v>383</v>
      </c>
      <c r="AE53" s="153" t="s">
        <v>383</v>
      </c>
    </row>
    <row r="54" spans="1:32" ht="15" customHeight="1" x14ac:dyDescent="0.25">
      <c r="A54" s="163">
        <v>63</v>
      </c>
      <c r="B54" s="21" t="s">
        <v>68</v>
      </c>
      <c r="C54" s="74">
        <v>59</v>
      </c>
      <c r="D54" s="74">
        <v>53</v>
      </c>
      <c r="E54" s="74">
        <v>57</v>
      </c>
      <c r="F54" s="74">
        <v>69</v>
      </c>
      <c r="G54" s="74">
        <v>68</v>
      </c>
      <c r="H54" s="74">
        <v>68</v>
      </c>
      <c r="I54" s="74">
        <v>68</v>
      </c>
      <c r="J54" s="74">
        <v>74</v>
      </c>
      <c r="K54" s="74">
        <v>97</v>
      </c>
      <c r="L54" s="74">
        <v>107</v>
      </c>
      <c r="M54" s="74">
        <v>121</v>
      </c>
      <c r="N54" s="74">
        <v>131</v>
      </c>
      <c r="O54" s="74">
        <v>146</v>
      </c>
      <c r="P54" s="74">
        <v>147</v>
      </c>
      <c r="Q54" s="74">
        <v>148</v>
      </c>
      <c r="R54" s="74">
        <v>154</v>
      </c>
      <c r="S54" s="74">
        <v>164</v>
      </c>
      <c r="T54" s="74">
        <v>173</v>
      </c>
      <c r="U54" s="74">
        <v>185</v>
      </c>
      <c r="V54" s="74">
        <v>176</v>
      </c>
      <c r="W54" s="74">
        <v>171</v>
      </c>
      <c r="X54" s="74">
        <v>169</v>
      </c>
      <c r="Y54" s="74">
        <v>167</v>
      </c>
      <c r="Z54" s="74">
        <v>151</v>
      </c>
      <c r="AA54" s="74">
        <v>146</v>
      </c>
      <c r="AB54" s="74">
        <v>140</v>
      </c>
      <c r="AC54" s="74">
        <v>150</v>
      </c>
      <c r="AD54" s="74">
        <v>159</v>
      </c>
      <c r="AE54" s="164">
        <v>149</v>
      </c>
    </row>
    <row r="55" spans="1:32" ht="15" customHeight="1" thickBot="1" x14ac:dyDescent="0.3">
      <c r="A55" s="152">
        <v>64</v>
      </c>
      <c r="B55" s="15" t="s">
        <v>99</v>
      </c>
      <c r="C55" s="68">
        <v>42</v>
      </c>
      <c r="D55" s="68">
        <v>46</v>
      </c>
      <c r="E55" s="68">
        <v>48</v>
      </c>
      <c r="F55" s="68">
        <v>57</v>
      </c>
      <c r="G55" s="68">
        <v>57</v>
      </c>
      <c r="H55" s="68">
        <v>54</v>
      </c>
      <c r="I55" s="68">
        <v>51</v>
      </c>
      <c r="J55" s="68">
        <v>58</v>
      </c>
      <c r="K55" s="68">
        <v>55</v>
      </c>
      <c r="L55" s="68">
        <v>56</v>
      </c>
      <c r="M55" s="68">
        <v>58</v>
      </c>
      <c r="N55" s="68">
        <v>53</v>
      </c>
      <c r="O55" s="68">
        <v>51</v>
      </c>
      <c r="P55" s="68">
        <v>50</v>
      </c>
      <c r="Q55" s="68">
        <v>53</v>
      </c>
      <c r="R55" s="68">
        <v>50</v>
      </c>
      <c r="S55" s="68">
        <v>52</v>
      </c>
      <c r="T55" s="68">
        <v>54</v>
      </c>
      <c r="U55" s="68">
        <v>56</v>
      </c>
      <c r="V55" s="68">
        <v>54</v>
      </c>
      <c r="W55" s="68">
        <v>52</v>
      </c>
      <c r="X55" s="68">
        <v>55</v>
      </c>
      <c r="Y55" s="68">
        <v>54</v>
      </c>
      <c r="Z55" s="68">
        <v>58</v>
      </c>
      <c r="AA55" s="68">
        <v>60</v>
      </c>
      <c r="AB55" s="68">
        <v>62</v>
      </c>
      <c r="AC55" s="68">
        <v>58</v>
      </c>
      <c r="AD55" s="68">
        <v>56</v>
      </c>
      <c r="AE55" s="153">
        <v>53</v>
      </c>
    </row>
    <row r="56" spans="1:32" s="11" customFormat="1" ht="15" customHeight="1" thickBot="1" x14ac:dyDescent="0.3">
      <c r="A56" s="144" t="s">
        <v>70</v>
      </c>
      <c r="B56" s="9" t="s">
        <v>71</v>
      </c>
      <c r="C56" s="64">
        <v>77</v>
      </c>
      <c r="D56" s="64">
        <v>87</v>
      </c>
      <c r="E56" s="64">
        <v>93</v>
      </c>
      <c r="F56" s="64">
        <v>100</v>
      </c>
      <c r="G56" s="64">
        <v>104</v>
      </c>
      <c r="H56" s="64">
        <v>103</v>
      </c>
      <c r="I56" s="64">
        <v>107</v>
      </c>
      <c r="J56" s="64">
        <v>108</v>
      </c>
      <c r="K56" s="64">
        <v>107</v>
      </c>
      <c r="L56" s="64">
        <v>122</v>
      </c>
      <c r="M56" s="64">
        <v>131</v>
      </c>
      <c r="N56" s="64">
        <v>132</v>
      </c>
      <c r="O56" s="64">
        <v>133</v>
      </c>
      <c r="P56" s="64">
        <v>129</v>
      </c>
      <c r="Q56" s="64">
        <v>130</v>
      </c>
      <c r="R56" s="64">
        <v>140</v>
      </c>
      <c r="S56" s="64">
        <v>139</v>
      </c>
      <c r="T56" s="64">
        <v>144</v>
      </c>
      <c r="U56" s="64">
        <v>141</v>
      </c>
      <c r="V56" s="64">
        <v>153</v>
      </c>
      <c r="W56" s="64">
        <v>161</v>
      </c>
      <c r="X56" s="64">
        <v>163</v>
      </c>
      <c r="Y56" s="64">
        <v>165</v>
      </c>
      <c r="Z56" s="64">
        <v>159</v>
      </c>
      <c r="AA56" s="64">
        <v>157</v>
      </c>
      <c r="AB56" s="64">
        <v>154</v>
      </c>
      <c r="AC56" s="64">
        <v>152</v>
      </c>
      <c r="AD56" s="64">
        <v>138</v>
      </c>
      <c r="AE56" s="145">
        <v>138</v>
      </c>
      <c r="AF56" s="10"/>
    </row>
    <row r="57" spans="1:32" ht="15" customHeight="1" x14ac:dyDescent="0.25">
      <c r="A57" s="152">
        <v>65</v>
      </c>
      <c r="B57" s="15" t="s">
        <v>72</v>
      </c>
      <c r="C57" s="68">
        <v>23</v>
      </c>
      <c r="D57" s="68">
        <v>30</v>
      </c>
      <c r="E57" s="68">
        <v>29</v>
      </c>
      <c r="F57" s="68">
        <v>28</v>
      </c>
      <c r="G57" s="68">
        <v>29</v>
      </c>
      <c r="H57" s="68">
        <v>32</v>
      </c>
      <c r="I57" s="68">
        <v>32</v>
      </c>
      <c r="J57" s="68">
        <v>30</v>
      </c>
      <c r="K57" s="68">
        <v>30</v>
      </c>
      <c r="L57" s="68">
        <v>37</v>
      </c>
      <c r="M57" s="68">
        <v>40</v>
      </c>
      <c r="N57" s="68">
        <v>40</v>
      </c>
      <c r="O57" s="68">
        <v>41</v>
      </c>
      <c r="P57" s="68">
        <v>37</v>
      </c>
      <c r="Q57" s="68">
        <v>37</v>
      </c>
      <c r="R57" s="68">
        <v>42</v>
      </c>
      <c r="S57" s="68">
        <v>43</v>
      </c>
      <c r="T57" s="68">
        <v>40</v>
      </c>
      <c r="U57" s="68">
        <v>40</v>
      </c>
      <c r="V57" s="68">
        <v>41</v>
      </c>
      <c r="W57" s="68">
        <v>46</v>
      </c>
      <c r="X57" s="68">
        <v>45</v>
      </c>
      <c r="Y57" s="68">
        <v>46</v>
      </c>
      <c r="Z57" s="68">
        <v>44</v>
      </c>
      <c r="AA57" s="68">
        <v>43</v>
      </c>
      <c r="AB57" s="68">
        <v>41</v>
      </c>
      <c r="AC57" s="68">
        <v>39</v>
      </c>
      <c r="AD57" s="68">
        <v>34</v>
      </c>
      <c r="AE57" s="153">
        <v>34</v>
      </c>
    </row>
    <row r="58" spans="1:32" ht="15" customHeight="1" x14ac:dyDescent="0.25">
      <c r="A58" s="156">
        <v>66</v>
      </c>
      <c r="B58" s="17" t="s">
        <v>100</v>
      </c>
      <c r="C58" s="70">
        <v>30</v>
      </c>
      <c r="D58" s="70">
        <v>31</v>
      </c>
      <c r="E58" s="70">
        <v>40</v>
      </c>
      <c r="F58" s="70">
        <v>46</v>
      </c>
      <c r="G58" s="70">
        <v>46</v>
      </c>
      <c r="H58" s="70">
        <v>44</v>
      </c>
      <c r="I58" s="70">
        <v>47</v>
      </c>
      <c r="J58" s="70">
        <v>47</v>
      </c>
      <c r="K58" s="70">
        <v>45</v>
      </c>
      <c r="L58" s="70">
        <v>52</v>
      </c>
      <c r="M58" s="70">
        <v>55</v>
      </c>
      <c r="N58" s="70">
        <v>52</v>
      </c>
      <c r="O58" s="70">
        <v>50</v>
      </c>
      <c r="P58" s="70">
        <v>42</v>
      </c>
      <c r="Q58" s="70">
        <v>44</v>
      </c>
      <c r="R58" s="70">
        <v>44</v>
      </c>
      <c r="S58" s="70">
        <v>42</v>
      </c>
      <c r="T58" s="70">
        <v>41</v>
      </c>
      <c r="U58" s="70">
        <v>38</v>
      </c>
      <c r="V58" s="70">
        <v>41</v>
      </c>
      <c r="W58" s="70">
        <v>42</v>
      </c>
      <c r="X58" s="70">
        <v>41</v>
      </c>
      <c r="Y58" s="70">
        <v>40</v>
      </c>
      <c r="Z58" s="70">
        <v>38</v>
      </c>
      <c r="AA58" s="70">
        <v>43</v>
      </c>
      <c r="AB58" s="70">
        <v>43</v>
      </c>
      <c r="AC58" s="70">
        <v>41</v>
      </c>
      <c r="AD58" s="70">
        <v>39</v>
      </c>
      <c r="AE58" s="157">
        <v>39</v>
      </c>
    </row>
    <row r="59" spans="1:32" ht="15" customHeight="1" thickBot="1" x14ac:dyDescent="0.3">
      <c r="A59" s="152">
        <v>67</v>
      </c>
      <c r="B59" s="15" t="s">
        <v>74</v>
      </c>
      <c r="C59" s="68">
        <v>24</v>
      </c>
      <c r="D59" s="68">
        <v>26</v>
      </c>
      <c r="E59" s="68">
        <v>24</v>
      </c>
      <c r="F59" s="68">
        <v>26</v>
      </c>
      <c r="G59" s="68">
        <v>29</v>
      </c>
      <c r="H59" s="68">
        <v>27</v>
      </c>
      <c r="I59" s="68">
        <v>28</v>
      </c>
      <c r="J59" s="68">
        <v>31</v>
      </c>
      <c r="K59" s="68">
        <v>32</v>
      </c>
      <c r="L59" s="68">
        <v>33</v>
      </c>
      <c r="M59" s="68">
        <v>36</v>
      </c>
      <c r="N59" s="68">
        <v>40</v>
      </c>
      <c r="O59" s="68">
        <v>42</v>
      </c>
      <c r="P59" s="68">
        <v>50</v>
      </c>
      <c r="Q59" s="68">
        <v>49</v>
      </c>
      <c r="R59" s="68">
        <v>54</v>
      </c>
      <c r="S59" s="68">
        <v>54</v>
      </c>
      <c r="T59" s="68">
        <v>63</v>
      </c>
      <c r="U59" s="68">
        <v>63</v>
      </c>
      <c r="V59" s="68">
        <v>71</v>
      </c>
      <c r="W59" s="68">
        <v>73</v>
      </c>
      <c r="X59" s="68">
        <v>77</v>
      </c>
      <c r="Y59" s="68">
        <v>79</v>
      </c>
      <c r="Z59" s="68">
        <v>77</v>
      </c>
      <c r="AA59" s="68">
        <v>71</v>
      </c>
      <c r="AB59" s="68">
        <v>70</v>
      </c>
      <c r="AC59" s="68">
        <v>72</v>
      </c>
      <c r="AD59" s="68">
        <v>65</v>
      </c>
      <c r="AE59" s="153">
        <v>65</v>
      </c>
    </row>
    <row r="60" spans="1:32" s="11" customFormat="1" ht="15" customHeight="1" thickBot="1" x14ac:dyDescent="0.3">
      <c r="A60" s="144" t="s">
        <v>75</v>
      </c>
      <c r="B60" s="9" t="s">
        <v>76</v>
      </c>
      <c r="C60" s="64">
        <v>922</v>
      </c>
      <c r="D60" s="64">
        <v>978</v>
      </c>
      <c r="E60" s="64">
        <v>956</v>
      </c>
      <c r="F60" s="64">
        <v>966</v>
      </c>
      <c r="G60" s="64">
        <v>980</v>
      </c>
      <c r="H60" s="64">
        <v>962</v>
      </c>
      <c r="I60" s="64">
        <v>883</v>
      </c>
      <c r="J60" s="64">
        <v>936</v>
      </c>
      <c r="K60" s="64">
        <v>1078</v>
      </c>
      <c r="L60" s="64">
        <v>1173</v>
      </c>
      <c r="M60" s="64">
        <v>1278</v>
      </c>
      <c r="N60" s="64">
        <v>1277</v>
      </c>
      <c r="O60" s="64">
        <v>1295</v>
      </c>
      <c r="P60" s="64">
        <v>1285</v>
      </c>
      <c r="Q60" s="64">
        <v>1297</v>
      </c>
      <c r="R60" s="64">
        <v>1322</v>
      </c>
      <c r="S60" s="64">
        <v>1306</v>
      </c>
      <c r="T60" s="64">
        <v>1330</v>
      </c>
      <c r="U60" s="64">
        <v>1283</v>
      </c>
      <c r="V60" s="64">
        <v>1288</v>
      </c>
      <c r="W60" s="64">
        <v>1238</v>
      </c>
      <c r="X60" s="64">
        <v>1216</v>
      </c>
      <c r="Y60" s="64">
        <v>1191</v>
      </c>
      <c r="Z60" s="64">
        <v>1115</v>
      </c>
      <c r="AA60" s="64">
        <v>1066</v>
      </c>
      <c r="AB60" s="64">
        <v>1027</v>
      </c>
      <c r="AC60" s="64">
        <v>1061</v>
      </c>
      <c r="AD60" s="64">
        <v>1102</v>
      </c>
      <c r="AE60" s="145">
        <v>978</v>
      </c>
      <c r="AF60" s="10"/>
    </row>
    <row r="61" spans="1:32" ht="15" customHeight="1" x14ac:dyDescent="0.25">
      <c r="A61" s="146">
        <v>70</v>
      </c>
      <c r="B61" s="12" t="s">
        <v>77</v>
      </c>
      <c r="C61" s="65">
        <v>369</v>
      </c>
      <c r="D61" s="65">
        <v>388</v>
      </c>
      <c r="E61" s="65">
        <v>363</v>
      </c>
      <c r="F61" s="65">
        <v>361</v>
      </c>
      <c r="G61" s="65">
        <v>360</v>
      </c>
      <c r="H61" s="65">
        <v>355</v>
      </c>
      <c r="I61" s="65">
        <v>350</v>
      </c>
      <c r="J61" s="65">
        <v>343</v>
      </c>
      <c r="K61" s="65">
        <v>382</v>
      </c>
      <c r="L61" s="65">
        <v>405</v>
      </c>
      <c r="M61" s="65">
        <v>426</v>
      </c>
      <c r="N61" s="65">
        <v>424</v>
      </c>
      <c r="O61" s="65">
        <v>423</v>
      </c>
      <c r="P61" s="65">
        <v>425</v>
      </c>
      <c r="Q61" s="65">
        <v>431</v>
      </c>
      <c r="R61" s="65">
        <v>432</v>
      </c>
      <c r="S61" s="65">
        <v>420</v>
      </c>
      <c r="T61" s="65">
        <v>430</v>
      </c>
      <c r="U61" s="65">
        <v>412</v>
      </c>
      <c r="V61" s="65">
        <v>405</v>
      </c>
      <c r="W61" s="65">
        <v>379</v>
      </c>
      <c r="X61" s="65">
        <v>355</v>
      </c>
      <c r="Y61" s="65">
        <v>336</v>
      </c>
      <c r="Z61" s="65">
        <v>297</v>
      </c>
      <c r="AA61" s="65">
        <v>279</v>
      </c>
      <c r="AB61" s="65">
        <v>262</v>
      </c>
      <c r="AC61" s="65">
        <v>261</v>
      </c>
      <c r="AD61" s="65">
        <v>249</v>
      </c>
      <c r="AE61" s="147">
        <v>219</v>
      </c>
    </row>
    <row r="62" spans="1:32" ht="15" customHeight="1" x14ac:dyDescent="0.25">
      <c r="A62" s="156">
        <v>71</v>
      </c>
      <c r="B62" s="17" t="s">
        <v>78</v>
      </c>
      <c r="C62" s="70">
        <v>12</v>
      </c>
      <c r="D62" s="70">
        <v>14</v>
      </c>
      <c r="E62" s="70">
        <v>12</v>
      </c>
      <c r="F62" s="70">
        <v>13</v>
      </c>
      <c r="G62" s="70">
        <v>12</v>
      </c>
      <c r="H62" s="70">
        <v>8</v>
      </c>
      <c r="I62" s="70">
        <v>8</v>
      </c>
      <c r="J62" s="70">
        <v>9</v>
      </c>
      <c r="K62" s="70">
        <v>11</v>
      </c>
      <c r="L62" s="70">
        <v>11</v>
      </c>
      <c r="M62" s="70">
        <v>12</v>
      </c>
      <c r="N62" s="70">
        <v>12</v>
      </c>
      <c r="O62" s="70">
        <v>16</v>
      </c>
      <c r="P62" s="70">
        <v>17</v>
      </c>
      <c r="Q62" s="70">
        <v>20</v>
      </c>
      <c r="R62" s="70">
        <v>24</v>
      </c>
      <c r="S62" s="70">
        <v>26</v>
      </c>
      <c r="T62" s="70">
        <v>27</v>
      </c>
      <c r="U62" s="70">
        <v>24</v>
      </c>
      <c r="V62" s="70">
        <v>27</v>
      </c>
      <c r="W62" s="70">
        <v>24</v>
      </c>
      <c r="X62" s="70">
        <v>21</v>
      </c>
      <c r="Y62" s="70">
        <v>18</v>
      </c>
      <c r="Z62" s="70" t="s">
        <v>383</v>
      </c>
      <c r="AA62" s="70">
        <v>17</v>
      </c>
      <c r="AB62" s="70">
        <v>19</v>
      </c>
      <c r="AC62" s="70">
        <v>23</v>
      </c>
      <c r="AD62" s="70">
        <v>22</v>
      </c>
      <c r="AE62" s="157">
        <v>24</v>
      </c>
    </row>
    <row r="63" spans="1:32" ht="15" customHeight="1" x14ac:dyDescent="0.25">
      <c r="A63" s="156">
        <v>72</v>
      </c>
      <c r="B63" s="17" t="s">
        <v>79</v>
      </c>
      <c r="C63" s="70">
        <v>8</v>
      </c>
      <c r="D63" s="70">
        <v>11</v>
      </c>
      <c r="E63" s="70">
        <v>14</v>
      </c>
      <c r="F63" s="70" t="s">
        <v>383</v>
      </c>
      <c r="G63" s="70">
        <v>14</v>
      </c>
      <c r="H63" s="70" t="s">
        <v>383</v>
      </c>
      <c r="I63" s="70" t="s">
        <v>383</v>
      </c>
      <c r="J63" s="70" t="s">
        <v>383</v>
      </c>
      <c r="K63" s="70" t="s">
        <v>383</v>
      </c>
      <c r="L63" s="70" t="s">
        <v>383</v>
      </c>
      <c r="M63" s="70" t="s">
        <v>383</v>
      </c>
      <c r="N63" s="70" t="s">
        <v>383</v>
      </c>
      <c r="O63" s="70" t="s">
        <v>383</v>
      </c>
      <c r="P63" s="70" t="s">
        <v>383</v>
      </c>
      <c r="Q63" s="70" t="s">
        <v>383</v>
      </c>
      <c r="R63" s="70" t="s">
        <v>383</v>
      </c>
      <c r="S63" s="70" t="s">
        <v>383</v>
      </c>
      <c r="T63" s="70" t="s">
        <v>383</v>
      </c>
      <c r="U63" s="70" t="s">
        <v>383</v>
      </c>
      <c r="V63" s="70" t="s">
        <v>383</v>
      </c>
      <c r="W63" s="70" t="s">
        <v>383</v>
      </c>
      <c r="X63" s="70" t="s">
        <v>383</v>
      </c>
      <c r="Y63" s="70" t="s">
        <v>383</v>
      </c>
      <c r="Z63" s="70">
        <v>46</v>
      </c>
      <c r="AA63" s="70">
        <v>46</v>
      </c>
      <c r="AB63" s="70">
        <v>50</v>
      </c>
      <c r="AC63" s="70">
        <v>58</v>
      </c>
      <c r="AD63" s="70">
        <v>67</v>
      </c>
      <c r="AE63" s="157">
        <v>59</v>
      </c>
    </row>
    <row r="64" spans="1:32" ht="15" customHeight="1" x14ac:dyDescent="0.25">
      <c r="A64" s="156">
        <v>73</v>
      </c>
      <c r="B64" s="17" t="s">
        <v>80</v>
      </c>
      <c r="C64" s="70" t="s">
        <v>383</v>
      </c>
      <c r="D64" s="70" t="s">
        <v>383</v>
      </c>
      <c r="E64" s="70" t="s">
        <v>383</v>
      </c>
      <c r="F64" s="70" t="s">
        <v>383</v>
      </c>
      <c r="G64" s="70">
        <v>4</v>
      </c>
      <c r="H64" s="70" t="s">
        <v>383</v>
      </c>
      <c r="I64" s="70" t="s">
        <v>383</v>
      </c>
      <c r="J64" s="70" t="s">
        <v>383</v>
      </c>
      <c r="K64" s="70" t="s">
        <v>383</v>
      </c>
      <c r="L64" s="70" t="s">
        <v>383</v>
      </c>
      <c r="M64" s="70" t="s">
        <v>383</v>
      </c>
      <c r="N64" s="70" t="s">
        <v>383</v>
      </c>
      <c r="O64" s="70" t="s">
        <v>383</v>
      </c>
      <c r="P64" s="70" t="s">
        <v>383</v>
      </c>
      <c r="Q64" s="70" t="s">
        <v>383</v>
      </c>
      <c r="R64" s="70" t="s">
        <v>383</v>
      </c>
      <c r="S64" s="70" t="s">
        <v>383</v>
      </c>
      <c r="T64" s="70" t="s">
        <v>383</v>
      </c>
      <c r="U64" s="70" t="s">
        <v>383</v>
      </c>
      <c r="V64" s="70" t="s">
        <v>383</v>
      </c>
      <c r="W64" s="70" t="s">
        <v>383</v>
      </c>
      <c r="X64" s="70" t="s">
        <v>383</v>
      </c>
      <c r="Y64" s="70" t="s">
        <v>383</v>
      </c>
      <c r="Z64" s="70" t="s">
        <v>383</v>
      </c>
      <c r="AA64" s="70" t="s">
        <v>383</v>
      </c>
      <c r="AB64" s="70" t="s">
        <v>383</v>
      </c>
      <c r="AC64" s="70" t="s">
        <v>383</v>
      </c>
      <c r="AD64" s="70">
        <v>5</v>
      </c>
      <c r="AE64" s="157">
        <v>4</v>
      </c>
    </row>
    <row r="65" spans="1:32" ht="15" customHeight="1" x14ac:dyDescent="0.25">
      <c r="A65" s="156">
        <v>74</v>
      </c>
      <c r="B65" s="17" t="s">
        <v>81</v>
      </c>
      <c r="C65" s="70">
        <v>528</v>
      </c>
      <c r="D65" s="70">
        <v>558</v>
      </c>
      <c r="E65" s="70">
        <v>560</v>
      </c>
      <c r="F65" s="70">
        <v>570</v>
      </c>
      <c r="G65" s="70">
        <v>582</v>
      </c>
      <c r="H65" s="70">
        <v>572</v>
      </c>
      <c r="I65" s="70">
        <v>502</v>
      </c>
      <c r="J65" s="70">
        <v>560</v>
      </c>
      <c r="K65" s="70">
        <v>648</v>
      </c>
      <c r="L65" s="70">
        <v>718</v>
      </c>
      <c r="M65" s="70">
        <v>799</v>
      </c>
      <c r="N65" s="70">
        <v>787</v>
      </c>
      <c r="O65" s="70">
        <v>808</v>
      </c>
      <c r="P65" s="70">
        <v>798</v>
      </c>
      <c r="Q65" s="70">
        <v>796</v>
      </c>
      <c r="R65" s="70">
        <v>818</v>
      </c>
      <c r="S65" s="70">
        <v>810</v>
      </c>
      <c r="T65" s="70">
        <v>825</v>
      </c>
      <c r="U65" s="70">
        <v>802</v>
      </c>
      <c r="V65" s="70">
        <v>809</v>
      </c>
      <c r="W65" s="70">
        <v>788</v>
      </c>
      <c r="X65" s="70">
        <v>789</v>
      </c>
      <c r="Y65" s="70">
        <v>788</v>
      </c>
      <c r="Z65" s="70">
        <v>747</v>
      </c>
      <c r="AA65" s="70">
        <v>716</v>
      </c>
      <c r="AB65" s="70">
        <v>686</v>
      </c>
      <c r="AC65" s="70">
        <v>711</v>
      </c>
      <c r="AD65" s="70">
        <v>752</v>
      </c>
      <c r="AE65" s="157">
        <v>666</v>
      </c>
    </row>
    <row r="66" spans="1:32" ht="15" customHeight="1" thickBot="1" x14ac:dyDescent="0.3">
      <c r="A66" s="158">
        <v>75</v>
      </c>
      <c r="B66" s="18" t="s">
        <v>185</v>
      </c>
      <c r="C66" s="71" t="s">
        <v>383</v>
      </c>
      <c r="D66" s="71" t="s">
        <v>383</v>
      </c>
      <c r="E66" s="71" t="s">
        <v>383</v>
      </c>
      <c r="F66" s="71">
        <v>6</v>
      </c>
      <c r="G66" s="71">
        <v>8</v>
      </c>
      <c r="H66" s="71">
        <v>12</v>
      </c>
      <c r="I66" s="71">
        <v>13</v>
      </c>
      <c r="J66" s="71">
        <v>9</v>
      </c>
      <c r="K66" s="71">
        <v>12</v>
      </c>
      <c r="L66" s="71">
        <v>11</v>
      </c>
      <c r="M66" s="71">
        <v>11</v>
      </c>
      <c r="N66" s="71">
        <v>13</v>
      </c>
      <c r="O66" s="71">
        <v>11</v>
      </c>
      <c r="P66" s="71">
        <v>11</v>
      </c>
      <c r="Q66" s="71">
        <v>14</v>
      </c>
      <c r="R66" s="71">
        <v>14</v>
      </c>
      <c r="S66" s="71">
        <v>14</v>
      </c>
      <c r="T66" s="71">
        <v>13</v>
      </c>
      <c r="U66" s="71">
        <v>10</v>
      </c>
      <c r="V66" s="71">
        <v>9</v>
      </c>
      <c r="W66" s="71">
        <v>8</v>
      </c>
      <c r="X66" s="71">
        <v>8</v>
      </c>
      <c r="Y66" s="71">
        <v>7</v>
      </c>
      <c r="Z66" s="71">
        <v>6</v>
      </c>
      <c r="AA66" s="71" t="s">
        <v>383</v>
      </c>
      <c r="AB66" s="71" t="s">
        <v>383</v>
      </c>
      <c r="AC66" s="71" t="s">
        <v>383</v>
      </c>
      <c r="AD66" s="71">
        <v>7</v>
      </c>
      <c r="AE66" s="159">
        <v>6</v>
      </c>
    </row>
    <row r="67" spans="1:32" s="11" customFormat="1" ht="15" customHeight="1" thickBot="1" x14ac:dyDescent="0.3">
      <c r="A67" s="160" t="s">
        <v>83</v>
      </c>
      <c r="B67" s="19" t="s">
        <v>84</v>
      </c>
      <c r="C67" s="64">
        <v>76</v>
      </c>
      <c r="D67" s="64">
        <v>83</v>
      </c>
      <c r="E67" s="64">
        <v>88</v>
      </c>
      <c r="F67" s="64">
        <v>90</v>
      </c>
      <c r="G67" s="64">
        <v>90</v>
      </c>
      <c r="H67" s="64">
        <v>90</v>
      </c>
      <c r="I67" s="64">
        <v>84</v>
      </c>
      <c r="J67" s="64">
        <v>86</v>
      </c>
      <c r="K67" s="64">
        <v>98</v>
      </c>
      <c r="L67" s="64">
        <v>101</v>
      </c>
      <c r="M67" s="64">
        <v>109</v>
      </c>
      <c r="N67" s="64">
        <v>115</v>
      </c>
      <c r="O67" s="64">
        <v>129</v>
      </c>
      <c r="P67" s="64">
        <v>130</v>
      </c>
      <c r="Q67" s="64">
        <v>131</v>
      </c>
      <c r="R67" s="64">
        <v>145</v>
      </c>
      <c r="S67" s="64">
        <v>166</v>
      </c>
      <c r="T67" s="64">
        <v>176</v>
      </c>
      <c r="U67" s="64">
        <v>179</v>
      </c>
      <c r="V67" s="64">
        <v>189</v>
      </c>
      <c r="W67" s="64">
        <v>194</v>
      </c>
      <c r="X67" s="64">
        <v>194</v>
      </c>
      <c r="Y67" s="64">
        <v>205</v>
      </c>
      <c r="Z67" s="64">
        <v>198</v>
      </c>
      <c r="AA67" s="64">
        <v>191</v>
      </c>
      <c r="AB67" s="64">
        <v>196</v>
      </c>
      <c r="AC67" s="64">
        <v>203</v>
      </c>
      <c r="AD67" s="64">
        <v>209</v>
      </c>
      <c r="AE67" s="145">
        <v>204</v>
      </c>
      <c r="AF67" s="10"/>
    </row>
    <row r="68" spans="1:32" ht="15" customHeight="1" thickBot="1" x14ac:dyDescent="0.3">
      <c r="A68" s="150">
        <v>80</v>
      </c>
      <c r="B68" s="14" t="s">
        <v>85</v>
      </c>
      <c r="C68" s="70">
        <v>76</v>
      </c>
      <c r="D68" s="67">
        <v>83</v>
      </c>
      <c r="E68" s="67">
        <v>88</v>
      </c>
      <c r="F68" s="67">
        <v>90</v>
      </c>
      <c r="G68" s="67">
        <v>90</v>
      </c>
      <c r="H68" s="67">
        <v>90</v>
      </c>
      <c r="I68" s="67">
        <v>84</v>
      </c>
      <c r="J68" s="67">
        <v>86</v>
      </c>
      <c r="K68" s="67">
        <v>98</v>
      </c>
      <c r="L68" s="67">
        <v>101</v>
      </c>
      <c r="M68" s="67">
        <v>109</v>
      </c>
      <c r="N68" s="67">
        <v>115</v>
      </c>
      <c r="O68" s="67">
        <v>129</v>
      </c>
      <c r="P68" s="67">
        <v>130</v>
      </c>
      <c r="Q68" s="67">
        <v>131</v>
      </c>
      <c r="R68" s="67">
        <v>145</v>
      </c>
      <c r="S68" s="67">
        <v>166</v>
      </c>
      <c r="T68" s="67">
        <v>176</v>
      </c>
      <c r="U68" s="67">
        <v>179</v>
      </c>
      <c r="V68" s="67">
        <v>189</v>
      </c>
      <c r="W68" s="67">
        <v>194</v>
      </c>
      <c r="X68" s="67">
        <v>194</v>
      </c>
      <c r="Y68" s="67">
        <v>205</v>
      </c>
      <c r="Z68" s="67">
        <v>198</v>
      </c>
      <c r="AA68" s="67">
        <v>191</v>
      </c>
      <c r="AB68" s="67">
        <v>196</v>
      </c>
      <c r="AC68" s="67">
        <v>203</v>
      </c>
      <c r="AD68" s="67">
        <v>209</v>
      </c>
      <c r="AE68" s="151">
        <v>204</v>
      </c>
    </row>
    <row r="69" spans="1:32" s="11" customFormat="1" ht="15" customHeight="1" thickBot="1" x14ac:dyDescent="0.3">
      <c r="A69" s="144" t="s">
        <v>86</v>
      </c>
      <c r="B69" s="9" t="s">
        <v>87</v>
      </c>
      <c r="C69" s="64">
        <v>301</v>
      </c>
      <c r="D69" s="64">
        <v>297</v>
      </c>
      <c r="E69" s="64">
        <v>282</v>
      </c>
      <c r="F69" s="64">
        <v>290</v>
      </c>
      <c r="G69" s="64">
        <v>283</v>
      </c>
      <c r="H69" s="64">
        <v>282</v>
      </c>
      <c r="I69" s="64">
        <v>264</v>
      </c>
      <c r="J69" s="64">
        <v>284</v>
      </c>
      <c r="K69" s="64">
        <v>310</v>
      </c>
      <c r="L69" s="64">
        <v>324</v>
      </c>
      <c r="M69" s="64">
        <v>346</v>
      </c>
      <c r="N69" s="64">
        <v>349</v>
      </c>
      <c r="O69" s="64">
        <v>367</v>
      </c>
      <c r="P69" s="64">
        <v>381</v>
      </c>
      <c r="Q69" s="64">
        <v>399</v>
      </c>
      <c r="R69" s="64">
        <v>401</v>
      </c>
      <c r="S69" s="64">
        <v>417</v>
      </c>
      <c r="T69" s="64">
        <v>429</v>
      </c>
      <c r="U69" s="64">
        <v>451</v>
      </c>
      <c r="V69" s="64">
        <v>458</v>
      </c>
      <c r="W69" s="64">
        <v>469</v>
      </c>
      <c r="X69" s="64">
        <v>479</v>
      </c>
      <c r="Y69" s="64">
        <v>480</v>
      </c>
      <c r="Z69" s="64">
        <v>460</v>
      </c>
      <c r="AA69" s="64">
        <v>458</v>
      </c>
      <c r="AB69" s="64">
        <v>459</v>
      </c>
      <c r="AC69" s="64">
        <v>462</v>
      </c>
      <c r="AD69" s="64">
        <v>465</v>
      </c>
      <c r="AE69" s="145">
        <v>423</v>
      </c>
      <c r="AF69" s="10"/>
    </row>
    <row r="70" spans="1:32" ht="15" customHeight="1" thickBot="1" x14ac:dyDescent="0.3">
      <c r="A70" s="150">
        <v>85</v>
      </c>
      <c r="B70" s="14" t="s">
        <v>88</v>
      </c>
      <c r="C70" s="67">
        <v>301</v>
      </c>
      <c r="D70" s="67">
        <v>297</v>
      </c>
      <c r="E70" s="67">
        <v>282</v>
      </c>
      <c r="F70" s="67">
        <v>290</v>
      </c>
      <c r="G70" s="67">
        <v>283</v>
      </c>
      <c r="H70" s="67">
        <v>282</v>
      </c>
      <c r="I70" s="67">
        <v>264</v>
      </c>
      <c r="J70" s="67">
        <v>284</v>
      </c>
      <c r="K70" s="67">
        <v>310</v>
      </c>
      <c r="L70" s="67">
        <v>324</v>
      </c>
      <c r="M70" s="67">
        <v>346</v>
      </c>
      <c r="N70" s="67">
        <v>349</v>
      </c>
      <c r="O70" s="67">
        <v>367</v>
      </c>
      <c r="P70" s="67">
        <v>381</v>
      </c>
      <c r="Q70" s="67">
        <v>399</v>
      </c>
      <c r="R70" s="67">
        <v>401</v>
      </c>
      <c r="S70" s="67">
        <v>417</v>
      </c>
      <c r="T70" s="67">
        <v>429</v>
      </c>
      <c r="U70" s="67">
        <v>451</v>
      </c>
      <c r="V70" s="67">
        <v>458</v>
      </c>
      <c r="W70" s="67">
        <v>469</v>
      </c>
      <c r="X70" s="67">
        <v>479</v>
      </c>
      <c r="Y70" s="67">
        <v>480</v>
      </c>
      <c r="Z70" s="67">
        <v>460</v>
      </c>
      <c r="AA70" s="67">
        <v>458</v>
      </c>
      <c r="AB70" s="67">
        <v>459</v>
      </c>
      <c r="AC70" s="67">
        <v>462</v>
      </c>
      <c r="AD70" s="67">
        <v>465</v>
      </c>
      <c r="AE70" s="151">
        <v>423</v>
      </c>
    </row>
    <row r="71" spans="1:32" s="11" customFormat="1" ht="15" customHeight="1" thickBot="1" x14ac:dyDescent="0.3">
      <c r="A71" s="144" t="s">
        <v>89</v>
      </c>
      <c r="B71" s="9" t="s">
        <v>90</v>
      </c>
      <c r="C71" s="64">
        <v>497</v>
      </c>
      <c r="D71" s="64">
        <v>507</v>
      </c>
      <c r="E71" s="64">
        <v>483</v>
      </c>
      <c r="F71" s="64">
        <v>500</v>
      </c>
      <c r="G71" s="64">
        <v>497</v>
      </c>
      <c r="H71" s="64">
        <v>487</v>
      </c>
      <c r="I71" s="64">
        <v>454</v>
      </c>
      <c r="J71" s="64">
        <v>494</v>
      </c>
      <c r="K71" s="64">
        <v>544</v>
      </c>
      <c r="L71" s="64">
        <v>575</v>
      </c>
      <c r="M71" s="64">
        <v>592</v>
      </c>
      <c r="N71" s="64">
        <v>580</v>
      </c>
      <c r="O71" s="64">
        <v>573</v>
      </c>
      <c r="P71" s="64">
        <v>558</v>
      </c>
      <c r="Q71" s="64">
        <v>570</v>
      </c>
      <c r="R71" s="64">
        <v>589</v>
      </c>
      <c r="S71" s="64">
        <v>591</v>
      </c>
      <c r="T71" s="64">
        <v>613</v>
      </c>
      <c r="U71" s="64">
        <v>612</v>
      </c>
      <c r="V71" s="64">
        <v>602</v>
      </c>
      <c r="W71" s="64">
        <v>598</v>
      </c>
      <c r="X71" s="64">
        <v>594</v>
      </c>
      <c r="Y71" s="64">
        <v>585</v>
      </c>
      <c r="Z71" s="64">
        <v>580</v>
      </c>
      <c r="AA71" s="64">
        <v>536</v>
      </c>
      <c r="AB71" s="64">
        <v>533</v>
      </c>
      <c r="AC71" s="64">
        <v>550</v>
      </c>
      <c r="AD71" s="64">
        <v>576</v>
      </c>
      <c r="AE71" s="145">
        <v>533</v>
      </c>
      <c r="AF71" s="10"/>
    </row>
    <row r="72" spans="1:32" ht="15" customHeight="1" x14ac:dyDescent="0.25">
      <c r="A72" s="146">
        <v>90</v>
      </c>
      <c r="B72" s="12" t="s">
        <v>91</v>
      </c>
      <c r="C72" s="65">
        <v>6</v>
      </c>
      <c r="D72" s="65">
        <v>6</v>
      </c>
      <c r="E72" s="65">
        <v>9</v>
      </c>
      <c r="F72" s="65">
        <v>5</v>
      </c>
      <c r="G72" s="65">
        <v>4</v>
      </c>
      <c r="H72" s="65">
        <v>4</v>
      </c>
      <c r="I72" s="65">
        <v>4</v>
      </c>
      <c r="J72" s="65" t="s">
        <v>383</v>
      </c>
      <c r="K72" s="65" t="s">
        <v>383</v>
      </c>
      <c r="L72" s="65">
        <v>4</v>
      </c>
      <c r="M72" s="65" t="s">
        <v>383</v>
      </c>
      <c r="N72" s="65" t="s">
        <v>383</v>
      </c>
      <c r="O72" s="65">
        <v>4</v>
      </c>
      <c r="P72" s="65">
        <v>7</v>
      </c>
      <c r="Q72" s="65">
        <v>6</v>
      </c>
      <c r="R72" s="65">
        <v>6</v>
      </c>
      <c r="S72" s="65">
        <v>6</v>
      </c>
      <c r="T72" s="65">
        <v>5</v>
      </c>
      <c r="U72" s="65">
        <v>6</v>
      </c>
      <c r="V72" s="65">
        <v>6</v>
      </c>
      <c r="W72" s="65">
        <v>7</v>
      </c>
      <c r="X72" s="65">
        <v>5</v>
      </c>
      <c r="Y72" s="65">
        <v>4</v>
      </c>
      <c r="Z72" s="65">
        <v>5</v>
      </c>
      <c r="AA72" s="65">
        <v>4</v>
      </c>
      <c r="AB72" s="65">
        <v>5</v>
      </c>
      <c r="AC72" s="65">
        <v>6</v>
      </c>
      <c r="AD72" s="65">
        <v>7</v>
      </c>
      <c r="AE72" s="147">
        <v>6</v>
      </c>
    </row>
    <row r="73" spans="1:32" ht="15" customHeight="1" x14ac:dyDescent="0.25">
      <c r="A73" s="156">
        <v>91</v>
      </c>
      <c r="B73" s="17" t="s">
        <v>92</v>
      </c>
      <c r="C73" s="70">
        <v>230</v>
      </c>
      <c r="D73" s="70">
        <v>232</v>
      </c>
      <c r="E73" s="70">
        <v>236</v>
      </c>
      <c r="F73" s="70">
        <v>250</v>
      </c>
      <c r="G73" s="70">
        <v>255</v>
      </c>
      <c r="H73" s="70">
        <v>258</v>
      </c>
      <c r="I73" s="70">
        <v>250</v>
      </c>
      <c r="J73" s="70">
        <v>254</v>
      </c>
      <c r="K73" s="70">
        <v>253</v>
      </c>
      <c r="L73" s="70">
        <v>262</v>
      </c>
      <c r="M73" s="70">
        <v>265</v>
      </c>
      <c r="N73" s="70">
        <v>265</v>
      </c>
      <c r="O73" s="70">
        <v>274</v>
      </c>
      <c r="P73" s="70">
        <v>274</v>
      </c>
      <c r="Q73" s="70">
        <v>280</v>
      </c>
      <c r="R73" s="70">
        <v>293</v>
      </c>
      <c r="S73" s="70">
        <v>301</v>
      </c>
      <c r="T73" s="70">
        <v>317</v>
      </c>
      <c r="U73" s="70">
        <v>318</v>
      </c>
      <c r="V73" s="70">
        <v>324</v>
      </c>
      <c r="W73" s="70">
        <v>331</v>
      </c>
      <c r="X73" s="70">
        <v>325</v>
      </c>
      <c r="Y73" s="70">
        <v>329</v>
      </c>
      <c r="Z73" s="70">
        <v>332</v>
      </c>
      <c r="AA73" s="70">
        <v>312</v>
      </c>
      <c r="AB73" s="70">
        <v>313</v>
      </c>
      <c r="AC73" s="70">
        <v>315</v>
      </c>
      <c r="AD73" s="70">
        <v>318</v>
      </c>
      <c r="AE73" s="157">
        <v>308</v>
      </c>
    </row>
    <row r="74" spans="1:32" ht="15" customHeight="1" x14ac:dyDescent="0.25">
      <c r="A74" s="156">
        <v>92</v>
      </c>
      <c r="B74" s="17" t="s">
        <v>93</v>
      </c>
      <c r="C74" s="70">
        <v>86</v>
      </c>
      <c r="D74" s="70">
        <v>93</v>
      </c>
      <c r="E74" s="70">
        <v>86</v>
      </c>
      <c r="F74" s="70">
        <v>94</v>
      </c>
      <c r="G74" s="70">
        <v>81</v>
      </c>
      <c r="H74" s="70">
        <v>81</v>
      </c>
      <c r="I74" s="70">
        <v>74</v>
      </c>
      <c r="J74" s="70">
        <v>86</v>
      </c>
      <c r="K74" s="70">
        <v>97</v>
      </c>
      <c r="L74" s="70">
        <v>103</v>
      </c>
      <c r="M74" s="70">
        <v>109</v>
      </c>
      <c r="N74" s="70">
        <v>118</v>
      </c>
      <c r="O74" s="70">
        <v>119</v>
      </c>
      <c r="P74" s="70">
        <v>118</v>
      </c>
      <c r="Q74" s="70">
        <v>127</v>
      </c>
      <c r="R74" s="70">
        <v>145</v>
      </c>
      <c r="S74" s="70">
        <v>145</v>
      </c>
      <c r="T74" s="70">
        <v>145</v>
      </c>
      <c r="U74" s="70">
        <v>144</v>
      </c>
      <c r="V74" s="70">
        <v>142</v>
      </c>
      <c r="W74" s="70">
        <v>145</v>
      </c>
      <c r="X74" s="70">
        <v>148</v>
      </c>
      <c r="Y74" s="70">
        <v>137</v>
      </c>
      <c r="Z74" s="70">
        <v>135</v>
      </c>
      <c r="AA74" s="70">
        <v>118</v>
      </c>
      <c r="AB74" s="70">
        <v>121</v>
      </c>
      <c r="AC74" s="70">
        <v>126</v>
      </c>
      <c r="AD74" s="70">
        <v>135</v>
      </c>
      <c r="AE74" s="157">
        <v>118</v>
      </c>
    </row>
    <row r="75" spans="1:32" ht="15" customHeight="1" thickBot="1" x14ac:dyDescent="0.3">
      <c r="A75" s="158">
        <v>93</v>
      </c>
      <c r="B75" s="18" t="s">
        <v>94</v>
      </c>
      <c r="C75" s="76">
        <v>175</v>
      </c>
      <c r="D75" s="76">
        <v>176</v>
      </c>
      <c r="E75" s="76">
        <v>152</v>
      </c>
      <c r="F75" s="76">
        <v>151</v>
      </c>
      <c r="G75" s="76">
        <v>157</v>
      </c>
      <c r="H75" s="76">
        <v>144</v>
      </c>
      <c r="I75" s="76">
        <v>126</v>
      </c>
      <c r="J75" s="76" t="s">
        <v>383</v>
      </c>
      <c r="K75" s="76" t="s">
        <v>383</v>
      </c>
      <c r="L75" s="76">
        <v>206</v>
      </c>
      <c r="M75" s="76" t="s">
        <v>383</v>
      </c>
      <c r="N75" s="76" t="s">
        <v>383</v>
      </c>
      <c r="O75" s="76">
        <v>176</v>
      </c>
      <c r="P75" s="76">
        <v>159</v>
      </c>
      <c r="Q75" s="76">
        <v>157</v>
      </c>
      <c r="R75" s="76">
        <v>145</v>
      </c>
      <c r="S75" s="76">
        <v>139</v>
      </c>
      <c r="T75" s="76">
        <v>146</v>
      </c>
      <c r="U75" s="76">
        <v>144</v>
      </c>
      <c r="V75" s="76">
        <v>130</v>
      </c>
      <c r="W75" s="76">
        <v>115</v>
      </c>
      <c r="X75" s="76">
        <v>116</v>
      </c>
      <c r="Y75" s="76">
        <v>115</v>
      </c>
      <c r="Z75" s="76">
        <v>108</v>
      </c>
      <c r="AA75" s="76">
        <v>102</v>
      </c>
      <c r="AB75" s="76">
        <v>94</v>
      </c>
      <c r="AC75" s="76">
        <v>103</v>
      </c>
      <c r="AD75" s="76">
        <v>116</v>
      </c>
      <c r="AE75" s="165">
        <v>101</v>
      </c>
    </row>
    <row r="76" spans="1:32" s="23" customFormat="1" ht="15" customHeight="1" thickBot="1" x14ac:dyDescent="0.3">
      <c r="A76" s="166"/>
      <c r="B76" s="167" t="s">
        <v>95</v>
      </c>
      <c r="C76" s="168">
        <v>6485</v>
      </c>
      <c r="D76" s="168">
        <v>6606</v>
      </c>
      <c r="E76" s="168">
        <v>6432</v>
      </c>
      <c r="F76" s="168">
        <v>6577</v>
      </c>
      <c r="G76" s="168">
        <v>6437</v>
      </c>
      <c r="H76" s="168">
        <v>6132</v>
      </c>
      <c r="I76" s="168">
        <v>5712</v>
      </c>
      <c r="J76" s="168">
        <v>6301</v>
      </c>
      <c r="K76" s="168">
        <v>7112</v>
      </c>
      <c r="L76" s="168">
        <v>7770</v>
      </c>
      <c r="M76" s="168">
        <v>8422</v>
      </c>
      <c r="N76" s="168">
        <v>8818</v>
      </c>
      <c r="O76" s="168">
        <v>9187</v>
      </c>
      <c r="P76" s="168">
        <v>9242</v>
      </c>
      <c r="Q76" s="168">
        <v>9441</v>
      </c>
      <c r="R76" s="168">
        <v>9652</v>
      </c>
      <c r="S76" s="168">
        <v>9728</v>
      </c>
      <c r="T76" s="168">
        <v>10054</v>
      </c>
      <c r="U76" s="168">
        <v>10157</v>
      </c>
      <c r="V76" s="168">
        <v>10317</v>
      </c>
      <c r="W76" s="168">
        <v>10254</v>
      </c>
      <c r="X76" s="168">
        <v>10504</v>
      </c>
      <c r="Y76" s="168">
        <v>10391</v>
      </c>
      <c r="Z76" s="168">
        <v>10045</v>
      </c>
      <c r="AA76" s="168">
        <v>9785</v>
      </c>
      <c r="AB76" s="168">
        <v>9983</v>
      </c>
      <c r="AC76" s="168">
        <v>10631</v>
      </c>
      <c r="AD76" s="168">
        <v>10981</v>
      </c>
      <c r="AE76" s="169">
        <v>10303</v>
      </c>
      <c r="AF76" s="22"/>
    </row>
    <row r="77" spans="1:32" ht="12" customHeight="1" x14ac:dyDescent="0.25">
      <c r="A77" s="7"/>
      <c r="B77" s="7"/>
      <c r="C77" s="7"/>
      <c r="D77" s="7"/>
      <c r="E77" s="24"/>
      <c r="F77" s="7"/>
      <c r="G77" s="25"/>
      <c r="H77" s="7"/>
      <c r="I77" s="7"/>
      <c r="J77" s="7"/>
      <c r="K77" s="7"/>
      <c r="L77" s="7"/>
      <c r="M77" s="7"/>
      <c r="N77" s="7"/>
      <c r="O77" s="7"/>
      <c r="P77" s="7"/>
      <c r="Q77" s="7"/>
      <c r="R77" s="7"/>
      <c r="S77" s="7"/>
      <c r="T77" s="7"/>
      <c r="U77" s="7"/>
      <c r="V77" s="7"/>
      <c r="W77" s="7"/>
      <c r="X77" s="7"/>
      <c r="Y77" s="7"/>
      <c r="Z77" s="7"/>
      <c r="AA77" s="7"/>
      <c r="AB77" s="7"/>
      <c r="AC77" s="7"/>
      <c r="AD77" s="7"/>
      <c r="AE77" s="7"/>
    </row>
    <row r="78" spans="1:32" ht="11.25" x14ac:dyDescent="0.25">
      <c r="A78" s="307" t="s">
        <v>96</v>
      </c>
      <c r="B78" s="307"/>
      <c r="C78" s="277"/>
      <c r="D78" s="277"/>
      <c r="E78" s="277"/>
      <c r="F78" s="26"/>
      <c r="G78" s="26"/>
      <c r="H78" s="7"/>
      <c r="I78" s="7"/>
      <c r="J78" s="7"/>
      <c r="K78" s="7"/>
      <c r="L78" s="7"/>
      <c r="M78" s="7"/>
      <c r="N78" s="7"/>
      <c r="O78" s="7"/>
      <c r="P78" s="7"/>
      <c r="Q78" s="7"/>
      <c r="R78" s="7"/>
      <c r="S78" s="7"/>
      <c r="T78" s="7"/>
      <c r="U78" s="7"/>
      <c r="V78" s="7"/>
      <c r="W78" s="7"/>
      <c r="X78" s="7"/>
      <c r="Y78" s="7"/>
      <c r="Z78" s="7"/>
      <c r="AA78" s="7"/>
      <c r="AB78" s="7"/>
      <c r="AC78" s="7"/>
      <c r="AD78" s="7"/>
      <c r="AE78" s="7"/>
    </row>
    <row r="79" spans="1:32" ht="26.45" customHeight="1" x14ac:dyDescent="0.25">
      <c r="A79" s="307" t="s">
        <v>381</v>
      </c>
      <c r="B79" s="307"/>
      <c r="C79" s="307"/>
      <c r="D79" s="277"/>
      <c r="E79" s="277"/>
      <c r="F79" s="277"/>
      <c r="G79" s="277"/>
      <c r="H79" s="27"/>
      <c r="I79" s="27"/>
      <c r="J79" s="27"/>
      <c r="K79" s="27"/>
      <c r="L79" s="7"/>
      <c r="M79" s="7"/>
      <c r="N79" s="7"/>
      <c r="O79" s="7"/>
      <c r="P79" s="7"/>
      <c r="Q79" s="7"/>
      <c r="R79" s="7"/>
      <c r="S79" s="7"/>
      <c r="T79" s="7"/>
      <c r="U79" s="7"/>
      <c r="V79" s="7"/>
      <c r="W79" s="7"/>
      <c r="X79" s="7"/>
      <c r="Y79" s="7"/>
      <c r="Z79" s="7"/>
      <c r="AA79" s="7"/>
      <c r="AB79" s="7"/>
      <c r="AC79" s="7"/>
      <c r="AD79" s="7"/>
      <c r="AE79" s="7"/>
    </row>
    <row r="80" spans="1:32" ht="26.45" customHeight="1" x14ac:dyDescent="0.25">
      <c r="A80" s="307" t="s">
        <v>382</v>
      </c>
      <c r="B80" s="307"/>
      <c r="C80" s="307"/>
      <c r="D80" s="277"/>
      <c r="E80" s="277"/>
      <c r="F80" s="277"/>
      <c r="G80" s="277"/>
      <c r="H80" s="27"/>
      <c r="I80" s="27"/>
      <c r="J80" s="27"/>
      <c r="K80" s="27"/>
      <c r="L80" s="7"/>
      <c r="M80" s="7"/>
      <c r="N80" s="7"/>
      <c r="O80" s="7"/>
      <c r="P80" s="7"/>
      <c r="Q80" s="7"/>
      <c r="R80" s="7"/>
      <c r="S80" s="7"/>
      <c r="T80" s="7"/>
      <c r="U80" s="7"/>
      <c r="V80" s="7"/>
      <c r="W80" s="7"/>
      <c r="X80" s="7"/>
      <c r="Y80" s="7"/>
      <c r="Z80" s="7"/>
      <c r="AA80" s="7"/>
      <c r="AB80" s="7"/>
      <c r="AC80" s="7"/>
      <c r="AD80" s="7"/>
      <c r="AE80" s="7"/>
    </row>
    <row r="81" spans="1:31" ht="26.45" customHeight="1" x14ac:dyDescent="0.25">
      <c r="A81" s="307" t="s">
        <v>151</v>
      </c>
      <c r="B81" s="307"/>
      <c r="C81" s="307"/>
      <c r="D81" s="277"/>
      <c r="E81" s="277"/>
      <c r="F81" s="277"/>
      <c r="G81" s="277"/>
      <c r="H81" s="27"/>
      <c r="I81" s="27"/>
      <c r="J81" s="27"/>
      <c r="K81" s="27"/>
      <c r="L81" s="7"/>
      <c r="M81" s="7"/>
      <c r="N81" s="7"/>
      <c r="O81" s="7"/>
      <c r="P81" s="7"/>
      <c r="Q81" s="7"/>
      <c r="R81" s="7"/>
      <c r="S81" s="7"/>
      <c r="T81" s="7"/>
      <c r="U81" s="7"/>
      <c r="V81" s="7"/>
      <c r="W81" s="7"/>
      <c r="X81" s="7"/>
      <c r="Y81" s="7"/>
      <c r="Z81" s="7"/>
      <c r="AA81" s="7"/>
      <c r="AB81" s="7"/>
      <c r="AC81" s="7"/>
      <c r="AD81" s="7"/>
      <c r="AE81" s="7"/>
    </row>
    <row r="82" spans="1:31" s="29" customFormat="1" ht="46.5" customHeight="1" x14ac:dyDescent="0.25">
      <c r="A82" s="307" t="s">
        <v>384</v>
      </c>
      <c r="B82" s="307"/>
      <c r="C82" s="307"/>
      <c r="D82" s="307"/>
      <c r="E82" s="307"/>
      <c r="F82" s="307"/>
      <c r="G82" s="307"/>
      <c r="H82" s="28"/>
      <c r="I82" s="28"/>
      <c r="J82" s="28"/>
    </row>
    <row r="83" spans="1:31" ht="19.899999999999999" customHeight="1" x14ac:dyDescent="0.25">
      <c r="A83" s="276"/>
      <c r="B83" s="276"/>
      <c r="C83" s="276"/>
      <c r="D83" s="276"/>
      <c r="E83" s="276"/>
      <c r="F83" s="276"/>
      <c r="G83" s="276"/>
      <c r="H83" s="28"/>
      <c r="I83" s="28"/>
      <c r="J83" s="28"/>
      <c r="K83" s="7"/>
      <c r="L83" s="7"/>
      <c r="M83" s="7"/>
      <c r="N83" s="7"/>
      <c r="O83" s="7"/>
      <c r="P83" s="7"/>
      <c r="Q83" s="7"/>
      <c r="R83" s="7"/>
      <c r="S83" s="7"/>
      <c r="T83" s="7"/>
      <c r="U83" s="7"/>
      <c r="V83" s="7"/>
      <c r="W83" s="7"/>
      <c r="X83" s="7"/>
      <c r="Y83" s="7"/>
      <c r="Z83" s="7"/>
      <c r="AA83" s="7"/>
      <c r="AB83" s="7"/>
      <c r="AC83" s="7"/>
      <c r="AD83" s="7"/>
      <c r="AE83" s="7"/>
    </row>
    <row r="84" spans="1:31" ht="6.75" customHeight="1" x14ac:dyDescent="0.25">
      <c r="A84" s="7"/>
      <c r="B84" s="7"/>
      <c r="C84" s="7"/>
      <c r="D84" s="7"/>
      <c r="E84" s="7"/>
      <c r="F84" s="7"/>
      <c r="G84" s="7"/>
      <c r="H84" s="7"/>
      <c r="I84" s="7"/>
      <c r="J84" s="7"/>
      <c r="K84" s="7"/>
      <c r="L84" s="7"/>
      <c r="M84" s="7"/>
      <c r="N84" s="7"/>
      <c r="O84" s="7"/>
      <c r="P84" s="7"/>
      <c r="Q84" s="7"/>
      <c r="R84" s="7"/>
      <c r="S84" s="7"/>
      <c r="T84" s="7"/>
      <c r="U84" s="7"/>
      <c r="V84" s="7"/>
      <c r="W84" s="7"/>
      <c r="X84" s="7"/>
      <c r="Y84" s="7"/>
      <c r="Z84" s="7"/>
      <c r="AA84" s="7"/>
      <c r="AB84" s="7"/>
      <c r="AC84" s="7"/>
      <c r="AD84" s="7"/>
      <c r="AE84" s="7"/>
    </row>
    <row r="85" spans="1:31" ht="0" hidden="1" customHeight="1" x14ac:dyDescent="0.25"/>
    <row r="86" spans="1:31" ht="0" hidden="1" customHeight="1" x14ac:dyDescent="0.25"/>
    <row r="87" spans="1:31" ht="0" hidden="1" customHeight="1" x14ac:dyDescent="0.25"/>
    <row r="88" spans="1:31" ht="0" hidden="1" customHeight="1" x14ac:dyDescent="0.25"/>
    <row r="89" spans="1:31" ht="0" hidden="1" customHeight="1" x14ac:dyDescent="0.25"/>
    <row r="90" spans="1:31" ht="0" hidden="1" customHeight="1" x14ac:dyDescent="0.25"/>
    <row r="91" spans="1:31" ht="0" hidden="1" customHeight="1" x14ac:dyDescent="0.25"/>
    <row r="92" spans="1:31" ht="0" hidden="1" customHeight="1" x14ac:dyDescent="0.25"/>
    <row r="93" spans="1:31" ht="0" hidden="1" customHeight="1" x14ac:dyDescent="0.25"/>
    <row r="94" spans="1:31" ht="0" hidden="1" customHeight="1" x14ac:dyDescent="0.25"/>
  </sheetData>
  <mergeCells count="37">
    <mergeCell ref="Q4:Q5"/>
    <mergeCell ref="F4:F5"/>
    <mergeCell ref="G4:G5"/>
    <mergeCell ref="A82:G82"/>
    <mergeCell ref="W4:W5"/>
    <mergeCell ref="A79:C79"/>
    <mergeCell ref="A80:C80"/>
    <mergeCell ref="A81:C81"/>
    <mergeCell ref="A78:B78"/>
    <mergeCell ref="H4:H5"/>
    <mergeCell ref="X4:X5"/>
    <mergeCell ref="S4:S5"/>
    <mergeCell ref="T4:T5"/>
    <mergeCell ref="U4:U5"/>
    <mergeCell ref="V4:V5"/>
    <mergeCell ref="A2:C2"/>
    <mergeCell ref="B4:B5"/>
    <mergeCell ref="C4:C5"/>
    <mergeCell ref="D4:D5"/>
    <mergeCell ref="E4:E5"/>
    <mergeCell ref="A4:A5"/>
    <mergeCell ref="AB4:AB5"/>
    <mergeCell ref="I4:I5"/>
    <mergeCell ref="O4:O5"/>
    <mergeCell ref="AE4:AE5"/>
    <mergeCell ref="J4:J5"/>
    <mergeCell ref="AA4:AA5"/>
    <mergeCell ref="Z4:Z5"/>
    <mergeCell ref="Y4:Y5"/>
    <mergeCell ref="R4:R5"/>
    <mergeCell ref="K4:K5"/>
    <mergeCell ref="L4:L5"/>
    <mergeCell ref="M4:M5"/>
    <mergeCell ref="N4:N5"/>
    <mergeCell ref="AC4:AC5"/>
    <mergeCell ref="P4:P5"/>
    <mergeCell ref="AD4:AD5"/>
  </mergeCells>
  <pageMargins left="0.74803149606299213" right="0.74803149606299213" top="0.98425196850393704" bottom="0.98425196850393704" header="0" footer="0"/>
  <pageSetup paperSize="9" scale="65" fitToWidth="19" orientation="portrait" r:id="rId1"/>
  <headerFooter alignWithMargins="0"/>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9"/>
  <dimension ref="A1:DW94"/>
  <sheetViews>
    <sheetView zoomScale="115" zoomScaleNormal="115" workbookViewId="0">
      <pane xSplit="2" ySplit="5" topLeftCell="C6" activePane="bottomRight" state="frozen"/>
      <selection activeCell="C6" sqref="C6"/>
      <selection pane="topRight" activeCell="C6" sqref="C6"/>
      <selection pane="bottomLeft" activeCell="C6" sqref="C6"/>
      <selection pane="bottomRight" activeCell="C6" sqref="C6"/>
    </sheetView>
  </sheetViews>
  <sheetFormatPr baseColWidth="10" defaultColWidth="0" defaultRowHeight="0" customHeight="1" zeroHeight="1" x14ac:dyDescent="0.25"/>
  <cols>
    <col min="1" max="1" width="5.7109375" style="8" customWidth="1"/>
    <col min="2" max="2" width="62.7109375" style="8" customWidth="1"/>
    <col min="3" max="4" width="11.140625" style="30" customWidth="1"/>
    <col min="5" max="6" width="11.140625" style="8" customWidth="1"/>
    <col min="7" max="7" width="11.140625" style="31" customWidth="1"/>
    <col min="8" max="31" width="11.140625" style="8" customWidth="1"/>
    <col min="32" max="32" width="4.28515625" style="7" customWidth="1"/>
    <col min="33" max="127" width="0" style="8" hidden="1" customWidth="1"/>
    <col min="128" max="16384" width="11.140625" style="8" hidden="1"/>
  </cols>
  <sheetData>
    <row r="1" spans="1:32" s="5" customFormat="1" ht="25.5" customHeight="1" thickBot="1" x14ac:dyDescent="0.25">
      <c r="A1" s="1"/>
      <c r="B1" s="2"/>
      <c r="C1" s="3"/>
      <c r="D1" s="172" t="s">
        <v>0</v>
      </c>
      <c r="E1" s="171"/>
      <c r="F1" s="171"/>
      <c r="G1" s="173"/>
      <c r="H1" s="171"/>
      <c r="I1" s="171"/>
      <c r="J1" s="171"/>
      <c r="K1" s="171"/>
      <c r="L1" s="171"/>
      <c r="M1" s="171"/>
      <c r="N1" s="171"/>
      <c r="O1" s="171"/>
      <c r="P1" s="171"/>
      <c r="Q1" s="171"/>
      <c r="R1" s="171"/>
      <c r="S1" s="171"/>
      <c r="T1" s="171"/>
      <c r="U1" s="171"/>
      <c r="V1" s="171"/>
      <c r="W1" s="171"/>
      <c r="X1" s="171"/>
      <c r="Y1" s="171"/>
      <c r="Z1" s="171"/>
      <c r="AA1" s="171"/>
      <c r="AB1" s="171"/>
      <c r="AC1" s="171"/>
      <c r="AD1" s="171"/>
      <c r="AE1" s="171"/>
      <c r="AF1" s="2"/>
    </row>
    <row r="2" spans="1:32" s="7" customFormat="1" ht="22.5" customHeight="1" thickBot="1" x14ac:dyDescent="0.3">
      <c r="A2" s="303" t="s">
        <v>122</v>
      </c>
      <c r="B2" s="304"/>
      <c r="C2" s="304"/>
      <c r="D2" s="140"/>
      <c r="E2" s="140"/>
      <c r="F2" s="140"/>
      <c r="G2" s="140"/>
      <c r="H2" s="140"/>
      <c r="I2" s="140"/>
      <c r="J2" s="140"/>
      <c r="K2" s="140"/>
      <c r="L2" s="140"/>
      <c r="M2" s="140"/>
      <c r="N2" s="140"/>
      <c r="O2" s="140"/>
      <c r="P2" s="140"/>
      <c r="Q2" s="140"/>
      <c r="R2" s="140"/>
      <c r="S2" s="140"/>
      <c r="T2" s="140"/>
      <c r="U2" s="140"/>
      <c r="V2" s="140"/>
      <c r="W2" s="140"/>
      <c r="X2" s="140"/>
      <c r="Y2" s="140"/>
      <c r="Z2" s="140"/>
      <c r="AA2" s="140"/>
      <c r="AB2" s="140"/>
      <c r="AC2" s="140"/>
      <c r="AD2" s="140"/>
      <c r="AE2" s="141"/>
    </row>
    <row r="3" spans="1:32" ht="16.5" customHeight="1" thickBot="1" x14ac:dyDescent="0.25">
      <c r="A3" s="142" t="s">
        <v>299</v>
      </c>
      <c r="B3" s="57"/>
      <c r="C3" s="57"/>
      <c r="D3" s="58"/>
      <c r="E3" s="58"/>
      <c r="F3" s="58"/>
      <c r="G3" s="58"/>
      <c r="H3" s="59"/>
      <c r="I3" s="59"/>
      <c r="J3" s="59"/>
      <c r="K3" s="59"/>
      <c r="L3" s="59"/>
      <c r="M3" s="59"/>
      <c r="N3" s="59"/>
      <c r="O3" s="59"/>
      <c r="P3" s="59"/>
      <c r="Q3" s="59"/>
      <c r="R3" s="59"/>
      <c r="S3" s="59"/>
      <c r="T3" s="59"/>
      <c r="U3" s="59"/>
      <c r="V3" s="59"/>
      <c r="W3" s="59"/>
      <c r="X3" s="59"/>
      <c r="Y3" s="59"/>
      <c r="Z3" s="59"/>
      <c r="AA3" s="59"/>
      <c r="AB3" s="59"/>
      <c r="AC3" s="59"/>
      <c r="AD3" s="59"/>
      <c r="AE3" s="143"/>
    </row>
    <row r="4" spans="1:32" ht="15.75" customHeight="1" x14ac:dyDescent="0.25">
      <c r="A4" s="310"/>
      <c r="B4" s="308" t="s">
        <v>2</v>
      </c>
      <c r="C4" s="301">
        <v>1996</v>
      </c>
      <c r="D4" s="301">
        <v>1997</v>
      </c>
      <c r="E4" s="301">
        <v>1998</v>
      </c>
      <c r="F4" s="301">
        <v>1999</v>
      </c>
      <c r="G4" s="301">
        <v>2000</v>
      </c>
      <c r="H4" s="301">
        <v>2001</v>
      </c>
      <c r="I4" s="301">
        <v>2002</v>
      </c>
      <c r="J4" s="301">
        <v>2003</v>
      </c>
      <c r="K4" s="301">
        <v>2004</v>
      </c>
      <c r="L4" s="301">
        <v>2005</v>
      </c>
      <c r="M4" s="301">
        <v>2006</v>
      </c>
      <c r="N4" s="301">
        <v>2007</v>
      </c>
      <c r="O4" s="301">
        <v>2008</v>
      </c>
      <c r="P4" s="301">
        <v>2009</v>
      </c>
      <c r="Q4" s="301">
        <v>2010</v>
      </c>
      <c r="R4" s="301">
        <v>2011</v>
      </c>
      <c r="S4" s="301">
        <v>2012</v>
      </c>
      <c r="T4" s="301">
        <v>2013</v>
      </c>
      <c r="U4" s="301">
        <v>2014</v>
      </c>
      <c r="V4" s="301">
        <v>2015</v>
      </c>
      <c r="W4" s="301">
        <v>2016</v>
      </c>
      <c r="X4" s="301">
        <v>2017</v>
      </c>
      <c r="Y4" s="301">
        <v>2018</v>
      </c>
      <c r="Z4" s="301">
        <v>2019</v>
      </c>
      <c r="AA4" s="301">
        <v>2020</v>
      </c>
      <c r="AB4" s="301">
        <v>2021</v>
      </c>
      <c r="AC4" s="301">
        <v>2022</v>
      </c>
      <c r="AD4" s="301">
        <v>2023</v>
      </c>
      <c r="AE4" s="299">
        <v>2024</v>
      </c>
    </row>
    <row r="5" spans="1:32" ht="15.75" customHeight="1" thickBot="1" x14ac:dyDescent="0.3">
      <c r="A5" s="311"/>
      <c r="B5" s="309"/>
      <c r="C5" s="302"/>
      <c r="D5" s="302" t="s">
        <v>3</v>
      </c>
      <c r="E5" s="302"/>
      <c r="F5" s="302" t="s">
        <v>4</v>
      </c>
      <c r="G5" s="302"/>
      <c r="H5" s="302" t="s">
        <v>5</v>
      </c>
      <c r="I5" s="302"/>
      <c r="J5" s="302" t="s">
        <v>6</v>
      </c>
      <c r="K5" s="302"/>
      <c r="L5" s="302" t="s">
        <v>7</v>
      </c>
      <c r="M5" s="302"/>
      <c r="N5" s="302" t="s">
        <v>8</v>
      </c>
      <c r="O5" s="302"/>
      <c r="P5" s="302" t="s">
        <v>9</v>
      </c>
      <c r="Q5" s="302"/>
      <c r="R5" s="302" t="s">
        <v>10</v>
      </c>
      <c r="S5" s="302"/>
      <c r="T5" s="302"/>
      <c r="U5" s="302"/>
      <c r="V5" s="302"/>
      <c r="W5" s="302"/>
      <c r="X5" s="302"/>
      <c r="Y5" s="302"/>
      <c r="Z5" s="302"/>
      <c r="AA5" s="302"/>
      <c r="AB5" s="302"/>
      <c r="AC5" s="302"/>
      <c r="AD5" s="302"/>
      <c r="AE5" s="300"/>
    </row>
    <row r="6" spans="1:32" s="11" customFormat="1" ht="15" customHeight="1" thickBot="1" x14ac:dyDescent="0.3">
      <c r="A6" s="144" t="s">
        <v>11</v>
      </c>
      <c r="B6" s="9" t="s">
        <v>12</v>
      </c>
      <c r="C6" s="64">
        <v>425</v>
      </c>
      <c r="D6" s="64">
        <v>391</v>
      </c>
      <c r="E6" s="64">
        <v>494</v>
      </c>
      <c r="F6" s="64">
        <v>465</v>
      </c>
      <c r="G6" s="64">
        <v>361</v>
      </c>
      <c r="H6" s="64">
        <v>353</v>
      </c>
      <c r="I6" s="64">
        <v>356</v>
      </c>
      <c r="J6" s="64">
        <v>354</v>
      </c>
      <c r="K6" s="64">
        <v>392</v>
      </c>
      <c r="L6" s="64">
        <v>404</v>
      </c>
      <c r="M6" s="64">
        <v>423</v>
      </c>
      <c r="N6" s="64">
        <v>426</v>
      </c>
      <c r="O6" s="64">
        <v>428</v>
      </c>
      <c r="P6" s="64">
        <v>415</v>
      </c>
      <c r="Q6" s="64">
        <v>411</v>
      </c>
      <c r="R6" s="64">
        <v>404</v>
      </c>
      <c r="S6" s="64">
        <v>403</v>
      </c>
      <c r="T6" s="64">
        <v>395</v>
      </c>
      <c r="U6" s="64">
        <v>390</v>
      </c>
      <c r="V6" s="64">
        <v>377</v>
      </c>
      <c r="W6" s="64">
        <v>365</v>
      </c>
      <c r="X6" s="64">
        <v>370</v>
      </c>
      <c r="Y6" s="64">
        <v>364</v>
      </c>
      <c r="Z6" s="64">
        <v>355</v>
      </c>
      <c r="AA6" s="64">
        <v>351</v>
      </c>
      <c r="AB6" s="64">
        <v>349</v>
      </c>
      <c r="AC6" s="64">
        <v>355</v>
      </c>
      <c r="AD6" s="64">
        <v>339</v>
      </c>
      <c r="AE6" s="145">
        <v>356</v>
      </c>
      <c r="AF6" s="10"/>
    </row>
    <row r="7" spans="1:32" ht="15" customHeight="1" x14ac:dyDescent="0.25">
      <c r="A7" s="146">
        <v>1</v>
      </c>
      <c r="B7" s="12" t="s">
        <v>13</v>
      </c>
      <c r="C7" s="68">
        <v>415</v>
      </c>
      <c r="D7" s="68">
        <v>380</v>
      </c>
      <c r="E7" s="68">
        <v>467</v>
      </c>
      <c r="F7" s="68">
        <v>441</v>
      </c>
      <c r="G7" s="68">
        <v>353</v>
      </c>
      <c r="H7" s="68">
        <v>345</v>
      </c>
      <c r="I7" s="68">
        <v>346</v>
      </c>
      <c r="J7" s="68">
        <v>343</v>
      </c>
      <c r="K7" s="68">
        <v>381</v>
      </c>
      <c r="L7" s="68">
        <v>394</v>
      </c>
      <c r="M7" s="68">
        <v>411</v>
      </c>
      <c r="N7" s="68">
        <v>413</v>
      </c>
      <c r="O7" s="68">
        <v>414</v>
      </c>
      <c r="P7" s="68">
        <v>402</v>
      </c>
      <c r="Q7" s="68">
        <v>400</v>
      </c>
      <c r="R7" s="68">
        <v>394</v>
      </c>
      <c r="S7" s="68">
        <v>392</v>
      </c>
      <c r="T7" s="68">
        <v>384</v>
      </c>
      <c r="U7" s="68">
        <v>379</v>
      </c>
      <c r="V7" s="68">
        <v>368</v>
      </c>
      <c r="W7" s="68">
        <v>357</v>
      </c>
      <c r="X7" s="68">
        <v>362</v>
      </c>
      <c r="Y7" s="68">
        <v>356</v>
      </c>
      <c r="Z7" s="68">
        <v>348</v>
      </c>
      <c r="AA7" s="68">
        <v>345</v>
      </c>
      <c r="AB7" s="68">
        <v>343</v>
      </c>
      <c r="AC7" s="68">
        <v>349</v>
      </c>
      <c r="AD7" s="68">
        <v>332</v>
      </c>
      <c r="AE7" s="147">
        <v>348</v>
      </c>
    </row>
    <row r="8" spans="1:32" ht="15" customHeight="1" thickBot="1" x14ac:dyDescent="0.3">
      <c r="A8" s="148">
        <v>2</v>
      </c>
      <c r="B8" s="13" t="s">
        <v>14</v>
      </c>
      <c r="C8" s="69">
        <v>10</v>
      </c>
      <c r="D8" s="69">
        <v>11</v>
      </c>
      <c r="E8" s="69">
        <v>27</v>
      </c>
      <c r="F8" s="69">
        <v>24</v>
      </c>
      <c r="G8" s="69">
        <v>8</v>
      </c>
      <c r="H8" s="69">
        <v>8</v>
      </c>
      <c r="I8" s="69">
        <v>10</v>
      </c>
      <c r="J8" s="69">
        <v>11</v>
      </c>
      <c r="K8" s="69">
        <v>11</v>
      </c>
      <c r="L8" s="69">
        <v>10</v>
      </c>
      <c r="M8" s="69">
        <v>12</v>
      </c>
      <c r="N8" s="69">
        <v>13</v>
      </c>
      <c r="O8" s="69">
        <v>14</v>
      </c>
      <c r="P8" s="69">
        <v>13</v>
      </c>
      <c r="Q8" s="69">
        <v>11</v>
      </c>
      <c r="R8" s="69">
        <v>10</v>
      </c>
      <c r="S8" s="69">
        <v>11</v>
      </c>
      <c r="T8" s="69">
        <v>11</v>
      </c>
      <c r="U8" s="69">
        <v>11</v>
      </c>
      <c r="V8" s="69">
        <v>9</v>
      </c>
      <c r="W8" s="69">
        <v>8</v>
      </c>
      <c r="X8" s="69">
        <v>8</v>
      </c>
      <c r="Y8" s="69">
        <v>8</v>
      </c>
      <c r="Z8" s="69">
        <v>7</v>
      </c>
      <c r="AA8" s="69">
        <v>6</v>
      </c>
      <c r="AB8" s="69">
        <v>6</v>
      </c>
      <c r="AC8" s="69">
        <v>6</v>
      </c>
      <c r="AD8" s="69">
        <v>7</v>
      </c>
      <c r="AE8" s="149">
        <v>8</v>
      </c>
    </row>
    <row r="9" spans="1:32" s="11" customFormat="1" ht="15" customHeight="1" thickBot="1" x14ac:dyDescent="0.3">
      <c r="A9" s="144" t="s">
        <v>15</v>
      </c>
      <c r="B9" s="9" t="s">
        <v>16</v>
      </c>
      <c r="C9" s="64" t="s">
        <v>383</v>
      </c>
      <c r="D9" s="64" t="s">
        <v>383</v>
      </c>
      <c r="E9" s="64" t="s">
        <v>383</v>
      </c>
      <c r="F9" s="64" t="s">
        <v>383</v>
      </c>
      <c r="G9" s="64" t="s">
        <v>383</v>
      </c>
      <c r="H9" s="64" t="s">
        <v>383</v>
      </c>
      <c r="I9" s="64">
        <v>4</v>
      </c>
      <c r="J9" s="64" t="s">
        <v>383</v>
      </c>
      <c r="K9" s="64" t="s">
        <v>383</v>
      </c>
      <c r="L9" s="64">
        <v>8</v>
      </c>
      <c r="M9" s="64">
        <v>9</v>
      </c>
      <c r="N9" s="64">
        <v>8</v>
      </c>
      <c r="O9" s="64">
        <v>7</v>
      </c>
      <c r="P9" s="64">
        <v>5</v>
      </c>
      <c r="Q9" s="64" t="s">
        <v>383</v>
      </c>
      <c r="R9" s="64" t="s">
        <v>383</v>
      </c>
      <c r="S9" s="64">
        <v>4</v>
      </c>
      <c r="T9" s="64">
        <v>5</v>
      </c>
      <c r="U9" s="64">
        <v>5</v>
      </c>
      <c r="V9" s="64">
        <v>4</v>
      </c>
      <c r="W9" s="64">
        <v>4</v>
      </c>
      <c r="X9" s="64">
        <v>4</v>
      </c>
      <c r="Y9" s="64">
        <v>4</v>
      </c>
      <c r="Z9" s="64">
        <v>6</v>
      </c>
      <c r="AA9" s="64">
        <v>6</v>
      </c>
      <c r="AB9" s="64">
        <v>6</v>
      </c>
      <c r="AC9" s="64">
        <v>6</v>
      </c>
      <c r="AD9" s="64">
        <v>6</v>
      </c>
      <c r="AE9" s="145">
        <v>7</v>
      </c>
      <c r="AF9" s="10"/>
    </row>
    <row r="10" spans="1:32" ht="15" customHeight="1" thickBot="1" x14ac:dyDescent="0.3">
      <c r="A10" s="150">
        <v>5</v>
      </c>
      <c r="B10" s="14" t="s">
        <v>17</v>
      </c>
      <c r="C10" s="67" t="s">
        <v>383</v>
      </c>
      <c r="D10" s="67" t="s">
        <v>383</v>
      </c>
      <c r="E10" s="67" t="s">
        <v>383</v>
      </c>
      <c r="F10" s="67" t="s">
        <v>383</v>
      </c>
      <c r="G10" s="67" t="s">
        <v>383</v>
      </c>
      <c r="H10" s="67" t="s">
        <v>383</v>
      </c>
      <c r="I10" s="67">
        <v>4</v>
      </c>
      <c r="J10" s="67" t="s">
        <v>383</v>
      </c>
      <c r="K10" s="67" t="s">
        <v>383</v>
      </c>
      <c r="L10" s="67">
        <v>8</v>
      </c>
      <c r="M10" s="67">
        <v>9</v>
      </c>
      <c r="N10" s="67">
        <v>8</v>
      </c>
      <c r="O10" s="67">
        <v>7</v>
      </c>
      <c r="P10" s="67">
        <v>5</v>
      </c>
      <c r="Q10" s="67" t="s">
        <v>383</v>
      </c>
      <c r="R10" s="67" t="s">
        <v>383</v>
      </c>
      <c r="S10" s="67">
        <v>4</v>
      </c>
      <c r="T10" s="67">
        <v>5</v>
      </c>
      <c r="U10" s="67">
        <v>5</v>
      </c>
      <c r="V10" s="67">
        <v>4</v>
      </c>
      <c r="W10" s="67">
        <v>4</v>
      </c>
      <c r="X10" s="67">
        <v>4</v>
      </c>
      <c r="Y10" s="67">
        <v>4</v>
      </c>
      <c r="Z10" s="67">
        <v>6</v>
      </c>
      <c r="AA10" s="67">
        <v>6</v>
      </c>
      <c r="AB10" s="67">
        <v>6</v>
      </c>
      <c r="AC10" s="67">
        <v>6</v>
      </c>
      <c r="AD10" s="67">
        <v>6</v>
      </c>
      <c r="AE10" s="151">
        <v>7</v>
      </c>
    </row>
    <row r="11" spans="1:32" s="11" customFormat="1" ht="15" customHeight="1" thickBot="1" x14ac:dyDescent="0.3">
      <c r="A11" s="144" t="s">
        <v>18</v>
      </c>
      <c r="B11" s="9" t="s">
        <v>19</v>
      </c>
      <c r="C11" s="64">
        <v>110</v>
      </c>
      <c r="D11" s="64">
        <v>114</v>
      </c>
      <c r="E11" s="64">
        <v>116</v>
      </c>
      <c r="F11" s="64">
        <v>119</v>
      </c>
      <c r="G11" s="64">
        <v>121</v>
      </c>
      <c r="H11" s="64">
        <v>121</v>
      </c>
      <c r="I11" s="64">
        <v>113</v>
      </c>
      <c r="J11" s="64">
        <v>119</v>
      </c>
      <c r="K11" s="64">
        <v>132</v>
      </c>
      <c r="L11" s="64">
        <v>152</v>
      </c>
      <c r="M11" s="64">
        <v>164</v>
      </c>
      <c r="N11" s="64">
        <v>169</v>
      </c>
      <c r="O11" s="64">
        <v>175</v>
      </c>
      <c r="P11" s="64">
        <v>174</v>
      </c>
      <c r="Q11" s="64">
        <v>180</v>
      </c>
      <c r="R11" s="64">
        <v>179</v>
      </c>
      <c r="S11" s="64">
        <v>190</v>
      </c>
      <c r="T11" s="64">
        <v>209</v>
      </c>
      <c r="U11" s="64">
        <v>220</v>
      </c>
      <c r="V11" s="64">
        <v>238</v>
      </c>
      <c r="W11" s="64">
        <v>234</v>
      </c>
      <c r="X11" s="64">
        <v>236</v>
      </c>
      <c r="Y11" s="64">
        <v>240</v>
      </c>
      <c r="Z11" s="64">
        <v>256</v>
      </c>
      <c r="AA11" s="64">
        <v>258</v>
      </c>
      <c r="AB11" s="64">
        <v>273</v>
      </c>
      <c r="AC11" s="64">
        <v>281</v>
      </c>
      <c r="AD11" s="64">
        <v>279</v>
      </c>
      <c r="AE11" s="145">
        <v>284</v>
      </c>
      <c r="AF11" s="10"/>
    </row>
    <row r="12" spans="1:32" ht="15" customHeight="1" x14ac:dyDescent="0.25">
      <c r="A12" s="152">
        <v>11</v>
      </c>
      <c r="B12" s="15" t="s">
        <v>20</v>
      </c>
      <c r="C12" s="68">
        <v>79</v>
      </c>
      <c r="D12" s="68">
        <v>85</v>
      </c>
      <c r="E12" s="68">
        <v>84</v>
      </c>
      <c r="F12" s="68">
        <v>89</v>
      </c>
      <c r="G12" s="68">
        <v>101</v>
      </c>
      <c r="H12" s="68">
        <v>100</v>
      </c>
      <c r="I12" s="68">
        <v>92</v>
      </c>
      <c r="J12" s="68">
        <v>98</v>
      </c>
      <c r="K12" s="68">
        <v>109</v>
      </c>
      <c r="L12" s="68">
        <v>123</v>
      </c>
      <c r="M12" s="68">
        <v>134</v>
      </c>
      <c r="N12" s="68">
        <v>142</v>
      </c>
      <c r="O12" s="68">
        <v>146</v>
      </c>
      <c r="P12" s="68">
        <v>142</v>
      </c>
      <c r="Q12" s="68">
        <v>148</v>
      </c>
      <c r="R12" s="68">
        <v>150</v>
      </c>
      <c r="S12" s="68">
        <v>160</v>
      </c>
      <c r="T12" s="68">
        <v>174</v>
      </c>
      <c r="U12" s="68">
        <v>185</v>
      </c>
      <c r="V12" s="68">
        <v>202</v>
      </c>
      <c r="W12" s="68">
        <v>200</v>
      </c>
      <c r="X12" s="68">
        <v>201</v>
      </c>
      <c r="Y12" s="68">
        <v>201</v>
      </c>
      <c r="Z12" s="68">
        <v>211</v>
      </c>
      <c r="AA12" s="68">
        <v>218</v>
      </c>
      <c r="AB12" s="68">
        <v>235</v>
      </c>
      <c r="AC12" s="68">
        <v>246</v>
      </c>
      <c r="AD12" s="68">
        <v>244</v>
      </c>
      <c r="AE12" s="153">
        <v>248</v>
      </c>
    </row>
    <row r="13" spans="1:32" ht="15" customHeight="1" x14ac:dyDescent="0.25">
      <c r="A13" s="154">
        <v>13</v>
      </c>
      <c r="B13" s="16" t="s">
        <v>21</v>
      </c>
      <c r="C13" s="69">
        <v>7</v>
      </c>
      <c r="D13" s="69">
        <v>4</v>
      </c>
      <c r="E13" s="69">
        <v>4</v>
      </c>
      <c r="F13" s="69">
        <v>6</v>
      </c>
      <c r="G13" s="69" t="s">
        <v>383</v>
      </c>
      <c r="H13" s="69" t="s">
        <v>383</v>
      </c>
      <c r="I13" s="69" t="s">
        <v>383</v>
      </c>
      <c r="J13" s="69" t="s">
        <v>383</v>
      </c>
      <c r="K13" s="69" t="s">
        <v>383</v>
      </c>
      <c r="L13" s="69" t="s">
        <v>383</v>
      </c>
      <c r="M13" s="69" t="s">
        <v>383</v>
      </c>
      <c r="N13" s="69" t="s">
        <v>383</v>
      </c>
      <c r="O13" s="69" t="s">
        <v>383</v>
      </c>
      <c r="P13" s="69" t="s">
        <v>383</v>
      </c>
      <c r="Q13" s="69" t="s">
        <v>383</v>
      </c>
      <c r="R13" s="69" t="s">
        <v>383</v>
      </c>
      <c r="S13" s="69" t="s">
        <v>383</v>
      </c>
      <c r="T13" s="69" t="s">
        <v>383</v>
      </c>
      <c r="U13" s="69" t="s">
        <v>383</v>
      </c>
      <c r="V13" s="69" t="s">
        <v>383</v>
      </c>
      <c r="W13" s="69" t="s">
        <v>383</v>
      </c>
      <c r="X13" s="69" t="s">
        <v>383</v>
      </c>
      <c r="Y13" s="69" t="s">
        <v>383</v>
      </c>
      <c r="Z13" s="69" t="s">
        <v>383</v>
      </c>
      <c r="AA13" s="69" t="s">
        <v>383</v>
      </c>
      <c r="AB13" s="69" t="s">
        <v>383</v>
      </c>
      <c r="AC13" s="69" t="s">
        <v>383</v>
      </c>
      <c r="AD13" s="69" t="s">
        <v>383</v>
      </c>
      <c r="AE13" s="155" t="s">
        <v>383</v>
      </c>
    </row>
    <row r="14" spans="1:32" ht="15" customHeight="1" thickBot="1" x14ac:dyDescent="0.3">
      <c r="A14" s="152">
        <v>14</v>
      </c>
      <c r="B14" s="15" t="s">
        <v>22</v>
      </c>
      <c r="C14" s="68">
        <v>24</v>
      </c>
      <c r="D14" s="68">
        <v>25</v>
      </c>
      <c r="E14" s="68">
        <v>28</v>
      </c>
      <c r="F14" s="68">
        <v>24</v>
      </c>
      <c r="G14" s="68" t="s">
        <v>383</v>
      </c>
      <c r="H14" s="68" t="s">
        <v>383</v>
      </c>
      <c r="I14" s="68" t="s">
        <v>383</v>
      </c>
      <c r="J14" s="68" t="s">
        <v>383</v>
      </c>
      <c r="K14" s="68" t="s">
        <v>383</v>
      </c>
      <c r="L14" s="68" t="s">
        <v>383</v>
      </c>
      <c r="M14" s="68" t="s">
        <v>383</v>
      </c>
      <c r="N14" s="68" t="s">
        <v>383</v>
      </c>
      <c r="O14" s="68" t="s">
        <v>383</v>
      </c>
      <c r="P14" s="68" t="s">
        <v>383</v>
      </c>
      <c r="Q14" s="68" t="s">
        <v>383</v>
      </c>
      <c r="R14" s="68" t="s">
        <v>383</v>
      </c>
      <c r="S14" s="68" t="s">
        <v>383</v>
      </c>
      <c r="T14" s="68" t="s">
        <v>383</v>
      </c>
      <c r="U14" s="68" t="s">
        <v>383</v>
      </c>
      <c r="V14" s="68" t="s">
        <v>383</v>
      </c>
      <c r="W14" s="68" t="s">
        <v>383</v>
      </c>
      <c r="X14" s="68" t="s">
        <v>383</v>
      </c>
      <c r="Y14" s="68" t="s">
        <v>383</v>
      </c>
      <c r="Z14" s="68" t="s">
        <v>383</v>
      </c>
      <c r="AA14" s="68" t="s">
        <v>383</v>
      </c>
      <c r="AB14" s="68" t="s">
        <v>383</v>
      </c>
      <c r="AC14" s="68" t="s">
        <v>383</v>
      </c>
      <c r="AD14" s="68" t="s">
        <v>383</v>
      </c>
      <c r="AE14" s="153" t="s">
        <v>383</v>
      </c>
    </row>
    <row r="15" spans="1:32" s="11" customFormat="1" ht="15" customHeight="1" thickBot="1" x14ac:dyDescent="0.3">
      <c r="A15" s="144" t="s">
        <v>23</v>
      </c>
      <c r="B15" s="9" t="s">
        <v>24</v>
      </c>
      <c r="C15" s="64">
        <v>427</v>
      </c>
      <c r="D15" s="64">
        <v>421</v>
      </c>
      <c r="E15" s="64">
        <v>506</v>
      </c>
      <c r="F15" s="64">
        <v>498</v>
      </c>
      <c r="G15" s="64">
        <v>380</v>
      </c>
      <c r="H15" s="64">
        <v>367</v>
      </c>
      <c r="I15" s="64">
        <v>339</v>
      </c>
      <c r="J15" s="64">
        <v>355</v>
      </c>
      <c r="K15" s="64">
        <v>409</v>
      </c>
      <c r="L15" s="64">
        <v>441</v>
      </c>
      <c r="M15" s="64">
        <v>474</v>
      </c>
      <c r="N15" s="64">
        <v>505</v>
      </c>
      <c r="O15" s="64">
        <v>525</v>
      </c>
      <c r="P15" s="64">
        <v>532</v>
      </c>
      <c r="Q15" s="64">
        <v>523</v>
      </c>
      <c r="R15" s="64">
        <v>528</v>
      </c>
      <c r="S15" s="64">
        <v>516</v>
      </c>
      <c r="T15" s="64">
        <v>546</v>
      </c>
      <c r="U15" s="64">
        <v>562</v>
      </c>
      <c r="V15" s="64">
        <v>587</v>
      </c>
      <c r="W15" s="64">
        <v>587</v>
      </c>
      <c r="X15" s="64">
        <v>594</v>
      </c>
      <c r="Y15" s="64">
        <v>592</v>
      </c>
      <c r="Z15" s="64">
        <v>586</v>
      </c>
      <c r="AA15" s="64">
        <v>590</v>
      </c>
      <c r="AB15" s="64">
        <v>586</v>
      </c>
      <c r="AC15" s="64">
        <v>631</v>
      </c>
      <c r="AD15" s="64">
        <v>674</v>
      </c>
      <c r="AE15" s="145">
        <v>673</v>
      </c>
      <c r="AF15" s="10"/>
    </row>
    <row r="16" spans="1:32" ht="15" customHeight="1" x14ac:dyDescent="0.25">
      <c r="A16" s="152">
        <v>15</v>
      </c>
      <c r="B16" s="15" t="s">
        <v>25</v>
      </c>
      <c r="C16" s="68">
        <v>149</v>
      </c>
      <c r="D16" s="68">
        <v>146</v>
      </c>
      <c r="E16" s="68">
        <v>184</v>
      </c>
      <c r="F16" s="68">
        <v>181</v>
      </c>
      <c r="G16" s="68">
        <v>133</v>
      </c>
      <c r="H16" s="68">
        <v>121</v>
      </c>
      <c r="I16" s="68">
        <v>108</v>
      </c>
      <c r="J16" s="68">
        <v>113</v>
      </c>
      <c r="K16" s="68">
        <v>126</v>
      </c>
      <c r="L16" s="68">
        <v>131</v>
      </c>
      <c r="M16" s="68">
        <v>136</v>
      </c>
      <c r="N16" s="68">
        <v>153</v>
      </c>
      <c r="O16" s="68">
        <v>152</v>
      </c>
      <c r="P16" s="68">
        <v>158</v>
      </c>
      <c r="Q16" s="68">
        <v>163</v>
      </c>
      <c r="R16" s="68">
        <v>163</v>
      </c>
      <c r="S16" s="68">
        <v>163</v>
      </c>
      <c r="T16" s="68">
        <v>174</v>
      </c>
      <c r="U16" s="68">
        <v>183</v>
      </c>
      <c r="V16" s="68">
        <v>188</v>
      </c>
      <c r="W16" s="68">
        <v>193</v>
      </c>
      <c r="X16" s="68">
        <v>204</v>
      </c>
      <c r="Y16" s="68">
        <v>193</v>
      </c>
      <c r="Z16" s="68">
        <v>198</v>
      </c>
      <c r="AA16" s="68">
        <v>195</v>
      </c>
      <c r="AB16" s="68">
        <v>198</v>
      </c>
      <c r="AC16" s="68">
        <v>215</v>
      </c>
      <c r="AD16" s="68">
        <v>232</v>
      </c>
      <c r="AE16" s="153">
        <v>227</v>
      </c>
    </row>
    <row r="17" spans="1:31" ht="15" customHeight="1" x14ac:dyDescent="0.25">
      <c r="A17" s="156">
        <v>16</v>
      </c>
      <c r="B17" s="17" t="s">
        <v>26</v>
      </c>
      <c r="C17" s="70" t="s">
        <v>383</v>
      </c>
      <c r="D17" s="70" t="s">
        <v>383</v>
      </c>
      <c r="E17" s="70" t="s">
        <v>383</v>
      </c>
      <c r="F17" s="70" t="s">
        <v>383</v>
      </c>
      <c r="G17" s="70" t="s">
        <v>383</v>
      </c>
      <c r="H17" s="70" t="s">
        <v>383</v>
      </c>
      <c r="I17" s="70" t="s">
        <v>383</v>
      </c>
      <c r="J17" s="70" t="s">
        <v>383</v>
      </c>
      <c r="K17" s="70" t="s">
        <v>383</v>
      </c>
      <c r="L17" s="70" t="s">
        <v>383</v>
      </c>
      <c r="M17" s="70" t="s">
        <v>383</v>
      </c>
      <c r="N17" s="70" t="s">
        <v>383</v>
      </c>
      <c r="O17" s="70" t="s">
        <v>383</v>
      </c>
      <c r="P17" s="70" t="s">
        <v>383</v>
      </c>
      <c r="Q17" s="70" t="s">
        <v>383</v>
      </c>
      <c r="R17" s="70" t="s">
        <v>383</v>
      </c>
      <c r="S17" s="70" t="s">
        <v>383</v>
      </c>
      <c r="T17" s="70" t="s">
        <v>383</v>
      </c>
      <c r="U17" s="70" t="s">
        <v>383</v>
      </c>
      <c r="V17" s="70" t="s">
        <v>383</v>
      </c>
      <c r="W17" s="70" t="s">
        <v>383</v>
      </c>
      <c r="X17" s="70" t="s">
        <v>383</v>
      </c>
      <c r="Y17" s="70" t="s">
        <v>383</v>
      </c>
      <c r="Z17" s="70" t="s">
        <v>383</v>
      </c>
      <c r="AA17" s="70" t="s">
        <v>383</v>
      </c>
      <c r="AB17" s="70" t="s">
        <v>383</v>
      </c>
      <c r="AC17" s="70" t="s">
        <v>383</v>
      </c>
      <c r="AD17" s="70" t="s">
        <v>383</v>
      </c>
      <c r="AE17" s="157" t="s">
        <v>383</v>
      </c>
    </row>
    <row r="18" spans="1:31" ht="15" customHeight="1" x14ac:dyDescent="0.25">
      <c r="A18" s="156">
        <v>17</v>
      </c>
      <c r="B18" s="17" t="s">
        <v>27</v>
      </c>
      <c r="C18" s="70">
        <v>8</v>
      </c>
      <c r="D18" s="70">
        <v>6</v>
      </c>
      <c r="E18" s="70">
        <v>8</v>
      </c>
      <c r="F18" s="70">
        <v>5</v>
      </c>
      <c r="G18" s="70">
        <v>4</v>
      </c>
      <c r="H18" s="70">
        <v>6</v>
      </c>
      <c r="I18" s="70">
        <v>4</v>
      </c>
      <c r="J18" s="70">
        <v>6</v>
      </c>
      <c r="K18" s="70">
        <v>7</v>
      </c>
      <c r="L18" s="70">
        <v>7</v>
      </c>
      <c r="M18" s="70">
        <v>9</v>
      </c>
      <c r="N18" s="70">
        <v>7</v>
      </c>
      <c r="O18" s="70">
        <v>8</v>
      </c>
      <c r="P18" s="70">
        <v>10</v>
      </c>
      <c r="Q18" s="70">
        <v>10</v>
      </c>
      <c r="R18" s="70">
        <v>9</v>
      </c>
      <c r="S18" s="70">
        <v>10</v>
      </c>
      <c r="T18" s="70">
        <v>10</v>
      </c>
      <c r="U18" s="70">
        <v>9</v>
      </c>
      <c r="V18" s="70">
        <v>13</v>
      </c>
      <c r="W18" s="70">
        <v>11</v>
      </c>
      <c r="X18" s="70">
        <v>9</v>
      </c>
      <c r="Y18" s="70">
        <v>7</v>
      </c>
      <c r="Z18" s="70">
        <v>6</v>
      </c>
      <c r="AA18" s="70">
        <v>5</v>
      </c>
      <c r="AB18" s="70">
        <v>7</v>
      </c>
      <c r="AC18" s="70">
        <v>9</v>
      </c>
      <c r="AD18" s="70">
        <v>10</v>
      </c>
      <c r="AE18" s="157">
        <v>12</v>
      </c>
    </row>
    <row r="19" spans="1:31" ht="15" customHeight="1" x14ac:dyDescent="0.25">
      <c r="A19" s="156">
        <v>18</v>
      </c>
      <c r="B19" s="17" t="s">
        <v>28</v>
      </c>
      <c r="C19" s="70">
        <v>8</v>
      </c>
      <c r="D19" s="70">
        <v>10</v>
      </c>
      <c r="E19" s="70">
        <v>7</v>
      </c>
      <c r="F19" s="70">
        <v>14</v>
      </c>
      <c r="G19" s="70">
        <v>10</v>
      </c>
      <c r="H19" s="70">
        <v>11</v>
      </c>
      <c r="I19" s="70">
        <v>12</v>
      </c>
      <c r="J19" s="70">
        <v>12</v>
      </c>
      <c r="K19" s="70">
        <v>12</v>
      </c>
      <c r="L19" s="70">
        <v>11</v>
      </c>
      <c r="M19" s="70">
        <v>14</v>
      </c>
      <c r="N19" s="70">
        <v>12</v>
      </c>
      <c r="O19" s="70">
        <v>12</v>
      </c>
      <c r="P19" s="70">
        <v>14</v>
      </c>
      <c r="Q19" s="70">
        <v>17</v>
      </c>
      <c r="R19" s="70">
        <v>17</v>
      </c>
      <c r="S19" s="70">
        <v>14</v>
      </c>
      <c r="T19" s="70">
        <v>16</v>
      </c>
      <c r="U19" s="70">
        <v>13</v>
      </c>
      <c r="V19" s="70">
        <v>18</v>
      </c>
      <c r="W19" s="70">
        <v>16</v>
      </c>
      <c r="X19" s="70">
        <v>19</v>
      </c>
      <c r="Y19" s="70">
        <v>18</v>
      </c>
      <c r="Z19" s="70">
        <v>17</v>
      </c>
      <c r="AA19" s="70">
        <v>19</v>
      </c>
      <c r="AB19" s="70">
        <v>18</v>
      </c>
      <c r="AC19" s="70">
        <v>21</v>
      </c>
      <c r="AD19" s="70">
        <v>22</v>
      </c>
      <c r="AE19" s="157">
        <v>19</v>
      </c>
    </row>
    <row r="20" spans="1:31" ht="15" customHeight="1" x14ac:dyDescent="0.25">
      <c r="A20" s="156">
        <v>19</v>
      </c>
      <c r="B20" s="17" t="s">
        <v>105</v>
      </c>
      <c r="C20" s="70" t="s">
        <v>383</v>
      </c>
      <c r="D20" s="70">
        <v>4</v>
      </c>
      <c r="E20" s="70" t="s">
        <v>383</v>
      </c>
      <c r="F20" s="70">
        <v>5</v>
      </c>
      <c r="G20" s="70" t="s">
        <v>383</v>
      </c>
      <c r="H20" s="70" t="s">
        <v>383</v>
      </c>
      <c r="I20" s="70" t="s">
        <v>383</v>
      </c>
      <c r="J20" s="70" t="s">
        <v>383</v>
      </c>
      <c r="K20" s="70" t="s">
        <v>383</v>
      </c>
      <c r="L20" s="70" t="s">
        <v>383</v>
      </c>
      <c r="M20" s="70" t="s">
        <v>383</v>
      </c>
      <c r="N20" s="70" t="s">
        <v>383</v>
      </c>
      <c r="O20" s="70" t="s">
        <v>383</v>
      </c>
      <c r="P20" s="70" t="s">
        <v>383</v>
      </c>
      <c r="Q20" s="70" t="s">
        <v>383</v>
      </c>
      <c r="R20" s="70" t="s">
        <v>383</v>
      </c>
      <c r="S20" s="70" t="s">
        <v>383</v>
      </c>
      <c r="T20" s="70" t="s">
        <v>383</v>
      </c>
      <c r="U20" s="70" t="s">
        <v>383</v>
      </c>
      <c r="V20" s="70" t="s">
        <v>383</v>
      </c>
      <c r="W20" s="70" t="s">
        <v>383</v>
      </c>
      <c r="X20" s="70" t="s">
        <v>383</v>
      </c>
      <c r="Y20" s="70" t="s">
        <v>383</v>
      </c>
      <c r="Z20" s="70" t="s">
        <v>383</v>
      </c>
      <c r="AA20" s="70" t="s">
        <v>383</v>
      </c>
      <c r="AB20" s="70" t="s">
        <v>383</v>
      </c>
      <c r="AC20" s="70" t="s">
        <v>383</v>
      </c>
      <c r="AD20" s="70" t="s">
        <v>383</v>
      </c>
      <c r="AE20" s="157" t="s">
        <v>383</v>
      </c>
    </row>
    <row r="21" spans="1:31" ht="15" customHeight="1" x14ac:dyDescent="0.25">
      <c r="A21" s="156">
        <v>20</v>
      </c>
      <c r="B21" s="17" t="s">
        <v>30</v>
      </c>
      <c r="C21" s="70">
        <v>36</v>
      </c>
      <c r="D21" s="70">
        <v>37</v>
      </c>
      <c r="E21" s="70">
        <v>62</v>
      </c>
      <c r="F21" s="70">
        <v>57</v>
      </c>
      <c r="G21" s="70">
        <v>27</v>
      </c>
      <c r="H21" s="70">
        <v>24</v>
      </c>
      <c r="I21" s="70">
        <v>23</v>
      </c>
      <c r="J21" s="70">
        <v>25</v>
      </c>
      <c r="K21" s="70">
        <v>32</v>
      </c>
      <c r="L21" s="70">
        <v>28</v>
      </c>
      <c r="M21" s="70">
        <v>30</v>
      </c>
      <c r="N21" s="70">
        <v>30</v>
      </c>
      <c r="O21" s="70">
        <v>31</v>
      </c>
      <c r="P21" s="70">
        <v>30</v>
      </c>
      <c r="Q21" s="70">
        <v>29</v>
      </c>
      <c r="R21" s="70">
        <v>29</v>
      </c>
      <c r="S21" s="70">
        <v>27</v>
      </c>
      <c r="T21" s="70">
        <v>29</v>
      </c>
      <c r="U21" s="70">
        <v>33</v>
      </c>
      <c r="V21" s="70">
        <v>26</v>
      </c>
      <c r="W21" s="70">
        <v>26</v>
      </c>
      <c r="X21" s="70">
        <v>22</v>
      </c>
      <c r="Y21" s="70">
        <v>27</v>
      </c>
      <c r="Z21" s="70">
        <v>23</v>
      </c>
      <c r="AA21" s="70">
        <v>27</v>
      </c>
      <c r="AB21" s="70">
        <v>25</v>
      </c>
      <c r="AC21" s="70">
        <v>24</v>
      </c>
      <c r="AD21" s="70">
        <v>25</v>
      </c>
      <c r="AE21" s="157">
        <v>25</v>
      </c>
    </row>
    <row r="22" spans="1:31" ht="15" customHeight="1" x14ac:dyDescent="0.25">
      <c r="A22" s="156">
        <v>21</v>
      </c>
      <c r="B22" s="17" t="s">
        <v>31</v>
      </c>
      <c r="C22" s="70">
        <v>8</v>
      </c>
      <c r="D22" s="70">
        <v>5</v>
      </c>
      <c r="E22" s="70">
        <v>7</v>
      </c>
      <c r="F22" s="70">
        <v>8</v>
      </c>
      <c r="G22" s="70">
        <v>5</v>
      </c>
      <c r="H22" s="70">
        <v>4</v>
      </c>
      <c r="I22" s="70">
        <v>4</v>
      </c>
      <c r="J22" s="70">
        <v>4</v>
      </c>
      <c r="K22" s="70">
        <v>4</v>
      </c>
      <c r="L22" s="70">
        <v>5</v>
      </c>
      <c r="M22" s="70">
        <v>6</v>
      </c>
      <c r="N22" s="70">
        <v>6</v>
      </c>
      <c r="O22" s="70">
        <v>5</v>
      </c>
      <c r="P22" s="70">
        <v>6</v>
      </c>
      <c r="Q22" s="70">
        <v>5</v>
      </c>
      <c r="R22" s="70">
        <v>6</v>
      </c>
      <c r="S22" s="70">
        <v>7</v>
      </c>
      <c r="T22" s="70">
        <v>7</v>
      </c>
      <c r="U22" s="70">
        <v>6</v>
      </c>
      <c r="V22" s="70">
        <v>7</v>
      </c>
      <c r="W22" s="70">
        <v>7</v>
      </c>
      <c r="X22" s="70">
        <v>8</v>
      </c>
      <c r="Y22" s="70">
        <v>9</v>
      </c>
      <c r="Z22" s="70">
        <v>9</v>
      </c>
      <c r="AA22" s="70">
        <v>8</v>
      </c>
      <c r="AB22" s="70">
        <v>8</v>
      </c>
      <c r="AC22" s="70">
        <v>8</v>
      </c>
      <c r="AD22" s="70">
        <v>7</v>
      </c>
      <c r="AE22" s="157">
        <v>7</v>
      </c>
    </row>
    <row r="23" spans="1:31" ht="15" customHeight="1" x14ac:dyDescent="0.25">
      <c r="A23" s="156">
        <v>22</v>
      </c>
      <c r="B23" s="17" t="s">
        <v>98</v>
      </c>
      <c r="C23" s="70">
        <v>31</v>
      </c>
      <c r="D23" s="70">
        <v>27</v>
      </c>
      <c r="E23" s="70">
        <v>30</v>
      </c>
      <c r="F23" s="70">
        <v>33</v>
      </c>
      <c r="G23" s="70">
        <v>32</v>
      </c>
      <c r="H23" s="70">
        <v>31</v>
      </c>
      <c r="I23" s="70">
        <v>28</v>
      </c>
      <c r="J23" s="70">
        <v>30</v>
      </c>
      <c r="K23" s="70">
        <v>29</v>
      </c>
      <c r="L23" s="70">
        <v>39</v>
      </c>
      <c r="M23" s="70">
        <v>40</v>
      </c>
      <c r="N23" s="70">
        <v>43</v>
      </c>
      <c r="O23" s="70">
        <v>47</v>
      </c>
      <c r="P23" s="70">
        <v>43</v>
      </c>
      <c r="Q23" s="70">
        <v>48</v>
      </c>
      <c r="R23" s="70">
        <v>48</v>
      </c>
      <c r="S23" s="70">
        <v>46</v>
      </c>
      <c r="T23" s="70">
        <v>45</v>
      </c>
      <c r="U23" s="70">
        <v>46</v>
      </c>
      <c r="V23" s="70">
        <v>48</v>
      </c>
      <c r="W23" s="70">
        <v>47</v>
      </c>
      <c r="X23" s="70">
        <v>41</v>
      </c>
      <c r="Y23" s="70">
        <v>40</v>
      </c>
      <c r="Z23" s="70">
        <v>37</v>
      </c>
      <c r="AA23" s="70">
        <v>37</v>
      </c>
      <c r="AB23" s="70">
        <v>34</v>
      </c>
      <c r="AC23" s="70">
        <v>35</v>
      </c>
      <c r="AD23" s="70">
        <v>34</v>
      </c>
      <c r="AE23" s="157">
        <v>32</v>
      </c>
    </row>
    <row r="24" spans="1:31" ht="15" customHeight="1" x14ac:dyDescent="0.25">
      <c r="A24" s="156">
        <v>23</v>
      </c>
      <c r="B24" s="17" t="s">
        <v>33</v>
      </c>
      <c r="C24" s="70">
        <v>4</v>
      </c>
      <c r="D24" s="70">
        <v>4</v>
      </c>
      <c r="E24" s="70">
        <v>5</v>
      </c>
      <c r="F24" s="70" t="s">
        <v>383</v>
      </c>
      <c r="G24" s="70">
        <v>4</v>
      </c>
      <c r="H24" s="70">
        <v>7</v>
      </c>
      <c r="I24" s="70">
        <v>6</v>
      </c>
      <c r="J24" s="70">
        <v>7</v>
      </c>
      <c r="K24" s="70">
        <v>6</v>
      </c>
      <c r="L24" s="70">
        <v>6</v>
      </c>
      <c r="M24" s="70">
        <v>7</v>
      </c>
      <c r="N24" s="70">
        <v>5</v>
      </c>
      <c r="O24" s="70">
        <v>5</v>
      </c>
      <c r="P24" s="70">
        <v>6</v>
      </c>
      <c r="Q24" s="70">
        <v>5</v>
      </c>
      <c r="R24" s="70">
        <v>5</v>
      </c>
      <c r="S24" s="70">
        <v>6</v>
      </c>
      <c r="T24" s="70">
        <v>6</v>
      </c>
      <c r="U24" s="70">
        <v>6</v>
      </c>
      <c r="V24" s="70">
        <v>7</v>
      </c>
      <c r="W24" s="70">
        <v>7</v>
      </c>
      <c r="X24" s="70">
        <v>6</v>
      </c>
      <c r="Y24" s="70">
        <v>6</v>
      </c>
      <c r="Z24" s="70">
        <v>7</v>
      </c>
      <c r="AA24" s="70">
        <v>7</v>
      </c>
      <c r="AB24" s="70">
        <v>7</v>
      </c>
      <c r="AC24" s="70">
        <v>7</v>
      </c>
      <c r="AD24" s="70">
        <v>8</v>
      </c>
      <c r="AE24" s="157">
        <v>8</v>
      </c>
    </row>
    <row r="25" spans="1:31" ht="15" customHeight="1" x14ac:dyDescent="0.25">
      <c r="A25" s="156">
        <v>24</v>
      </c>
      <c r="B25" s="17" t="s">
        <v>34</v>
      </c>
      <c r="C25" s="70">
        <v>45</v>
      </c>
      <c r="D25" s="70">
        <v>48</v>
      </c>
      <c r="E25" s="70">
        <v>49</v>
      </c>
      <c r="F25" s="70">
        <v>55</v>
      </c>
      <c r="G25" s="70">
        <v>53</v>
      </c>
      <c r="H25" s="70">
        <v>51</v>
      </c>
      <c r="I25" s="70">
        <v>45</v>
      </c>
      <c r="J25" s="70">
        <v>41</v>
      </c>
      <c r="K25" s="70">
        <v>45</v>
      </c>
      <c r="L25" s="70">
        <v>44</v>
      </c>
      <c r="M25" s="70">
        <v>46</v>
      </c>
      <c r="N25" s="70">
        <v>49</v>
      </c>
      <c r="O25" s="70">
        <v>46</v>
      </c>
      <c r="P25" s="70">
        <v>49</v>
      </c>
      <c r="Q25" s="70">
        <v>47</v>
      </c>
      <c r="R25" s="70">
        <v>48</v>
      </c>
      <c r="S25" s="70">
        <v>46</v>
      </c>
      <c r="T25" s="70">
        <v>47</v>
      </c>
      <c r="U25" s="70">
        <v>47</v>
      </c>
      <c r="V25" s="70">
        <v>52</v>
      </c>
      <c r="W25" s="70">
        <v>53</v>
      </c>
      <c r="X25" s="70">
        <v>51</v>
      </c>
      <c r="Y25" s="70">
        <v>45</v>
      </c>
      <c r="Z25" s="70">
        <v>42</v>
      </c>
      <c r="AA25" s="70">
        <v>44</v>
      </c>
      <c r="AB25" s="70">
        <v>45</v>
      </c>
      <c r="AC25" s="70">
        <v>41</v>
      </c>
      <c r="AD25" s="70">
        <v>43</v>
      </c>
      <c r="AE25" s="157">
        <v>43</v>
      </c>
    </row>
    <row r="26" spans="1:31" ht="15" customHeight="1" x14ac:dyDescent="0.25">
      <c r="A26" s="156">
        <v>25</v>
      </c>
      <c r="B26" s="17" t="s">
        <v>35</v>
      </c>
      <c r="C26" s="70">
        <v>11</v>
      </c>
      <c r="D26" s="70">
        <v>12</v>
      </c>
      <c r="E26" s="70">
        <v>10</v>
      </c>
      <c r="F26" s="70">
        <v>12</v>
      </c>
      <c r="G26" s="70">
        <v>7</v>
      </c>
      <c r="H26" s="70">
        <v>7</v>
      </c>
      <c r="I26" s="70">
        <v>7</v>
      </c>
      <c r="J26" s="70">
        <v>9</v>
      </c>
      <c r="K26" s="70">
        <v>13</v>
      </c>
      <c r="L26" s="70">
        <v>13</v>
      </c>
      <c r="M26" s="70">
        <v>16</v>
      </c>
      <c r="N26" s="70">
        <v>14</v>
      </c>
      <c r="O26" s="70">
        <v>14</v>
      </c>
      <c r="P26" s="70">
        <v>14</v>
      </c>
      <c r="Q26" s="70">
        <v>14</v>
      </c>
      <c r="R26" s="70">
        <v>16</v>
      </c>
      <c r="S26" s="70">
        <v>13</v>
      </c>
      <c r="T26" s="70">
        <v>15</v>
      </c>
      <c r="U26" s="70">
        <v>16</v>
      </c>
      <c r="V26" s="70">
        <v>14</v>
      </c>
      <c r="W26" s="70">
        <v>14</v>
      </c>
      <c r="X26" s="70">
        <v>15</v>
      </c>
      <c r="Y26" s="70">
        <v>17</v>
      </c>
      <c r="Z26" s="70">
        <v>16</v>
      </c>
      <c r="AA26" s="70">
        <v>16</v>
      </c>
      <c r="AB26" s="70">
        <v>17</v>
      </c>
      <c r="AC26" s="70">
        <v>17</v>
      </c>
      <c r="AD26" s="70">
        <v>16</v>
      </c>
      <c r="AE26" s="157">
        <v>18</v>
      </c>
    </row>
    <row r="27" spans="1:31" ht="15" customHeight="1" x14ac:dyDescent="0.25">
      <c r="A27" s="156">
        <v>26</v>
      </c>
      <c r="B27" s="17" t="s">
        <v>36</v>
      </c>
      <c r="C27" s="70">
        <v>26</v>
      </c>
      <c r="D27" s="70">
        <v>23</v>
      </c>
      <c r="E27" s="70">
        <v>33</v>
      </c>
      <c r="F27" s="70">
        <v>32</v>
      </c>
      <c r="G27" s="70">
        <v>24</v>
      </c>
      <c r="H27" s="70">
        <v>20</v>
      </c>
      <c r="I27" s="70">
        <v>19</v>
      </c>
      <c r="J27" s="70">
        <v>18</v>
      </c>
      <c r="K27" s="70">
        <v>22</v>
      </c>
      <c r="L27" s="70">
        <v>27</v>
      </c>
      <c r="M27" s="70">
        <v>22</v>
      </c>
      <c r="N27" s="70">
        <v>22</v>
      </c>
      <c r="O27" s="70">
        <v>25</v>
      </c>
      <c r="P27" s="70">
        <v>24</v>
      </c>
      <c r="Q27" s="70">
        <v>23</v>
      </c>
      <c r="R27" s="70">
        <v>22</v>
      </c>
      <c r="S27" s="70">
        <v>23</v>
      </c>
      <c r="T27" s="70">
        <v>24</v>
      </c>
      <c r="U27" s="70">
        <v>22</v>
      </c>
      <c r="V27" s="70">
        <v>20</v>
      </c>
      <c r="W27" s="70">
        <v>24</v>
      </c>
      <c r="X27" s="70">
        <v>24</v>
      </c>
      <c r="Y27" s="70">
        <v>24</v>
      </c>
      <c r="Z27" s="70">
        <v>24</v>
      </c>
      <c r="AA27" s="70">
        <v>25</v>
      </c>
      <c r="AB27" s="70">
        <v>27</v>
      </c>
      <c r="AC27" s="70">
        <v>30</v>
      </c>
      <c r="AD27" s="70">
        <v>34</v>
      </c>
      <c r="AE27" s="157">
        <v>34</v>
      </c>
    </row>
    <row r="28" spans="1:31" ht="15" customHeight="1" x14ac:dyDescent="0.25">
      <c r="A28" s="156">
        <v>27</v>
      </c>
      <c r="B28" s="17" t="s">
        <v>37</v>
      </c>
      <c r="C28" s="70" t="s">
        <v>383</v>
      </c>
      <c r="D28" s="70" t="s">
        <v>383</v>
      </c>
      <c r="E28" s="70">
        <v>5</v>
      </c>
      <c r="F28" s="70">
        <v>4</v>
      </c>
      <c r="G28" s="70" t="s">
        <v>383</v>
      </c>
      <c r="H28" s="70">
        <v>4</v>
      </c>
      <c r="I28" s="70">
        <v>6</v>
      </c>
      <c r="J28" s="70">
        <v>8</v>
      </c>
      <c r="K28" s="70">
        <v>10</v>
      </c>
      <c r="L28" s="70">
        <v>8</v>
      </c>
      <c r="M28" s="70">
        <v>11</v>
      </c>
      <c r="N28" s="70">
        <v>12</v>
      </c>
      <c r="O28" s="70">
        <v>9</v>
      </c>
      <c r="P28" s="70">
        <v>8</v>
      </c>
      <c r="Q28" s="70">
        <v>8</v>
      </c>
      <c r="R28" s="70">
        <v>9</v>
      </c>
      <c r="S28" s="70">
        <v>7</v>
      </c>
      <c r="T28" s="70">
        <v>6</v>
      </c>
      <c r="U28" s="70">
        <v>8</v>
      </c>
      <c r="V28" s="70">
        <v>8</v>
      </c>
      <c r="W28" s="70">
        <v>9</v>
      </c>
      <c r="X28" s="70">
        <v>10</v>
      </c>
      <c r="Y28" s="70">
        <v>10</v>
      </c>
      <c r="Z28" s="70">
        <v>10</v>
      </c>
      <c r="AA28" s="70">
        <v>10</v>
      </c>
      <c r="AB28" s="70">
        <v>11</v>
      </c>
      <c r="AC28" s="70">
        <v>11</v>
      </c>
      <c r="AD28" s="70">
        <v>14</v>
      </c>
      <c r="AE28" s="157">
        <v>15</v>
      </c>
    </row>
    <row r="29" spans="1:31" ht="15" customHeight="1" x14ac:dyDescent="0.25">
      <c r="A29" s="156">
        <v>28</v>
      </c>
      <c r="B29" s="17" t="s">
        <v>38</v>
      </c>
      <c r="C29" s="70">
        <v>43</v>
      </c>
      <c r="D29" s="70">
        <v>49</v>
      </c>
      <c r="E29" s="70">
        <v>45</v>
      </c>
      <c r="F29" s="70">
        <v>40</v>
      </c>
      <c r="G29" s="70">
        <v>38</v>
      </c>
      <c r="H29" s="70">
        <v>41</v>
      </c>
      <c r="I29" s="70">
        <v>40</v>
      </c>
      <c r="J29" s="70">
        <v>45</v>
      </c>
      <c r="K29" s="70">
        <v>55</v>
      </c>
      <c r="L29" s="70">
        <v>67</v>
      </c>
      <c r="M29" s="70">
        <v>69</v>
      </c>
      <c r="N29" s="70">
        <v>78</v>
      </c>
      <c r="O29" s="70">
        <v>94</v>
      </c>
      <c r="P29" s="70">
        <v>92</v>
      </c>
      <c r="Q29" s="70">
        <v>80</v>
      </c>
      <c r="R29" s="70">
        <v>82</v>
      </c>
      <c r="S29" s="70">
        <v>79</v>
      </c>
      <c r="T29" s="70">
        <v>83</v>
      </c>
      <c r="U29" s="70">
        <v>91</v>
      </c>
      <c r="V29" s="70">
        <v>95</v>
      </c>
      <c r="W29" s="70">
        <v>94</v>
      </c>
      <c r="X29" s="70">
        <v>90</v>
      </c>
      <c r="Y29" s="70">
        <v>99</v>
      </c>
      <c r="Z29" s="70">
        <v>104</v>
      </c>
      <c r="AA29" s="70">
        <v>101</v>
      </c>
      <c r="AB29" s="70">
        <v>97</v>
      </c>
      <c r="AC29" s="70">
        <v>114</v>
      </c>
      <c r="AD29" s="70">
        <v>116</v>
      </c>
      <c r="AE29" s="157">
        <v>120</v>
      </c>
    </row>
    <row r="30" spans="1:31" ht="15" customHeight="1" x14ac:dyDescent="0.25">
      <c r="A30" s="156">
        <v>29</v>
      </c>
      <c r="B30" s="17" t="s">
        <v>39</v>
      </c>
      <c r="C30" s="70">
        <v>17</v>
      </c>
      <c r="D30" s="70">
        <v>12</v>
      </c>
      <c r="E30" s="70">
        <v>20</v>
      </c>
      <c r="F30" s="70">
        <v>19</v>
      </c>
      <c r="G30" s="70">
        <v>18</v>
      </c>
      <c r="H30" s="70">
        <v>18</v>
      </c>
      <c r="I30" s="70">
        <v>18</v>
      </c>
      <c r="J30" s="70">
        <v>20</v>
      </c>
      <c r="K30" s="70">
        <v>19</v>
      </c>
      <c r="L30" s="70">
        <v>24</v>
      </c>
      <c r="M30" s="70">
        <v>27</v>
      </c>
      <c r="N30" s="70">
        <v>27</v>
      </c>
      <c r="O30" s="70">
        <v>26</v>
      </c>
      <c r="P30" s="70">
        <v>27</v>
      </c>
      <c r="Q30" s="70">
        <v>28</v>
      </c>
      <c r="R30" s="70">
        <v>28</v>
      </c>
      <c r="S30" s="70">
        <v>26</v>
      </c>
      <c r="T30" s="70">
        <v>25</v>
      </c>
      <c r="U30" s="70">
        <v>27</v>
      </c>
      <c r="V30" s="70">
        <v>27</v>
      </c>
      <c r="W30" s="70">
        <v>28</v>
      </c>
      <c r="X30" s="70">
        <v>33</v>
      </c>
      <c r="Y30" s="70">
        <v>35</v>
      </c>
      <c r="Z30" s="70">
        <v>33</v>
      </c>
      <c r="AA30" s="70">
        <v>36</v>
      </c>
      <c r="AB30" s="70">
        <v>30</v>
      </c>
      <c r="AC30" s="70">
        <v>31</v>
      </c>
      <c r="AD30" s="70">
        <v>37</v>
      </c>
      <c r="AE30" s="157">
        <v>39</v>
      </c>
    </row>
    <row r="31" spans="1:31" ht="15" customHeight="1" x14ac:dyDescent="0.25">
      <c r="A31" s="156">
        <v>30</v>
      </c>
      <c r="B31" s="17" t="s">
        <v>40</v>
      </c>
      <c r="C31" s="70" t="s">
        <v>383</v>
      </c>
      <c r="D31" s="70" t="s">
        <v>383</v>
      </c>
      <c r="E31" s="70" t="s">
        <v>383</v>
      </c>
      <c r="F31" s="70" t="s">
        <v>383</v>
      </c>
      <c r="G31" s="70" t="s">
        <v>383</v>
      </c>
      <c r="H31" s="70" t="s">
        <v>383</v>
      </c>
      <c r="I31" s="70" t="s">
        <v>383</v>
      </c>
      <c r="J31" s="70" t="s">
        <v>383</v>
      </c>
      <c r="K31" s="70" t="s">
        <v>383</v>
      </c>
      <c r="L31" s="70" t="s">
        <v>383</v>
      </c>
      <c r="M31" s="70" t="s">
        <v>383</v>
      </c>
      <c r="N31" s="70" t="s">
        <v>383</v>
      </c>
      <c r="O31" s="70" t="s">
        <v>383</v>
      </c>
      <c r="P31" s="70" t="s">
        <v>383</v>
      </c>
      <c r="Q31" s="70" t="s">
        <v>383</v>
      </c>
      <c r="R31" s="70" t="s">
        <v>383</v>
      </c>
      <c r="S31" s="70" t="s">
        <v>383</v>
      </c>
      <c r="T31" s="70" t="s">
        <v>383</v>
      </c>
      <c r="U31" s="70" t="s">
        <v>383</v>
      </c>
      <c r="V31" s="70" t="s">
        <v>383</v>
      </c>
      <c r="W31" s="70" t="s">
        <v>383</v>
      </c>
      <c r="X31" s="70" t="s">
        <v>383</v>
      </c>
      <c r="Y31" s="70" t="s">
        <v>383</v>
      </c>
      <c r="Z31" s="70" t="s">
        <v>383</v>
      </c>
      <c r="AA31" s="70" t="s">
        <v>383</v>
      </c>
      <c r="AB31" s="70" t="s">
        <v>383</v>
      </c>
      <c r="AC31" s="70" t="s">
        <v>383</v>
      </c>
      <c r="AD31" s="70" t="s">
        <v>383</v>
      </c>
      <c r="AE31" s="157" t="s">
        <v>383</v>
      </c>
    </row>
    <row r="32" spans="1:31" ht="15" customHeight="1" x14ac:dyDescent="0.25">
      <c r="A32" s="156">
        <v>31</v>
      </c>
      <c r="B32" s="17" t="s">
        <v>41</v>
      </c>
      <c r="C32" s="70">
        <v>6</v>
      </c>
      <c r="D32" s="70">
        <v>5</v>
      </c>
      <c r="E32" s="70">
        <v>4</v>
      </c>
      <c r="F32" s="70" t="s">
        <v>383</v>
      </c>
      <c r="G32" s="70">
        <v>4</v>
      </c>
      <c r="H32" s="70">
        <v>4</v>
      </c>
      <c r="I32" s="70" t="s">
        <v>383</v>
      </c>
      <c r="J32" s="70" t="s">
        <v>383</v>
      </c>
      <c r="K32" s="70" t="s">
        <v>383</v>
      </c>
      <c r="L32" s="70" t="s">
        <v>383</v>
      </c>
      <c r="M32" s="70">
        <v>4</v>
      </c>
      <c r="N32" s="70">
        <v>6</v>
      </c>
      <c r="O32" s="70">
        <v>6</v>
      </c>
      <c r="P32" s="70">
        <v>5</v>
      </c>
      <c r="Q32" s="70">
        <v>4</v>
      </c>
      <c r="R32" s="70">
        <v>4</v>
      </c>
      <c r="S32" s="70">
        <v>5</v>
      </c>
      <c r="T32" s="70">
        <v>6</v>
      </c>
      <c r="U32" s="70">
        <v>7</v>
      </c>
      <c r="V32" s="70">
        <v>7</v>
      </c>
      <c r="W32" s="70">
        <v>6</v>
      </c>
      <c r="X32" s="70">
        <v>8</v>
      </c>
      <c r="Y32" s="70">
        <v>9</v>
      </c>
      <c r="Z32" s="70">
        <v>6</v>
      </c>
      <c r="AA32" s="70">
        <v>6</v>
      </c>
      <c r="AB32" s="70">
        <v>8</v>
      </c>
      <c r="AC32" s="70">
        <v>7</v>
      </c>
      <c r="AD32" s="70">
        <v>10</v>
      </c>
      <c r="AE32" s="157">
        <v>11</v>
      </c>
    </row>
    <row r="33" spans="1:32" ht="15" customHeight="1" x14ac:dyDescent="0.25">
      <c r="A33" s="156">
        <v>32</v>
      </c>
      <c r="B33" s="17" t="s">
        <v>42</v>
      </c>
      <c r="C33" s="70" t="s">
        <v>383</v>
      </c>
      <c r="D33" s="70" t="s">
        <v>383</v>
      </c>
      <c r="E33" s="70" t="s">
        <v>383</v>
      </c>
      <c r="F33" s="70" t="s">
        <v>383</v>
      </c>
      <c r="G33" s="70" t="s">
        <v>383</v>
      </c>
      <c r="H33" s="70" t="s">
        <v>383</v>
      </c>
      <c r="I33" s="70" t="s">
        <v>383</v>
      </c>
      <c r="J33" s="70" t="s">
        <v>383</v>
      </c>
      <c r="K33" s="70" t="s">
        <v>383</v>
      </c>
      <c r="L33" s="70" t="s">
        <v>383</v>
      </c>
      <c r="M33" s="70" t="s">
        <v>383</v>
      </c>
      <c r="N33" s="70" t="s">
        <v>383</v>
      </c>
      <c r="O33" s="70" t="s">
        <v>383</v>
      </c>
      <c r="P33" s="70" t="s">
        <v>383</v>
      </c>
      <c r="Q33" s="70" t="s">
        <v>383</v>
      </c>
      <c r="R33" s="70" t="s">
        <v>383</v>
      </c>
      <c r="S33" s="70" t="s">
        <v>383</v>
      </c>
      <c r="T33" s="70" t="s">
        <v>383</v>
      </c>
      <c r="U33" s="70" t="s">
        <v>383</v>
      </c>
      <c r="V33" s="70" t="s">
        <v>383</v>
      </c>
      <c r="W33" s="70" t="s">
        <v>383</v>
      </c>
      <c r="X33" s="70" t="s">
        <v>383</v>
      </c>
      <c r="Y33" s="70" t="s">
        <v>383</v>
      </c>
      <c r="Z33" s="70" t="s">
        <v>383</v>
      </c>
      <c r="AA33" s="70" t="s">
        <v>383</v>
      </c>
      <c r="AB33" s="70" t="s">
        <v>383</v>
      </c>
      <c r="AC33" s="70" t="s">
        <v>383</v>
      </c>
      <c r="AD33" s="70" t="s">
        <v>383</v>
      </c>
      <c r="AE33" s="157" t="s">
        <v>383</v>
      </c>
    </row>
    <row r="34" spans="1:32" ht="15" customHeight="1" x14ac:dyDescent="0.25">
      <c r="A34" s="156">
        <v>33</v>
      </c>
      <c r="B34" s="17" t="s">
        <v>43</v>
      </c>
      <c r="C34" s="70" t="s">
        <v>383</v>
      </c>
      <c r="D34" s="70">
        <v>5</v>
      </c>
      <c r="E34" s="70">
        <v>4</v>
      </c>
      <c r="F34" s="70" t="s">
        <v>383</v>
      </c>
      <c r="G34" s="70" t="s">
        <v>383</v>
      </c>
      <c r="H34" s="70" t="s">
        <v>383</v>
      </c>
      <c r="I34" s="70" t="s">
        <v>383</v>
      </c>
      <c r="J34" s="70" t="s">
        <v>383</v>
      </c>
      <c r="K34" s="70">
        <v>6</v>
      </c>
      <c r="L34" s="70">
        <v>6</v>
      </c>
      <c r="M34" s="70">
        <v>7</v>
      </c>
      <c r="N34" s="70">
        <v>5</v>
      </c>
      <c r="O34" s="70">
        <v>6</v>
      </c>
      <c r="P34" s="70">
        <v>5</v>
      </c>
      <c r="Q34" s="70">
        <v>6</v>
      </c>
      <c r="R34" s="70">
        <v>7</v>
      </c>
      <c r="S34" s="70">
        <v>8</v>
      </c>
      <c r="T34" s="70">
        <v>9</v>
      </c>
      <c r="U34" s="70">
        <v>9</v>
      </c>
      <c r="V34" s="70">
        <v>11</v>
      </c>
      <c r="W34" s="70">
        <v>8</v>
      </c>
      <c r="X34" s="70">
        <v>8</v>
      </c>
      <c r="Y34" s="70">
        <v>7</v>
      </c>
      <c r="Z34" s="70">
        <v>7</v>
      </c>
      <c r="AA34" s="70">
        <v>7</v>
      </c>
      <c r="AB34" s="70">
        <v>7</v>
      </c>
      <c r="AC34" s="70">
        <v>9</v>
      </c>
      <c r="AD34" s="70">
        <v>9</v>
      </c>
      <c r="AE34" s="157">
        <v>9</v>
      </c>
    </row>
    <row r="35" spans="1:32" ht="15" customHeight="1" x14ac:dyDescent="0.25">
      <c r="A35" s="156">
        <v>34</v>
      </c>
      <c r="B35" s="17" t="s">
        <v>44</v>
      </c>
      <c r="C35" s="70">
        <v>4</v>
      </c>
      <c r="D35" s="70" t="s">
        <v>383</v>
      </c>
      <c r="E35" s="70">
        <v>6</v>
      </c>
      <c r="F35" s="70">
        <v>6</v>
      </c>
      <c r="G35" s="70" t="s">
        <v>383</v>
      </c>
      <c r="H35" s="70" t="s">
        <v>383</v>
      </c>
      <c r="I35" s="70" t="s">
        <v>383</v>
      </c>
      <c r="J35" s="70" t="s">
        <v>383</v>
      </c>
      <c r="K35" s="70">
        <v>4</v>
      </c>
      <c r="L35" s="70">
        <v>5</v>
      </c>
      <c r="M35" s="70">
        <v>5</v>
      </c>
      <c r="N35" s="70">
        <v>5</v>
      </c>
      <c r="O35" s="70">
        <v>5</v>
      </c>
      <c r="P35" s="70">
        <v>7</v>
      </c>
      <c r="Q35" s="70">
        <v>5</v>
      </c>
      <c r="R35" s="70">
        <v>7</v>
      </c>
      <c r="S35" s="70">
        <v>7</v>
      </c>
      <c r="T35" s="70">
        <v>10</v>
      </c>
      <c r="U35" s="70">
        <v>12</v>
      </c>
      <c r="V35" s="70">
        <v>12</v>
      </c>
      <c r="W35" s="70">
        <v>10</v>
      </c>
      <c r="X35" s="70">
        <v>10</v>
      </c>
      <c r="Y35" s="70">
        <v>11</v>
      </c>
      <c r="Z35" s="70">
        <v>11</v>
      </c>
      <c r="AA35" s="70">
        <v>12</v>
      </c>
      <c r="AB35" s="70">
        <v>12</v>
      </c>
      <c r="AC35" s="70">
        <v>14</v>
      </c>
      <c r="AD35" s="70">
        <v>13</v>
      </c>
      <c r="AE35" s="157">
        <v>10</v>
      </c>
    </row>
    <row r="36" spans="1:32" ht="15" customHeight="1" x14ac:dyDescent="0.25">
      <c r="A36" s="156">
        <v>35</v>
      </c>
      <c r="B36" s="17" t="s">
        <v>45</v>
      </c>
      <c r="C36" s="70" t="s">
        <v>383</v>
      </c>
      <c r="D36" s="70" t="s">
        <v>383</v>
      </c>
      <c r="E36" s="70" t="s">
        <v>383</v>
      </c>
      <c r="F36" s="70" t="s">
        <v>383</v>
      </c>
      <c r="G36" s="70" t="s">
        <v>383</v>
      </c>
      <c r="H36" s="70" t="s">
        <v>383</v>
      </c>
      <c r="I36" s="70" t="s">
        <v>383</v>
      </c>
      <c r="J36" s="70" t="s">
        <v>383</v>
      </c>
      <c r="K36" s="70" t="s">
        <v>383</v>
      </c>
      <c r="L36" s="70" t="s">
        <v>383</v>
      </c>
      <c r="M36" s="70" t="s">
        <v>383</v>
      </c>
      <c r="N36" s="70" t="s">
        <v>383</v>
      </c>
      <c r="O36" s="70" t="s">
        <v>383</v>
      </c>
      <c r="P36" s="70" t="s">
        <v>383</v>
      </c>
      <c r="Q36" s="70" t="s">
        <v>383</v>
      </c>
      <c r="R36" s="70" t="s">
        <v>383</v>
      </c>
      <c r="S36" s="70" t="s">
        <v>383</v>
      </c>
      <c r="T36" s="70" t="s">
        <v>383</v>
      </c>
      <c r="U36" s="70" t="s">
        <v>383</v>
      </c>
      <c r="V36" s="70" t="s">
        <v>383</v>
      </c>
      <c r="W36" s="70" t="s">
        <v>383</v>
      </c>
      <c r="X36" s="70" t="s">
        <v>383</v>
      </c>
      <c r="Y36" s="70" t="s">
        <v>383</v>
      </c>
      <c r="Z36" s="70" t="s">
        <v>383</v>
      </c>
      <c r="AA36" s="70" t="s">
        <v>383</v>
      </c>
      <c r="AB36" s="70" t="s">
        <v>383</v>
      </c>
      <c r="AC36" s="70" t="s">
        <v>383</v>
      </c>
      <c r="AD36" s="70" t="s">
        <v>383</v>
      </c>
      <c r="AE36" s="157" t="s">
        <v>383</v>
      </c>
    </row>
    <row r="37" spans="1:32" ht="15" customHeight="1" x14ac:dyDescent="0.25">
      <c r="A37" s="156">
        <v>36</v>
      </c>
      <c r="B37" s="17" t="s">
        <v>46</v>
      </c>
      <c r="C37" s="70">
        <v>19</v>
      </c>
      <c r="D37" s="70">
        <v>19</v>
      </c>
      <c r="E37" s="70">
        <v>18</v>
      </c>
      <c r="F37" s="70">
        <v>12</v>
      </c>
      <c r="G37" s="70">
        <v>8</v>
      </c>
      <c r="H37" s="70">
        <v>10</v>
      </c>
      <c r="I37" s="70">
        <v>8</v>
      </c>
      <c r="J37" s="70">
        <v>8</v>
      </c>
      <c r="K37" s="70">
        <v>15</v>
      </c>
      <c r="L37" s="70">
        <v>15</v>
      </c>
      <c r="M37" s="70">
        <v>22</v>
      </c>
      <c r="N37" s="70">
        <v>25</v>
      </c>
      <c r="O37" s="70">
        <v>27</v>
      </c>
      <c r="P37" s="70">
        <v>26</v>
      </c>
      <c r="Q37" s="70">
        <v>24</v>
      </c>
      <c r="R37" s="70">
        <v>24</v>
      </c>
      <c r="S37" s="70">
        <v>24</v>
      </c>
      <c r="T37" s="70">
        <v>28</v>
      </c>
      <c r="U37" s="70">
        <v>22</v>
      </c>
      <c r="V37" s="70">
        <v>28</v>
      </c>
      <c r="W37" s="70">
        <v>28</v>
      </c>
      <c r="X37" s="70">
        <v>30</v>
      </c>
      <c r="Y37" s="70">
        <v>30</v>
      </c>
      <c r="Z37" s="70">
        <v>29</v>
      </c>
      <c r="AA37" s="70">
        <v>28</v>
      </c>
      <c r="AB37" s="70">
        <v>27</v>
      </c>
      <c r="AC37" s="70">
        <v>26</v>
      </c>
      <c r="AD37" s="70">
        <v>30</v>
      </c>
      <c r="AE37" s="157">
        <v>32</v>
      </c>
    </row>
    <row r="38" spans="1:32" ht="15" customHeight="1" thickBot="1" x14ac:dyDescent="0.3">
      <c r="A38" s="152">
        <v>37</v>
      </c>
      <c r="B38" s="15" t="s">
        <v>47</v>
      </c>
      <c r="C38" s="68" t="s">
        <v>383</v>
      </c>
      <c r="D38" s="68" t="s">
        <v>383</v>
      </c>
      <c r="E38" s="68" t="s">
        <v>383</v>
      </c>
      <c r="F38" s="68" t="s">
        <v>383</v>
      </c>
      <c r="G38" s="68" t="s">
        <v>383</v>
      </c>
      <c r="H38" s="68" t="s">
        <v>383</v>
      </c>
      <c r="I38" s="68" t="s">
        <v>383</v>
      </c>
      <c r="J38" s="68" t="s">
        <v>383</v>
      </c>
      <c r="K38" s="68" t="s">
        <v>383</v>
      </c>
      <c r="L38" s="68" t="s">
        <v>383</v>
      </c>
      <c r="M38" s="68" t="s">
        <v>383</v>
      </c>
      <c r="N38" s="68" t="s">
        <v>383</v>
      </c>
      <c r="O38" s="68" t="s">
        <v>383</v>
      </c>
      <c r="P38" s="68" t="s">
        <v>383</v>
      </c>
      <c r="Q38" s="68" t="s">
        <v>383</v>
      </c>
      <c r="R38" s="68" t="s">
        <v>383</v>
      </c>
      <c r="S38" s="68" t="s">
        <v>383</v>
      </c>
      <c r="T38" s="68" t="s">
        <v>383</v>
      </c>
      <c r="U38" s="68" t="s">
        <v>383</v>
      </c>
      <c r="V38" s="68" t="s">
        <v>383</v>
      </c>
      <c r="W38" s="68" t="s">
        <v>383</v>
      </c>
      <c r="X38" s="68" t="s">
        <v>383</v>
      </c>
      <c r="Y38" s="68" t="s">
        <v>383</v>
      </c>
      <c r="Z38" s="68">
        <v>4</v>
      </c>
      <c r="AA38" s="68">
        <v>4</v>
      </c>
      <c r="AB38" s="68">
        <v>4</v>
      </c>
      <c r="AC38" s="68">
        <v>7</v>
      </c>
      <c r="AD38" s="68">
        <v>6</v>
      </c>
      <c r="AE38" s="153">
        <v>4</v>
      </c>
    </row>
    <row r="39" spans="1:32" s="11" customFormat="1" ht="15" customHeight="1" thickBot="1" x14ac:dyDescent="0.3">
      <c r="A39" s="144" t="s">
        <v>48</v>
      </c>
      <c r="B39" s="9" t="s">
        <v>49</v>
      </c>
      <c r="C39" s="64">
        <v>26</v>
      </c>
      <c r="D39" s="64">
        <v>25</v>
      </c>
      <c r="E39" s="64">
        <v>30</v>
      </c>
      <c r="F39" s="64">
        <v>27</v>
      </c>
      <c r="G39" s="64">
        <v>23</v>
      </c>
      <c r="H39" s="64">
        <v>22</v>
      </c>
      <c r="I39" s="64">
        <v>20</v>
      </c>
      <c r="J39" s="64">
        <v>20</v>
      </c>
      <c r="K39" s="64">
        <v>22</v>
      </c>
      <c r="L39" s="64">
        <v>23</v>
      </c>
      <c r="M39" s="64">
        <v>21</v>
      </c>
      <c r="N39" s="64">
        <v>21</v>
      </c>
      <c r="O39" s="64">
        <v>22</v>
      </c>
      <c r="P39" s="64">
        <v>21</v>
      </c>
      <c r="Q39" s="64">
        <v>21</v>
      </c>
      <c r="R39" s="64">
        <v>21</v>
      </c>
      <c r="S39" s="64">
        <v>21</v>
      </c>
      <c r="T39" s="64">
        <v>21</v>
      </c>
      <c r="U39" s="64">
        <v>21</v>
      </c>
      <c r="V39" s="64">
        <v>21</v>
      </c>
      <c r="W39" s="64">
        <v>24</v>
      </c>
      <c r="X39" s="64">
        <v>24</v>
      </c>
      <c r="Y39" s="64">
        <v>26</v>
      </c>
      <c r="Z39" s="64">
        <v>26</v>
      </c>
      <c r="AA39" s="64">
        <v>25</v>
      </c>
      <c r="AB39" s="64">
        <v>27</v>
      </c>
      <c r="AC39" s="64">
        <v>27</v>
      </c>
      <c r="AD39" s="64">
        <v>28</v>
      </c>
      <c r="AE39" s="145">
        <v>26</v>
      </c>
      <c r="AF39" s="10"/>
    </row>
    <row r="40" spans="1:32" ht="15" customHeight="1" x14ac:dyDescent="0.25">
      <c r="A40" s="146">
        <v>40</v>
      </c>
      <c r="B40" s="12" t="s">
        <v>50</v>
      </c>
      <c r="C40" s="65">
        <v>19</v>
      </c>
      <c r="D40" s="65">
        <v>19</v>
      </c>
      <c r="E40" s="65">
        <v>22</v>
      </c>
      <c r="F40" s="65">
        <v>20</v>
      </c>
      <c r="G40" s="65">
        <v>18</v>
      </c>
      <c r="H40" s="65">
        <v>17</v>
      </c>
      <c r="I40" s="65">
        <v>15</v>
      </c>
      <c r="J40" s="65">
        <v>15</v>
      </c>
      <c r="K40" s="65">
        <v>17</v>
      </c>
      <c r="L40" s="65">
        <v>18</v>
      </c>
      <c r="M40" s="65">
        <v>16</v>
      </c>
      <c r="N40" s="65">
        <v>16</v>
      </c>
      <c r="O40" s="65">
        <v>17</v>
      </c>
      <c r="P40" s="65">
        <v>16</v>
      </c>
      <c r="Q40" s="65">
        <v>16</v>
      </c>
      <c r="R40" s="65">
        <v>16</v>
      </c>
      <c r="S40" s="65">
        <v>15</v>
      </c>
      <c r="T40" s="65">
        <v>15</v>
      </c>
      <c r="U40" s="65">
        <v>15</v>
      </c>
      <c r="V40" s="65">
        <v>15</v>
      </c>
      <c r="W40" s="65">
        <v>17</v>
      </c>
      <c r="X40" s="65">
        <v>17</v>
      </c>
      <c r="Y40" s="65">
        <v>17</v>
      </c>
      <c r="Z40" s="65">
        <v>17</v>
      </c>
      <c r="AA40" s="65">
        <v>17</v>
      </c>
      <c r="AB40" s="65">
        <v>19</v>
      </c>
      <c r="AC40" s="65">
        <v>19</v>
      </c>
      <c r="AD40" s="65">
        <v>21</v>
      </c>
      <c r="AE40" s="147">
        <v>19</v>
      </c>
    </row>
    <row r="41" spans="1:32" ht="15" customHeight="1" thickBot="1" x14ac:dyDescent="0.3">
      <c r="A41" s="158">
        <v>41</v>
      </c>
      <c r="B41" s="18" t="s">
        <v>51</v>
      </c>
      <c r="C41" s="71">
        <v>7</v>
      </c>
      <c r="D41" s="71">
        <v>6</v>
      </c>
      <c r="E41" s="71">
        <v>8</v>
      </c>
      <c r="F41" s="71">
        <v>7</v>
      </c>
      <c r="G41" s="71">
        <v>5</v>
      </c>
      <c r="H41" s="71">
        <v>5</v>
      </c>
      <c r="I41" s="71">
        <v>5</v>
      </c>
      <c r="J41" s="71">
        <v>5</v>
      </c>
      <c r="K41" s="71">
        <v>5</v>
      </c>
      <c r="L41" s="71">
        <v>5</v>
      </c>
      <c r="M41" s="71">
        <v>5</v>
      </c>
      <c r="N41" s="71">
        <v>5</v>
      </c>
      <c r="O41" s="71">
        <v>5</v>
      </c>
      <c r="P41" s="71">
        <v>5</v>
      </c>
      <c r="Q41" s="71">
        <v>5</v>
      </c>
      <c r="R41" s="71">
        <v>5</v>
      </c>
      <c r="S41" s="71">
        <v>6</v>
      </c>
      <c r="T41" s="71">
        <v>6</v>
      </c>
      <c r="U41" s="71">
        <v>6</v>
      </c>
      <c r="V41" s="71">
        <v>6</v>
      </c>
      <c r="W41" s="71">
        <v>7</v>
      </c>
      <c r="X41" s="71">
        <v>7</v>
      </c>
      <c r="Y41" s="71">
        <v>9</v>
      </c>
      <c r="Z41" s="71">
        <v>9</v>
      </c>
      <c r="AA41" s="71">
        <v>8</v>
      </c>
      <c r="AB41" s="71">
        <v>8</v>
      </c>
      <c r="AC41" s="71">
        <v>8</v>
      </c>
      <c r="AD41" s="71">
        <v>7</v>
      </c>
      <c r="AE41" s="159">
        <v>7</v>
      </c>
    </row>
    <row r="42" spans="1:32" s="11" customFormat="1" ht="15" customHeight="1" thickBot="1" x14ac:dyDescent="0.3">
      <c r="A42" s="160" t="s">
        <v>52</v>
      </c>
      <c r="B42" s="19" t="s">
        <v>53</v>
      </c>
      <c r="C42" s="64">
        <v>307</v>
      </c>
      <c r="D42" s="64">
        <v>321</v>
      </c>
      <c r="E42" s="64">
        <v>375</v>
      </c>
      <c r="F42" s="64">
        <v>363</v>
      </c>
      <c r="G42" s="64">
        <v>348</v>
      </c>
      <c r="H42" s="64">
        <v>316</v>
      </c>
      <c r="I42" s="64">
        <v>289</v>
      </c>
      <c r="J42" s="64">
        <v>329</v>
      </c>
      <c r="K42" s="64">
        <v>443</v>
      </c>
      <c r="L42" s="64">
        <v>507</v>
      </c>
      <c r="M42" s="64">
        <v>550</v>
      </c>
      <c r="N42" s="64">
        <v>596</v>
      </c>
      <c r="O42" s="64">
        <v>587</v>
      </c>
      <c r="P42" s="64">
        <v>565</v>
      </c>
      <c r="Q42" s="64">
        <v>539</v>
      </c>
      <c r="R42" s="64">
        <v>577</v>
      </c>
      <c r="S42" s="64">
        <v>556</v>
      </c>
      <c r="T42" s="64">
        <v>569</v>
      </c>
      <c r="U42" s="64">
        <v>608</v>
      </c>
      <c r="V42" s="64">
        <v>628</v>
      </c>
      <c r="W42" s="64">
        <v>633</v>
      </c>
      <c r="X42" s="64">
        <v>639</v>
      </c>
      <c r="Y42" s="64">
        <v>642</v>
      </c>
      <c r="Z42" s="64">
        <v>680</v>
      </c>
      <c r="AA42" s="64">
        <v>666</v>
      </c>
      <c r="AB42" s="64">
        <v>713</v>
      </c>
      <c r="AC42" s="64">
        <v>734</v>
      </c>
      <c r="AD42" s="64">
        <v>724</v>
      </c>
      <c r="AE42" s="145">
        <v>736</v>
      </c>
      <c r="AF42" s="10"/>
    </row>
    <row r="43" spans="1:32" ht="15" customHeight="1" thickBot="1" x14ac:dyDescent="0.3">
      <c r="A43" s="150">
        <v>45</v>
      </c>
      <c r="B43" s="14" t="s">
        <v>54</v>
      </c>
      <c r="C43" s="67">
        <v>307</v>
      </c>
      <c r="D43" s="67">
        <v>321</v>
      </c>
      <c r="E43" s="67">
        <v>375</v>
      </c>
      <c r="F43" s="67">
        <v>363</v>
      </c>
      <c r="G43" s="67">
        <v>348</v>
      </c>
      <c r="H43" s="67">
        <v>316</v>
      </c>
      <c r="I43" s="67">
        <v>289</v>
      </c>
      <c r="J43" s="67">
        <v>329</v>
      </c>
      <c r="K43" s="67">
        <v>443</v>
      </c>
      <c r="L43" s="67">
        <v>507</v>
      </c>
      <c r="M43" s="67">
        <v>550</v>
      </c>
      <c r="N43" s="67">
        <v>596</v>
      </c>
      <c r="O43" s="67">
        <v>587</v>
      </c>
      <c r="P43" s="67">
        <v>565</v>
      </c>
      <c r="Q43" s="67">
        <v>539</v>
      </c>
      <c r="R43" s="67">
        <v>577</v>
      </c>
      <c r="S43" s="67">
        <v>556</v>
      </c>
      <c r="T43" s="67">
        <v>569</v>
      </c>
      <c r="U43" s="67">
        <v>608</v>
      </c>
      <c r="V43" s="67">
        <v>628</v>
      </c>
      <c r="W43" s="67">
        <v>633</v>
      </c>
      <c r="X43" s="67">
        <v>639</v>
      </c>
      <c r="Y43" s="67">
        <v>642</v>
      </c>
      <c r="Z43" s="67">
        <v>680</v>
      </c>
      <c r="AA43" s="67">
        <v>666</v>
      </c>
      <c r="AB43" s="67">
        <v>713</v>
      </c>
      <c r="AC43" s="67">
        <v>734</v>
      </c>
      <c r="AD43" s="67">
        <v>724</v>
      </c>
      <c r="AE43" s="151">
        <v>736</v>
      </c>
    </row>
    <row r="44" spans="1:32" s="11" customFormat="1" ht="15" customHeight="1" thickBot="1" x14ac:dyDescent="0.3">
      <c r="A44" s="144" t="s">
        <v>55</v>
      </c>
      <c r="B44" s="9" t="s">
        <v>56</v>
      </c>
      <c r="C44" s="64">
        <v>1278</v>
      </c>
      <c r="D44" s="64">
        <v>1280</v>
      </c>
      <c r="E44" s="64">
        <v>1426</v>
      </c>
      <c r="F44" s="64">
        <v>1366</v>
      </c>
      <c r="G44" s="64">
        <v>1245</v>
      </c>
      <c r="H44" s="64">
        <v>1187</v>
      </c>
      <c r="I44" s="64">
        <v>1111</v>
      </c>
      <c r="J44" s="64">
        <v>1251</v>
      </c>
      <c r="K44" s="64">
        <v>1551</v>
      </c>
      <c r="L44" s="64">
        <v>1800</v>
      </c>
      <c r="M44" s="64">
        <v>1985</v>
      </c>
      <c r="N44" s="64">
        <v>2150</v>
      </c>
      <c r="O44" s="64">
        <v>2300</v>
      </c>
      <c r="P44" s="64">
        <v>2411</v>
      </c>
      <c r="Q44" s="64">
        <v>2462</v>
      </c>
      <c r="R44" s="64">
        <v>2540</v>
      </c>
      <c r="S44" s="64">
        <v>2591</v>
      </c>
      <c r="T44" s="64">
        <v>2725</v>
      </c>
      <c r="U44" s="64">
        <v>2753</v>
      </c>
      <c r="V44" s="64">
        <v>2954</v>
      </c>
      <c r="W44" s="64">
        <v>3049</v>
      </c>
      <c r="X44" s="64">
        <v>3084</v>
      </c>
      <c r="Y44" s="64">
        <v>3080</v>
      </c>
      <c r="Z44" s="64">
        <v>3082</v>
      </c>
      <c r="AA44" s="64">
        <v>2999</v>
      </c>
      <c r="AB44" s="64">
        <v>3033</v>
      </c>
      <c r="AC44" s="64">
        <v>3296</v>
      </c>
      <c r="AD44" s="64">
        <v>3423</v>
      </c>
      <c r="AE44" s="145">
        <v>3544</v>
      </c>
      <c r="AF44" s="10"/>
    </row>
    <row r="45" spans="1:32" ht="15" customHeight="1" x14ac:dyDescent="0.25">
      <c r="A45" s="146">
        <v>50</v>
      </c>
      <c r="B45" s="12" t="s">
        <v>57</v>
      </c>
      <c r="C45" s="65">
        <v>188</v>
      </c>
      <c r="D45" s="65">
        <v>196</v>
      </c>
      <c r="E45" s="65">
        <v>248</v>
      </c>
      <c r="F45" s="65">
        <v>244</v>
      </c>
      <c r="G45" s="65">
        <v>199</v>
      </c>
      <c r="H45" s="65">
        <v>199</v>
      </c>
      <c r="I45" s="65">
        <v>187</v>
      </c>
      <c r="J45" s="65">
        <v>221</v>
      </c>
      <c r="K45" s="65">
        <v>266</v>
      </c>
      <c r="L45" s="65">
        <v>300</v>
      </c>
      <c r="M45" s="65">
        <v>323</v>
      </c>
      <c r="N45" s="65">
        <v>338</v>
      </c>
      <c r="O45" s="65">
        <v>361</v>
      </c>
      <c r="P45" s="65">
        <v>379</v>
      </c>
      <c r="Q45" s="65">
        <v>372</v>
      </c>
      <c r="R45" s="65">
        <v>376</v>
      </c>
      <c r="S45" s="65">
        <v>377</v>
      </c>
      <c r="T45" s="65">
        <v>398</v>
      </c>
      <c r="U45" s="65">
        <v>397</v>
      </c>
      <c r="V45" s="65">
        <v>415</v>
      </c>
      <c r="W45" s="65">
        <v>420</v>
      </c>
      <c r="X45" s="65">
        <v>418</v>
      </c>
      <c r="Y45" s="65">
        <v>418</v>
      </c>
      <c r="Z45" s="65">
        <v>424</v>
      </c>
      <c r="AA45" s="65">
        <v>419</v>
      </c>
      <c r="AB45" s="65">
        <v>427</v>
      </c>
      <c r="AC45" s="65">
        <v>447</v>
      </c>
      <c r="AD45" s="65">
        <v>454</v>
      </c>
      <c r="AE45" s="147">
        <v>469</v>
      </c>
    </row>
    <row r="46" spans="1:32" ht="15" customHeight="1" x14ac:dyDescent="0.25">
      <c r="A46" s="156">
        <v>51</v>
      </c>
      <c r="B46" s="17" t="s">
        <v>58</v>
      </c>
      <c r="C46" s="70">
        <v>248</v>
      </c>
      <c r="D46" s="70">
        <v>242</v>
      </c>
      <c r="E46" s="70">
        <v>273</v>
      </c>
      <c r="F46" s="70">
        <v>268</v>
      </c>
      <c r="G46" s="70">
        <v>242</v>
      </c>
      <c r="H46" s="70">
        <v>239</v>
      </c>
      <c r="I46" s="70">
        <v>231</v>
      </c>
      <c r="J46" s="70">
        <v>255</v>
      </c>
      <c r="K46" s="70">
        <v>264</v>
      </c>
      <c r="L46" s="70">
        <v>298</v>
      </c>
      <c r="M46" s="70">
        <v>315</v>
      </c>
      <c r="N46" s="70">
        <v>335</v>
      </c>
      <c r="O46" s="70">
        <v>352</v>
      </c>
      <c r="P46" s="70">
        <v>347</v>
      </c>
      <c r="Q46" s="70">
        <v>365</v>
      </c>
      <c r="R46" s="70">
        <v>376</v>
      </c>
      <c r="S46" s="70">
        <v>383</v>
      </c>
      <c r="T46" s="70">
        <v>388</v>
      </c>
      <c r="U46" s="70">
        <v>374</v>
      </c>
      <c r="V46" s="70">
        <v>401</v>
      </c>
      <c r="W46" s="70">
        <v>415</v>
      </c>
      <c r="X46" s="70">
        <v>407</v>
      </c>
      <c r="Y46" s="70">
        <v>405</v>
      </c>
      <c r="Z46" s="70">
        <v>409</v>
      </c>
      <c r="AA46" s="70">
        <v>428</v>
      </c>
      <c r="AB46" s="70">
        <v>426</v>
      </c>
      <c r="AC46" s="70">
        <v>451</v>
      </c>
      <c r="AD46" s="70">
        <v>451</v>
      </c>
      <c r="AE46" s="157">
        <v>464</v>
      </c>
    </row>
    <row r="47" spans="1:32" ht="15" customHeight="1" thickBot="1" x14ac:dyDescent="0.3">
      <c r="A47" s="158">
        <v>52</v>
      </c>
      <c r="B47" s="18" t="s">
        <v>59</v>
      </c>
      <c r="C47" s="71">
        <v>842</v>
      </c>
      <c r="D47" s="71">
        <v>842</v>
      </c>
      <c r="E47" s="71">
        <v>905</v>
      </c>
      <c r="F47" s="71">
        <v>854</v>
      </c>
      <c r="G47" s="71">
        <v>804</v>
      </c>
      <c r="H47" s="71">
        <v>749</v>
      </c>
      <c r="I47" s="71">
        <v>693</v>
      </c>
      <c r="J47" s="71">
        <v>775</v>
      </c>
      <c r="K47" s="71">
        <v>1021</v>
      </c>
      <c r="L47" s="71">
        <v>1202</v>
      </c>
      <c r="M47" s="71">
        <v>1347</v>
      </c>
      <c r="N47" s="71">
        <v>1477</v>
      </c>
      <c r="O47" s="71">
        <v>1587</v>
      </c>
      <c r="P47" s="71">
        <v>1685</v>
      </c>
      <c r="Q47" s="71">
        <v>1725</v>
      </c>
      <c r="R47" s="71">
        <v>1788</v>
      </c>
      <c r="S47" s="71">
        <v>1831</v>
      </c>
      <c r="T47" s="71">
        <v>1939</v>
      </c>
      <c r="U47" s="71">
        <v>1982</v>
      </c>
      <c r="V47" s="71">
        <v>2138</v>
      </c>
      <c r="W47" s="71">
        <v>2214</v>
      </c>
      <c r="X47" s="71">
        <v>2259</v>
      </c>
      <c r="Y47" s="71">
        <v>2257</v>
      </c>
      <c r="Z47" s="71">
        <v>2249</v>
      </c>
      <c r="AA47" s="71">
        <v>2152</v>
      </c>
      <c r="AB47" s="71">
        <v>2180</v>
      </c>
      <c r="AC47" s="71">
        <v>2398</v>
      </c>
      <c r="AD47" s="71">
        <v>2518</v>
      </c>
      <c r="AE47" s="159">
        <v>2611</v>
      </c>
    </row>
    <row r="48" spans="1:32" s="11" customFormat="1" ht="15" customHeight="1" thickBot="1" x14ac:dyDescent="0.3">
      <c r="A48" s="160" t="s">
        <v>60</v>
      </c>
      <c r="B48" s="19" t="s">
        <v>61</v>
      </c>
      <c r="C48" s="64">
        <v>264</v>
      </c>
      <c r="D48" s="64">
        <v>277</v>
      </c>
      <c r="E48" s="64">
        <v>307</v>
      </c>
      <c r="F48" s="64">
        <v>317</v>
      </c>
      <c r="G48" s="64">
        <v>253</v>
      </c>
      <c r="H48" s="64">
        <v>233</v>
      </c>
      <c r="I48" s="64">
        <v>228</v>
      </c>
      <c r="J48" s="64">
        <v>258</v>
      </c>
      <c r="K48" s="64">
        <v>355</v>
      </c>
      <c r="L48" s="64">
        <v>411</v>
      </c>
      <c r="M48" s="64">
        <v>470</v>
      </c>
      <c r="N48" s="64">
        <v>512</v>
      </c>
      <c r="O48" s="64">
        <v>562</v>
      </c>
      <c r="P48" s="64">
        <v>591</v>
      </c>
      <c r="Q48" s="64">
        <v>589</v>
      </c>
      <c r="R48" s="64">
        <v>572</v>
      </c>
      <c r="S48" s="64">
        <v>600</v>
      </c>
      <c r="T48" s="64">
        <v>670</v>
      </c>
      <c r="U48" s="64">
        <v>677</v>
      </c>
      <c r="V48" s="64">
        <v>700</v>
      </c>
      <c r="W48" s="64">
        <v>712</v>
      </c>
      <c r="X48" s="64">
        <v>727</v>
      </c>
      <c r="Y48" s="64">
        <v>742</v>
      </c>
      <c r="Z48" s="64">
        <v>746</v>
      </c>
      <c r="AA48" s="64">
        <v>665</v>
      </c>
      <c r="AB48" s="64">
        <v>705</v>
      </c>
      <c r="AC48" s="64">
        <v>805</v>
      </c>
      <c r="AD48" s="64">
        <v>846</v>
      </c>
      <c r="AE48" s="145">
        <v>867</v>
      </c>
      <c r="AF48" s="10"/>
    </row>
    <row r="49" spans="1:32" ht="15" customHeight="1" thickBot="1" x14ac:dyDescent="0.3">
      <c r="A49" s="150">
        <v>55</v>
      </c>
      <c r="B49" s="14" t="s">
        <v>62</v>
      </c>
      <c r="C49" s="67">
        <v>264</v>
      </c>
      <c r="D49" s="67">
        <v>277</v>
      </c>
      <c r="E49" s="67">
        <v>307</v>
      </c>
      <c r="F49" s="67">
        <v>317</v>
      </c>
      <c r="G49" s="67">
        <v>253</v>
      </c>
      <c r="H49" s="67">
        <v>233</v>
      </c>
      <c r="I49" s="67">
        <v>228</v>
      </c>
      <c r="J49" s="67">
        <v>258</v>
      </c>
      <c r="K49" s="67">
        <v>355</v>
      </c>
      <c r="L49" s="67">
        <v>411</v>
      </c>
      <c r="M49" s="67">
        <v>470</v>
      </c>
      <c r="N49" s="67">
        <v>512</v>
      </c>
      <c r="O49" s="67">
        <v>562</v>
      </c>
      <c r="P49" s="67">
        <v>591</v>
      </c>
      <c r="Q49" s="67">
        <v>589</v>
      </c>
      <c r="R49" s="67">
        <v>572</v>
      </c>
      <c r="S49" s="67">
        <v>600</v>
      </c>
      <c r="T49" s="67">
        <v>670</v>
      </c>
      <c r="U49" s="67">
        <v>677</v>
      </c>
      <c r="V49" s="67">
        <v>700</v>
      </c>
      <c r="W49" s="67">
        <v>712</v>
      </c>
      <c r="X49" s="67">
        <v>727</v>
      </c>
      <c r="Y49" s="67">
        <v>742</v>
      </c>
      <c r="Z49" s="67">
        <v>746</v>
      </c>
      <c r="AA49" s="67">
        <v>665</v>
      </c>
      <c r="AB49" s="67">
        <v>705</v>
      </c>
      <c r="AC49" s="67">
        <v>805</v>
      </c>
      <c r="AD49" s="67">
        <v>846</v>
      </c>
      <c r="AE49" s="151">
        <v>867</v>
      </c>
    </row>
    <row r="50" spans="1:32" s="11" customFormat="1" ht="15" customHeight="1" thickBot="1" x14ac:dyDescent="0.3">
      <c r="A50" s="144" t="s">
        <v>63</v>
      </c>
      <c r="B50" s="9" t="s">
        <v>64</v>
      </c>
      <c r="C50" s="64">
        <v>343</v>
      </c>
      <c r="D50" s="64">
        <v>351</v>
      </c>
      <c r="E50" s="64">
        <v>378</v>
      </c>
      <c r="F50" s="64">
        <v>366</v>
      </c>
      <c r="G50" s="64">
        <v>353</v>
      </c>
      <c r="H50" s="64">
        <v>370</v>
      </c>
      <c r="I50" s="64">
        <v>366</v>
      </c>
      <c r="J50" s="64">
        <v>406</v>
      </c>
      <c r="K50" s="64">
        <v>509</v>
      </c>
      <c r="L50" s="64">
        <v>566</v>
      </c>
      <c r="M50" s="64">
        <v>612</v>
      </c>
      <c r="N50" s="64">
        <v>669</v>
      </c>
      <c r="O50" s="64">
        <v>821</v>
      </c>
      <c r="P50" s="64">
        <v>791</v>
      </c>
      <c r="Q50" s="64">
        <v>750</v>
      </c>
      <c r="R50" s="64">
        <v>804</v>
      </c>
      <c r="S50" s="64">
        <v>863</v>
      </c>
      <c r="T50" s="64">
        <v>859</v>
      </c>
      <c r="U50" s="64">
        <v>829</v>
      </c>
      <c r="V50" s="64">
        <v>811</v>
      </c>
      <c r="W50" s="64">
        <v>790</v>
      </c>
      <c r="X50" s="64">
        <v>758</v>
      </c>
      <c r="Y50" s="64">
        <v>739</v>
      </c>
      <c r="Z50" s="64">
        <v>735</v>
      </c>
      <c r="AA50" s="64">
        <v>694</v>
      </c>
      <c r="AB50" s="64">
        <v>702</v>
      </c>
      <c r="AC50" s="64">
        <v>714</v>
      </c>
      <c r="AD50" s="64">
        <v>736</v>
      </c>
      <c r="AE50" s="145">
        <v>723</v>
      </c>
      <c r="AF50" s="10"/>
    </row>
    <row r="51" spans="1:32" ht="15" customHeight="1" x14ac:dyDescent="0.25">
      <c r="A51" s="152">
        <v>60</v>
      </c>
      <c r="B51" s="15" t="s">
        <v>65</v>
      </c>
      <c r="C51" s="68">
        <v>254</v>
      </c>
      <c r="D51" s="68">
        <v>251</v>
      </c>
      <c r="E51" s="68">
        <v>266</v>
      </c>
      <c r="F51" s="68">
        <v>259</v>
      </c>
      <c r="G51" s="68">
        <v>245</v>
      </c>
      <c r="H51" s="68">
        <v>255</v>
      </c>
      <c r="I51" s="68">
        <v>256</v>
      </c>
      <c r="J51" s="68">
        <v>291</v>
      </c>
      <c r="K51" s="68">
        <v>379</v>
      </c>
      <c r="L51" s="68">
        <v>423</v>
      </c>
      <c r="M51" s="68">
        <v>464</v>
      </c>
      <c r="N51" s="68">
        <v>511</v>
      </c>
      <c r="O51" s="68">
        <v>655</v>
      </c>
      <c r="P51" s="68">
        <v>620</v>
      </c>
      <c r="Q51" s="68">
        <v>588</v>
      </c>
      <c r="R51" s="68">
        <v>650</v>
      </c>
      <c r="S51" s="68">
        <v>709</v>
      </c>
      <c r="T51" s="68">
        <v>697</v>
      </c>
      <c r="U51" s="68">
        <v>660</v>
      </c>
      <c r="V51" s="68">
        <v>642</v>
      </c>
      <c r="W51" s="68">
        <v>617</v>
      </c>
      <c r="X51" s="68">
        <v>582</v>
      </c>
      <c r="Y51" s="68">
        <v>565</v>
      </c>
      <c r="Z51" s="68">
        <v>564</v>
      </c>
      <c r="AA51" s="68">
        <v>519</v>
      </c>
      <c r="AB51" s="68">
        <v>525</v>
      </c>
      <c r="AC51" s="68">
        <v>538</v>
      </c>
      <c r="AD51" s="68">
        <v>549</v>
      </c>
      <c r="AE51" s="153">
        <v>543</v>
      </c>
    </row>
    <row r="52" spans="1:32" ht="15" customHeight="1" x14ac:dyDescent="0.25">
      <c r="A52" s="161">
        <v>61</v>
      </c>
      <c r="B52" s="20" t="s">
        <v>66</v>
      </c>
      <c r="C52" s="73" t="s">
        <v>383</v>
      </c>
      <c r="D52" s="73" t="s">
        <v>383</v>
      </c>
      <c r="E52" s="73" t="s">
        <v>383</v>
      </c>
      <c r="F52" s="73" t="s">
        <v>383</v>
      </c>
      <c r="G52" s="73" t="s">
        <v>383</v>
      </c>
      <c r="H52" s="73" t="s">
        <v>383</v>
      </c>
      <c r="I52" s="73" t="s">
        <v>383</v>
      </c>
      <c r="J52" s="73" t="s">
        <v>383</v>
      </c>
      <c r="K52" s="73" t="s">
        <v>383</v>
      </c>
      <c r="L52" s="73" t="s">
        <v>383</v>
      </c>
      <c r="M52" s="73">
        <v>4</v>
      </c>
      <c r="N52" s="73" t="s">
        <v>383</v>
      </c>
      <c r="O52" s="73">
        <v>4</v>
      </c>
      <c r="P52" s="73">
        <v>4</v>
      </c>
      <c r="Q52" s="73">
        <v>4</v>
      </c>
      <c r="R52" s="73" t="s">
        <v>383</v>
      </c>
      <c r="S52" s="73">
        <v>4</v>
      </c>
      <c r="T52" s="73">
        <v>6</v>
      </c>
      <c r="U52" s="73">
        <v>5</v>
      </c>
      <c r="V52" s="73">
        <v>6</v>
      </c>
      <c r="W52" s="73">
        <v>6</v>
      </c>
      <c r="X52" s="73">
        <v>6</v>
      </c>
      <c r="Y52" s="73">
        <v>5</v>
      </c>
      <c r="Z52" s="73">
        <v>5</v>
      </c>
      <c r="AA52" s="73">
        <v>5</v>
      </c>
      <c r="AB52" s="73">
        <v>6</v>
      </c>
      <c r="AC52" s="73">
        <v>7</v>
      </c>
      <c r="AD52" s="73">
        <v>8</v>
      </c>
      <c r="AE52" s="162">
        <v>8</v>
      </c>
    </row>
    <row r="53" spans="1:32" ht="15" customHeight="1" x14ac:dyDescent="0.25">
      <c r="A53" s="152">
        <v>62</v>
      </c>
      <c r="B53" s="15" t="s">
        <v>67</v>
      </c>
      <c r="C53" s="68" t="s">
        <v>383</v>
      </c>
      <c r="D53" s="68" t="s">
        <v>383</v>
      </c>
      <c r="E53" s="68" t="s">
        <v>383</v>
      </c>
      <c r="F53" s="68" t="s">
        <v>383</v>
      </c>
      <c r="G53" s="68" t="s">
        <v>383</v>
      </c>
      <c r="H53" s="68" t="s">
        <v>383</v>
      </c>
      <c r="I53" s="68" t="s">
        <v>383</v>
      </c>
      <c r="J53" s="68" t="s">
        <v>383</v>
      </c>
      <c r="K53" s="68" t="s">
        <v>383</v>
      </c>
      <c r="L53" s="68" t="s">
        <v>383</v>
      </c>
      <c r="M53" s="68">
        <v>7</v>
      </c>
      <c r="N53" s="68" t="s">
        <v>383</v>
      </c>
      <c r="O53" s="68">
        <v>6</v>
      </c>
      <c r="P53" s="68">
        <v>7</v>
      </c>
      <c r="Q53" s="68">
        <v>7</v>
      </c>
      <c r="R53" s="68" t="s">
        <v>383</v>
      </c>
      <c r="S53" s="68">
        <v>7</v>
      </c>
      <c r="T53" s="68">
        <v>7</v>
      </c>
      <c r="U53" s="68">
        <v>7</v>
      </c>
      <c r="V53" s="68">
        <v>7</v>
      </c>
      <c r="W53" s="68">
        <v>8</v>
      </c>
      <c r="X53" s="68">
        <v>7</v>
      </c>
      <c r="Y53" s="68">
        <v>7</v>
      </c>
      <c r="Z53" s="68">
        <v>7</v>
      </c>
      <c r="AA53" s="68">
        <v>6</v>
      </c>
      <c r="AB53" s="68">
        <v>4</v>
      </c>
      <c r="AC53" s="68">
        <v>4</v>
      </c>
      <c r="AD53" s="68">
        <v>5</v>
      </c>
      <c r="AE53" s="153">
        <v>5</v>
      </c>
    </row>
    <row r="54" spans="1:32" ht="15" customHeight="1" x14ac:dyDescent="0.25">
      <c r="A54" s="163">
        <v>63</v>
      </c>
      <c r="B54" s="21" t="s">
        <v>68</v>
      </c>
      <c r="C54" s="74">
        <v>38</v>
      </c>
      <c r="D54" s="74">
        <v>46</v>
      </c>
      <c r="E54" s="74">
        <v>51</v>
      </c>
      <c r="F54" s="74">
        <v>44</v>
      </c>
      <c r="G54" s="74">
        <v>39</v>
      </c>
      <c r="H54" s="74">
        <v>45</v>
      </c>
      <c r="I54" s="74">
        <v>46</v>
      </c>
      <c r="J54" s="74">
        <v>47</v>
      </c>
      <c r="K54" s="74">
        <v>58</v>
      </c>
      <c r="L54" s="74">
        <v>66</v>
      </c>
      <c r="M54" s="74">
        <v>75</v>
      </c>
      <c r="N54" s="74">
        <v>95</v>
      </c>
      <c r="O54" s="74">
        <v>102</v>
      </c>
      <c r="P54" s="74">
        <v>107</v>
      </c>
      <c r="Q54" s="74">
        <v>102</v>
      </c>
      <c r="R54" s="74">
        <v>98</v>
      </c>
      <c r="S54" s="74">
        <v>99</v>
      </c>
      <c r="T54" s="74">
        <v>101</v>
      </c>
      <c r="U54" s="74">
        <v>110</v>
      </c>
      <c r="V54" s="74">
        <v>105</v>
      </c>
      <c r="W54" s="74">
        <v>109</v>
      </c>
      <c r="X54" s="74">
        <v>113</v>
      </c>
      <c r="Y54" s="74">
        <v>113</v>
      </c>
      <c r="Z54" s="74">
        <v>107</v>
      </c>
      <c r="AA54" s="74">
        <v>108</v>
      </c>
      <c r="AB54" s="74">
        <v>104</v>
      </c>
      <c r="AC54" s="74">
        <v>106</v>
      </c>
      <c r="AD54" s="74">
        <v>114</v>
      </c>
      <c r="AE54" s="164">
        <v>112</v>
      </c>
    </row>
    <row r="55" spans="1:32" ht="15" customHeight="1" thickBot="1" x14ac:dyDescent="0.3">
      <c r="A55" s="152">
        <v>64</v>
      </c>
      <c r="B55" s="15" t="s">
        <v>99</v>
      </c>
      <c r="C55" s="68">
        <v>46</v>
      </c>
      <c r="D55" s="68">
        <v>47</v>
      </c>
      <c r="E55" s="68">
        <v>50</v>
      </c>
      <c r="F55" s="68">
        <v>54</v>
      </c>
      <c r="G55" s="68">
        <v>58</v>
      </c>
      <c r="H55" s="68">
        <v>60</v>
      </c>
      <c r="I55" s="68">
        <v>57</v>
      </c>
      <c r="J55" s="68">
        <v>60</v>
      </c>
      <c r="K55" s="68">
        <v>65</v>
      </c>
      <c r="L55" s="68">
        <v>68</v>
      </c>
      <c r="M55" s="68">
        <v>62</v>
      </c>
      <c r="N55" s="68">
        <v>53</v>
      </c>
      <c r="O55" s="68">
        <v>54</v>
      </c>
      <c r="P55" s="68">
        <v>53</v>
      </c>
      <c r="Q55" s="68">
        <v>49</v>
      </c>
      <c r="R55" s="68">
        <v>46</v>
      </c>
      <c r="S55" s="68">
        <v>44</v>
      </c>
      <c r="T55" s="68">
        <v>48</v>
      </c>
      <c r="U55" s="68">
        <v>47</v>
      </c>
      <c r="V55" s="68">
        <v>51</v>
      </c>
      <c r="W55" s="68">
        <v>50</v>
      </c>
      <c r="X55" s="68">
        <v>50</v>
      </c>
      <c r="Y55" s="68">
        <v>49</v>
      </c>
      <c r="Z55" s="68">
        <v>52</v>
      </c>
      <c r="AA55" s="68">
        <v>56</v>
      </c>
      <c r="AB55" s="68">
        <v>63</v>
      </c>
      <c r="AC55" s="68">
        <v>59</v>
      </c>
      <c r="AD55" s="68">
        <v>60</v>
      </c>
      <c r="AE55" s="153">
        <v>55</v>
      </c>
    </row>
    <row r="56" spans="1:32" s="11" customFormat="1" ht="15" customHeight="1" thickBot="1" x14ac:dyDescent="0.3">
      <c r="A56" s="144" t="s">
        <v>70</v>
      </c>
      <c r="B56" s="9" t="s">
        <v>71</v>
      </c>
      <c r="C56" s="64">
        <v>101</v>
      </c>
      <c r="D56" s="64">
        <v>110</v>
      </c>
      <c r="E56" s="64">
        <v>131</v>
      </c>
      <c r="F56" s="64">
        <v>130</v>
      </c>
      <c r="G56" s="64">
        <v>133</v>
      </c>
      <c r="H56" s="64">
        <v>126</v>
      </c>
      <c r="I56" s="64">
        <v>112</v>
      </c>
      <c r="J56" s="64">
        <v>113</v>
      </c>
      <c r="K56" s="64">
        <v>117</v>
      </c>
      <c r="L56" s="64">
        <v>137</v>
      </c>
      <c r="M56" s="64">
        <v>155</v>
      </c>
      <c r="N56" s="64">
        <v>169</v>
      </c>
      <c r="O56" s="64">
        <v>173</v>
      </c>
      <c r="P56" s="64">
        <v>157</v>
      </c>
      <c r="Q56" s="64">
        <v>173</v>
      </c>
      <c r="R56" s="64">
        <v>179</v>
      </c>
      <c r="S56" s="64">
        <v>180</v>
      </c>
      <c r="T56" s="64">
        <v>184</v>
      </c>
      <c r="U56" s="64">
        <v>179</v>
      </c>
      <c r="V56" s="64">
        <v>183</v>
      </c>
      <c r="W56" s="64">
        <v>184</v>
      </c>
      <c r="X56" s="64">
        <v>192</v>
      </c>
      <c r="Y56" s="64">
        <v>194</v>
      </c>
      <c r="Z56" s="64">
        <v>191</v>
      </c>
      <c r="AA56" s="64">
        <v>182</v>
      </c>
      <c r="AB56" s="64">
        <v>178</v>
      </c>
      <c r="AC56" s="64">
        <v>173</v>
      </c>
      <c r="AD56" s="64">
        <v>166</v>
      </c>
      <c r="AE56" s="145">
        <v>159</v>
      </c>
      <c r="AF56" s="10"/>
    </row>
    <row r="57" spans="1:32" ht="15" customHeight="1" x14ac:dyDescent="0.25">
      <c r="A57" s="152">
        <v>65</v>
      </c>
      <c r="B57" s="15" t="s">
        <v>72</v>
      </c>
      <c r="C57" s="68">
        <v>39</v>
      </c>
      <c r="D57" s="68">
        <v>42</v>
      </c>
      <c r="E57" s="68">
        <v>51</v>
      </c>
      <c r="F57" s="68">
        <v>52</v>
      </c>
      <c r="G57" s="68">
        <v>50</v>
      </c>
      <c r="H57" s="68">
        <v>50</v>
      </c>
      <c r="I57" s="68">
        <v>43</v>
      </c>
      <c r="J57" s="68">
        <v>41</v>
      </c>
      <c r="K57" s="68">
        <v>40</v>
      </c>
      <c r="L57" s="68">
        <v>50</v>
      </c>
      <c r="M57" s="68">
        <v>57</v>
      </c>
      <c r="N57" s="68">
        <v>63</v>
      </c>
      <c r="O57" s="68">
        <v>62</v>
      </c>
      <c r="P57" s="68">
        <v>56</v>
      </c>
      <c r="Q57" s="68">
        <v>62</v>
      </c>
      <c r="R57" s="68">
        <v>67</v>
      </c>
      <c r="S57" s="68">
        <v>64</v>
      </c>
      <c r="T57" s="68">
        <v>67</v>
      </c>
      <c r="U57" s="68">
        <v>65</v>
      </c>
      <c r="V57" s="68">
        <v>64</v>
      </c>
      <c r="W57" s="68">
        <v>61</v>
      </c>
      <c r="X57" s="68">
        <v>61</v>
      </c>
      <c r="Y57" s="68">
        <v>57</v>
      </c>
      <c r="Z57" s="68">
        <v>57</v>
      </c>
      <c r="AA57" s="68">
        <v>51</v>
      </c>
      <c r="AB57" s="68">
        <v>51</v>
      </c>
      <c r="AC57" s="68">
        <v>48</v>
      </c>
      <c r="AD57" s="68">
        <v>43</v>
      </c>
      <c r="AE57" s="153">
        <v>42</v>
      </c>
    </row>
    <row r="58" spans="1:32" ht="15" customHeight="1" x14ac:dyDescent="0.25">
      <c r="A58" s="156">
        <v>66</v>
      </c>
      <c r="B58" s="17" t="s">
        <v>100</v>
      </c>
      <c r="C58" s="70">
        <v>29</v>
      </c>
      <c r="D58" s="70">
        <v>34</v>
      </c>
      <c r="E58" s="70">
        <v>45</v>
      </c>
      <c r="F58" s="70">
        <v>47</v>
      </c>
      <c r="G58" s="70">
        <v>59</v>
      </c>
      <c r="H58" s="70">
        <v>53</v>
      </c>
      <c r="I58" s="70">
        <v>48</v>
      </c>
      <c r="J58" s="70">
        <v>51</v>
      </c>
      <c r="K58" s="70">
        <v>50</v>
      </c>
      <c r="L58" s="70">
        <v>54</v>
      </c>
      <c r="M58" s="70">
        <v>58</v>
      </c>
      <c r="N58" s="70">
        <v>60</v>
      </c>
      <c r="O58" s="70">
        <v>60</v>
      </c>
      <c r="P58" s="70">
        <v>50</v>
      </c>
      <c r="Q58" s="70">
        <v>51</v>
      </c>
      <c r="R58" s="70">
        <v>51</v>
      </c>
      <c r="S58" s="70">
        <v>49</v>
      </c>
      <c r="T58" s="70">
        <v>51</v>
      </c>
      <c r="U58" s="70">
        <v>48</v>
      </c>
      <c r="V58" s="70">
        <v>52</v>
      </c>
      <c r="W58" s="70">
        <v>52</v>
      </c>
      <c r="X58" s="70">
        <v>53</v>
      </c>
      <c r="Y58" s="70">
        <v>51</v>
      </c>
      <c r="Z58" s="70">
        <v>49</v>
      </c>
      <c r="AA58" s="70">
        <v>50</v>
      </c>
      <c r="AB58" s="70">
        <v>51</v>
      </c>
      <c r="AC58" s="70">
        <v>51</v>
      </c>
      <c r="AD58" s="70">
        <v>50</v>
      </c>
      <c r="AE58" s="157">
        <v>46</v>
      </c>
    </row>
    <row r="59" spans="1:32" ht="15" customHeight="1" thickBot="1" x14ac:dyDescent="0.3">
      <c r="A59" s="152">
        <v>67</v>
      </c>
      <c r="B59" s="15" t="s">
        <v>74</v>
      </c>
      <c r="C59" s="68">
        <v>33</v>
      </c>
      <c r="D59" s="68">
        <v>34</v>
      </c>
      <c r="E59" s="68">
        <v>35</v>
      </c>
      <c r="F59" s="68">
        <v>31</v>
      </c>
      <c r="G59" s="68">
        <v>24</v>
      </c>
      <c r="H59" s="68">
        <v>23</v>
      </c>
      <c r="I59" s="68">
        <v>21</v>
      </c>
      <c r="J59" s="68">
        <v>21</v>
      </c>
      <c r="K59" s="68">
        <v>27</v>
      </c>
      <c r="L59" s="68">
        <v>33</v>
      </c>
      <c r="M59" s="68">
        <v>40</v>
      </c>
      <c r="N59" s="68">
        <v>46</v>
      </c>
      <c r="O59" s="68">
        <v>51</v>
      </c>
      <c r="P59" s="68">
        <v>51</v>
      </c>
      <c r="Q59" s="68">
        <v>60</v>
      </c>
      <c r="R59" s="68">
        <v>61</v>
      </c>
      <c r="S59" s="68">
        <v>67</v>
      </c>
      <c r="T59" s="68">
        <v>66</v>
      </c>
      <c r="U59" s="68">
        <v>66</v>
      </c>
      <c r="V59" s="68">
        <v>67</v>
      </c>
      <c r="W59" s="68">
        <v>71</v>
      </c>
      <c r="X59" s="68">
        <v>78</v>
      </c>
      <c r="Y59" s="68">
        <v>86</v>
      </c>
      <c r="Z59" s="68">
        <v>85</v>
      </c>
      <c r="AA59" s="68">
        <v>81</v>
      </c>
      <c r="AB59" s="68">
        <v>76</v>
      </c>
      <c r="AC59" s="68">
        <v>74</v>
      </c>
      <c r="AD59" s="68">
        <v>73</v>
      </c>
      <c r="AE59" s="153">
        <v>71</v>
      </c>
    </row>
    <row r="60" spans="1:32" s="11" customFormat="1" ht="15" customHeight="1" thickBot="1" x14ac:dyDescent="0.3">
      <c r="A60" s="144" t="s">
        <v>75</v>
      </c>
      <c r="B60" s="9" t="s">
        <v>76</v>
      </c>
      <c r="C60" s="64">
        <v>1230</v>
      </c>
      <c r="D60" s="64">
        <v>1265</v>
      </c>
      <c r="E60" s="64">
        <v>1377</v>
      </c>
      <c r="F60" s="64">
        <v>1377</v>
      </c>
      <c r="G60" s="64">
        <v>1325</v>
      </c>
      <c r="H60" s="64">
        <v>1326</v>
      </c>
      <c r="I60" s="64">
        <v>1253</v>
      </c>
      <c r="J60" s="64">
        <v>1388</v>
      </c>
      <c r="K60" s="64">
        <v>1653</v>
      </c>
      <c r="L60" s="64">
        <v>1759</v>
      </c>
      <c r="M60" s="64">
        <v>1907</v>
      </c>
      <c r="N60" s="64">
        <v>1992</v>
      </c>
      <c r="O60" s="64">
        <v>2069</v>
      </c>
      <c r="P60" s="64">
        <v>2048</v>
      </c>
      <c r="Q60" s="64">
        <v>2039</v>
      </c>
      <c r="R60" s="64">
        <v>2002</v>
      </c>
      <c r="S60" s="64">
        <v>1955</v>
      </c>
      <c r="T60" s="64">
        <v>1979</v>
      </c>
      <c r="U60" s="64">
        <v>1997</v>
      </c>
      <c r="V60" s="64">
        <v>2014</v>
      </c>
      <c r="W60" s="64">
        <v>1950</v>
      </c>
      <c r="X60" s="64">
        <v>1909</v>
      </c>
      <c r="Y60" s="64">
        <v>1866</v>
      </c>
      <c r="Z60" s="64">
        <v>1836</v>
      </c>
      <c r="AA60" s="64">
        <v>1764</v>
      </c>
      <c r="AB60" s="64">
        <v>1763</v>
      </c>
      <c r="AC60" s="64">
        <v>1734</v>
      </c>
      <c r="AD60" s="64">
        <v>1696</v>
      </c>
      <c r="AE60" s="145">
        <v>1643</v>
      </c>
      <c r="AF60" s="10"/>
    </row>
    <row r="61" spans="1:32" ht="15" customHeight="1" x14ac:dyDescent="0.25">
      <c r="A61" s="146">
        <v>70</v>
      </c>
      <c r="B61" s="12" t="s">
        <v>77</v>
      </c>
      <c r="C61" s="65">
        <v>625</v>
      </c>
      <c r="D61" s="65">
        <v>635</v>
      </c>
      <c r="E61" s="65">
        <v>678</v>
      </c>
      <c r="F61" s="65">
        <v>666</v>
      </c>
      <c r="G61" s="65">
        <v>622</v>
      </c>
      <c r="H61" s="65">
        <v>596</v>
      </c>
      <c r="I61" s="65">
        <v>567</v>
      </c>
      <c r="J61" s="65">
        <v>608</v>
      </c>
      <c r="K61" s="65">
        <v>733</v>
      </c>
      <c r="L61" s="65">
        <v>782</v>
      </c>
      <c r="M61" s="65">
        <v>823</v>
      </c>
      <c r="N61" s="65">
        <v>834</v>
      </c>
      <c r="O61" s="65">
        <v>866</v>
      </c>
      <c r="P61" s="65">
        <v>865</v>
      </c>
      <c r="Q61" s="65">
        <v>852</v>
      </c>
      <c r="R61" s="65">
        <v>801</v>
      </c>
      <c r="S61" s="65">
        <v>783</v>
      </c>
      <c r="T61" s="65">
        <v>781</v>
      </c>
      <c r="U61" s="65">
        <v>774</v>
      </c>
      <c r="V61" s="65">
        <v>761</v>
      </c>
      <c r="W61" s="65">
        <v>711</v>
      </c>
      <c r="X61" s="65">
        <v>674</v>
      </c>
      <c r="Y61" s="65">
        <v>650</v>
      </c>
      <c r="Z61" s="65">
        <v>625</v>
      </c>
      <c r="AA61" s="65">
        <v>579</v>
      </c>
      <c r="AB61" s="65">
        <v>560</v>
      </c>
      <c r="AC61" s="65">
        <v>543</v>
      </c>
      <c r="AD61" s="65">
        <v>501</v>
      </c>
      <c r="AE61" s="147">
        <v>469</v>
      </c>
    </row>
    <row r="62" spans="1:32" ht="15" customHeight="1" x14ac:dyDescent="0.25">
      <c r="A62" s="156">
        <v>71</v>
      </c>
      <c r="B62" s="17" t="s">
        <v>78</v>
      </c>
      <c r="C62" s="70">
        <v>38</v>
      </c>
      <c r="D62" s="70">
        <v>40</v>
      </c>
      <c r="E62" s="70">
        <v>43</v>
      </c>
      <c r="F62" s="70">
        <v>44</v>
      </c>
      <c r="G62" s="70">
        <v>45</v>
      </c>
      <c r="H62" s="70">
        <v>44</v>
      </c>
      <c r="I62" s="70">
        <v>42</v>
      </c>
      <c r="J62" s="70">
        <v>50</v>
      </c>
      <c r="K62" s="70">
        <v>68</v>
      </c>
      <c r="L62" s="70">
        <v>73</v>
      </c>
      <c r="M62" s="70">
        <v>90</v>
      </c>
      <c r="N62" s="70">
        <v>99</v>
      </c>
      <c r="O62" s="70">
        <v>102</v>
      </c>
      <c r="P62" s="70">
        <v>96</v>
      </c>
      <c r="Q62" s="70">
        <v>109</v>
      </c>
      <c r="R62" s="70">
        <v>105</v>
      </c>
      <c r="S62" s="70">
        <v>102</v>
      </c>
      <c r="T62" s="70">
        <v>112</v>
      </c>
      <c r="U62" s="70">
        <v>132</v>
      </c>
      <c r="V62" s="70">
        <v>136</v>
      </c>
      <c r="W62" s="70">
        <v>138</v>
      </c>
      <c r="X62" s="70">
        <v>132</v>
      </c>
      <c r="Y62" s="70">
        <v>137</v>
      </c>
      <c r="Z62" s="70">
        <v>144</v>
      </c>
      <c r="AA62" s="70">
        <v>133</v>
      </c>
      <c r="AB62" s="70">
        <v>143</v>
      </c>
      <c r="AC62" s="70">
        <v>157</v>
      </c>
      <c r="AD62" s="70">
        <v>149</v>
      </c>
      <c r="AE62" s="157">
        <v>166</v>
      </c>
    </row>
    <row r="63" spans="1:32" ht="15" customHeight="1" x14ac:dyDescent="0.25">
      <c r="A63" s="156">
        <v>72</v>
      </c>
      <c r="B63" s="17" t="s">
        <v>79</v>
      </c>
      <c r="C63" s="70" t="s">
        <v>383</v>
      </c>
      <c r="D63" s="70" t="s">
        <v>383</v>
      </c>
      <c r="E63" s="70">
        <v>25</v>
      </c>
      <c r="F63" s="70">
        <v>32</v>
      </c>
      <c r="G63" s="70">
        <v>32</v>
      </c>
      <c r="H63" s="70">
        <v>31</v>
      </c>
      <c r="I63" s="70">
        <v>31</v>
      </c>
      <c r="J63" s="70">
        <v>40</v>
      </c>
      <c r="K63" s="70" t="s">
        <v>383</v>
      </c>
      <c r="L63" s="70" t="s">
        <v>383</v>
      </c>
      <c r="M63" s="70">
        <v>57</v>
      </c>
      <c r="N63" s="70">
        <v>55</v>
      </c>
      <c r="O63" s="70">
        <v>57</v>
      </c>
      <c r="P63" s="70">
        <v>58</v>
      </c>
      <c r="Q63" s="70">
        <v>59</v>
      </c>
      <c r="R63" s="70">
        <v>55</v>
      </c>
      <c r="S63" s="70">
        <v>54</v>
      </c>
      <c r="T63" s="70">
        <v>58</v>
      </c>
      <c r="U63" s="70">
        <v>63</v>
      </c>
      <c r="V63" s="70">
        <v>67</v>
      </c>
      <c r="W63" s="70">
        <v>62</v>
      </c>
      <c r="X63" s="70">
        <v>66</v>
      </c>
      <c r="Y63" s="70">
        <v>71</v>
      </c>
      <c r="Z63" s="70">
        <v>69</v>
      </c>
      <c r="AA63" s="70">
        <v>82</v>
      </c>
      <c r="AB63" s="70">
        <v>88</v>
      </c>
      <c r="AC63" s="70">
        <v>87</v>
      </c>
      <c r="AD63" s="70">
        <v>99</v>
      </c>
      <c r="AE63" s="157">
        <v>93</v>
      </c>
    </row>
    <row r="64" spans="1:32" ht="15" customHeight="1" x14ac:dyDescent="0.25">
      <c r="A64" s="156">
        <v>73</v>
      </c>
      <c r="B64" s="17" t="s">
        <v>80</v>
      </c>
      <c r="C64" s="70" t="s">
        <v>383</v>
      </c>
      <c r="D64" s="70" t="s">
        <v>383</v>
      </c>
      <c r="E64" s="70">
        <v>4</v>
      </c>
      <c r="F64" s="70">
        <v>4</v>
      </c>
      <c r="G64" s="70">
        <v>4</v>
      </c>
      <c r="H64" s="70">
        <v>4</v>
      </c>
      <c r="I64" s="70">
        <v>4</v>
      </c>
      <c r="J64" s="70">
        <v>4</v>
      </c>
      <c r="K64" s="70" t="s">
        <v>383</v>
      </c>
      <c r="L64" s="70" t="s">
        <v>383</v>
      </c>
      <c r="M64" s="70">
        <v>5</v>
      </c>
      <c r="N64" s="70">
        <v>4</v>
      </c>
      <c r="O64" s="70">
        <v>5</v>
      </c>
      <c r="P64" s="70">
        <v>4</v>
      </c>
      <c r="Q64" s="70">
        <v>4</v>
      </c>
      <c r="R64" s="70">
        <v>4</v>
      </c>
      <c r="S64" s="70">
        <v>5</v>
      </c>
      <c r="T64" s="70">
        <v>6</v>
      </c>
      <c r="U64" s="70">
        <v>5</v>
      </c>
      <c r="V64" s="70">
        <v>6</v>
      </c>
      <c r="W64" s="70">
        <v>5</v>
      </c>
      <c r="X64" s="70">
        <v>6</v>
      </c>
      <c r="Y64" s="70">
        <v>8</v>
      </c>
      <c r="Z64" s="70">
        <v>9</v>
      </c>
      <c r="AA64" s="70">
        <v>9</v>
      </c>
      <c r="AB64" s="70">
        <v>8</v>
      </c>
      <c r="AC64" s="70">
        <v>6</v>
      </c>
      <c r="AD64" s="70">
        <v>5</v>
      </c>
      <c r="AE64" s="157" t="s">
        <v>383</v>
      </c>
    </row>
    <row r="65" spans="1:32" ht="15" customHeight="1" x14ac:dyDescent="0.25">
      <c r="A65" s="156">
        <v>74</v>
      </c>
      <c r="B65" s="17" t="s">
        <v>81</v>
      </c>
      <c r="C65" s="70">
        <v>549</v>
      </c>
      <c r="D65" s="70">
        <v>567</v>
      </c>
      <c r="E65" s="70">
        <v>619</v>
      </c>
      <c r="F65" s="70">
        <v>622</v>
      </c>
      <c r="G65" s="70">
        <v>609</v>
      </c>
      <c r="H65" s="70">
        <v>636</v>
      </c>
      <c r="I65" s="70">
        <v>593</v>
      </c>
      <c r="J65" s="70">
        <v>674</v>
      </c>
      <c r="K65" s="70">
        <v>787</v>
      </c>
      <c r="L65" s="70">
        <v>841</v>
      </c>
      <c r="M65" s="70">
        <v>918</v>
      </c>
      <c r="N65" s="70">
        <v>980</v>
      </c>
      <c r="O65" s="70">
        <v>1016</v>
      </c>
      <c r="P65" s="70">
        <v>1004</v>
      </c>
      <c r="Q65" s="70">
        <v>995</v>
      </c>
      <c r="R65" s="70">
        <v>1018</v>
      </c>
      <c r="S65" s="70">
        <v>993</v>
      </c>
      <c r="T65" s="70">
        <v>1005</v>
      </c>
      <c r="U65" s="70">
        <v>1007</v>
      </c>
      <c r="V65" s="70">
        <v>1032</v>
      </c>
      <c r="W65" s="70">
        <v>1023</v>
      </c>
      <c r="X65" s="70">
        <v>1021</v>
      </c>
      <c r="Y65" s="70">
        <v>991</v>
      </c>
      <c r="Z65" s="70">
        <v>982</v>
      </c>
      <c r="AA65" s="70">
        <v>953</v>
      </c>
      <c r="AB65" s="70">
        <v>955</v>
      </c>
      <c r="AC65" s="70">
        <v>931</v>
      </c>
      <c r="AD65" s="70">
        <v>933</v>
      </c>
      <c r="AE65" s="157">
        <v>903</v>
      </c>
    </row>
    <row r="66" spans="1:32" ht="15" customHeight="1" thickBot="1" x14ac:dyDescent="0.3">
      <c r="A66" s="158">
        <v>75</v>
      </c>
      <c r="B66" s="18" t="s">
        <v>185</v>
      </c>
      <c r="C66" s="71">
        <v>5</v>
      </c>
      <c r="D66" s="71">
        <v>7</v>
      </c>
      <c r="E66" s="71">
        <v>8</v>
      </c>
      <c r="F66" s="71">
        <v>9</v>
      </c>
      <c r="G66" s="71">
        <v>13</v>
      </c>
      <c r="H66" s="71">
        <v>15</v>
      </c>
      <c r="I66" s="71">
        <v>16</v>
      </c>
      <c r="J66" s="71">
        <v>12</v>
      </c>
      <c r="K66" s="71">
        <v>14</v>
      </c>
      <c r="L66" s="71">
        <v>14</v>
      </c>
      <c r="M66" s="71">
        <v>14</v>
      </c>
      <c r="N66" s="71">
        <v>20</v>
      </c>
      <c r="O66" s="71">
        <v>23</v>
      </c>
      <c r="P66" s="71">
        <v>21</v>
      </c>
      <c r="Q66" s="71">
        <v>20</v>
      </c>
      <c r="R66" s="71">
        <v>19</v>
      </c>
      <c r="S66" s="71">
        <v>18</v>
      </c>
      <c r="T66" s="71">
        <v>17</v>
      </c>
      <c r="U66" s="71">
        <v>16</v>
      </c>
      <c r="V66" s="71">
        <v>12</v>
      </c>
      <c r="W66" s="71">
        <v>11</v>
      </c>
      <c r="X66" s="71">
        <v>10</v>
      </c>
      <c r="Y66" s="71">
        <v>9</v>
      </c>
      <c r="Z66" s="71">
        <v>7</v>
      </c>
      <c r="AA66" s="71">
        <v>8</v>
      </c>
      <c r="AB66" s="71">
        <v>9</v>
      </c>
      <c r="AC66" s="71">
        <v>10</v>
      </c>
      <c r="AD66" s="71">
        <v>9</v>
      </c>
      <c r="AE66" s="159" t="s">
        <v>383</v>
      </c>
    </row>
    <row r="67" spans="1:32" s="11" customFormat="1" ht="15" customHeight="1" thickBot="1" x14ac:dyDescent="0.3">
      <c r="A67" s="160" t="s">
        <v>83</v>
      </c>
      <c r="B67" s="19" t="s">
        <v>84</v>
      </c>
      <c r="C67" s="64">
        <v>80</v>
      </c>
      <c r="D67" s="64">
        <v>85</v>
      </c>
      <c r="E67" s="64">
        <v>102</v>
      </c>
      <c r="F67" s="64">
        <v>94</v>
      </c>
      <c r="G67" s="64">
        <v>81</v>
      </c>
      <c r="H67" s="64">
        <v>79</v>
      </c>
      <c r="I67" s="64">
        <v>70</v>
      </c>
      <c r="J67" s="64">
        <v>70</v>
      </c>
      <c r="K67" s="64">
        <v>93</v>
      </c>
      <c r="L67" s="64">
        <v>105</v>
      </c>
      <c r="M67" s="64">
        <v>118</v>
      </c>
      <c r="N67" s="64">
        <v>121</v>
      </c>
      <c r="O67" s="64">
        <v>126</v>
      </c>
      <c r="P67" s="64">
        <v>135</v>
      </c>
      <c r="Q67" s="64">
        <v>137</v>
      </c>
      <c r="R67" s="64">
        <v>143</v>
      </c>
      <c r="S67" s="64">
        <v>140</v>
      </c>
      <c r="T67" s="64">
        <v>149</v>
      </c>
      <c r="U67" s="64">
        <v>152</v>
      </c>
      <c r="V67" s="64">
        <v>149</v>
      </c>
      <c r="W67" s="64">
        <v>158</v>
      </c>
      <c r="X67" s="64">
        <v>161</v>
      </c>
      <c r="Y67" s="64">
        <v>153</v>
      </c>
      <c r="Z67" s="64">
        <v>152</v>
      </c>
      <c r="AA67" s="64">
        <v>139</v>
      </c>
      <c r="AB67" s="64">
        <v>150</v>
      </c>
      <c r="AC67" s="64">
        <v>152</v>
      </c>
      <c r="AD67" s="64">
        <v>152</v>
      </c>
      <c r="AE67" s="145">
        <v>148</v>
      </c>
      <c r="AF67" s="10"/>
    </row>
    <row r="68" spans="1:32" ht="15" customHeight="1" thickBot="1" x14ac:dyDescent="0.3">
      <c r="A68" s="150">
        <v>80</v>
      </c>
      <c r="B68" s="14" t="s">
        <v>85</v>
      </c>
      <c r="C68" s="70">
        <v>80</v>
      </c>
      <c r="D68" s="67">
        <v>85</v>
      </c>
      <c r="E68" s="67">
        <v>102</v>
      </c>
      <c r="F68" s="67">
        <v>94</v>
      </c>
      <c r="G68" s="67">
        <v>81</v>
      </c>
      <c r="H68" s="67">
        <v>79</v>
      </c>
      <c r="I68" s="67">
        <v>70</v>
      </c>
      <c r="J68" s="67">
        <v>70</v>
      </c>
      <c r="K68" s="67">
        <v>93</v>
      </c>
      <c r="L68" s="67">
        <v>105</v>
      </c>
      <c r="M68" s="67">
        <v>118</v>
      </c>
      <c r="N68" s="67">
        <v>121</v>
      </c>
      <c r="O68" s="67">
        <v>126</v>
      </c>
      <c r="P68" s="67">
        <v>135</v>
      </c>
      <c r="Q68" s="67">
        <v>137</v>
      </c>
      <c r="R68" s="67">
        <v>143</v>
      </c>
      <c r="S68" s="67">
        <v>140</v>
      </c>
      <c r="T68" s="67">
        <v>149</v>
      </c>
      <c r="U68" s="67">
        <v>152</v>
      </c>
      <c r="V68" s="67">
        <v>149</v>
      </c>
      <c r="W68" s="67">
        <v>158</v>
      </c>
      <c r="X68" s="67">
        <v>161</v>
      </c>
      <c r="Y68" s="67">
        <v>153</v>
      </c>
      <c r="Z68" s="67">
        <v>152</v>
      </c>
      <c r="AA68" s="67">
        <v>139</v>
      </c>
      <c r="AB68" s="67">
        <v>150</v>
      </c>
      <c r="AC68" s="67">
        <v>152</v>
      </c>
      <c r="AD68" s="67">
        <v>152</v>
      </c>
      <c r="AE68" s="151">
        <v>148</v>
      </c>
    </row>
    <row r="69" spans="1:32" s="11" customFormat="1" ht="15" customHeight="1" thickBot="1" x14ac:dyDescent="0.3">
      <c r="A69" s="144" t="s">
        <v>86</v>
      </c>
      <c r="B69" s="9" t="s">
        <v>87</v>
      </c>
      <c r="C69" s="64">
        <v>221</v>
      </c>
      <c r="D69" s="64">
        <v>228</v>
      </c>
      <c r="E69" s="64">
        <v>240</v>
      </c>
      <c r="F69" s="64">
        <v>253</v>
      </c>
      <c r="G69" s="64">
        <v>240</v>
      </c>
      <c r="H69" s="64">
        <v>238</v>
      </c>
      <c r="I69" s="64">
        <v>242</v>
      </c>
      <c r="J69" s="64">
        <v>261</v>
      </c>
      <c r="K69" s="64">
        <v>320</v>
      </c>
      <c r="L69" s="64">
        <v>344</v>
      </c>
      <c r="M69" s="64">
        <v>367</v>
      </c>
      <c r="N69" s="64">
        <v>388</v>
      </c>
      <c r="O69" s="64">
        <v>419</v>
      </c>
      <c r="P69" s="64">
        <v>442</v>
      </c>
      <c r="Q69" s="64">
        <v>457</v>
      </c>
      <c r="R69" s="64">
        <v>471</v>
      </c>
      <c r="S69" s="64">
        <v>466</v>
      </c>
      <c r="T69" s="64">
        <v>478</v>
      </c>
      <c r="U69" s="64">
        <v>491</v>
      </c>
      <c r="V69" s="64">
        <v>517</v>
      </c>
      <c r="W69" s="64">
        <v>520</v>
      </c>
      <c r="X69" s="64">
        <v>509</v>
      </c>
      <c r="Y69" s="64">
        <v>529</v>
      </c>
      <c r="Z69" s="64">
        <v>526</v>
      </c>
      <c r="AA69" s="64">
        <v>513</v>
      </c>
      <c r="AB69" s="64">
        <v>506</v>
      </c>
      <c r="AC69" s="64">
        <v>523</v>
      </c>
      <c r="AD69" s="64">
        <v>514</v>
      </c>
      <c r="AE69" s="145">
        <v>514</v>
      </c>
      <c r="AF69" s="10"/>
    </row>
    <row r="70" spans="1:32" ht="15" customHeight="1" thickBot="1" x14ac:dyDescent="0.3">
      <c r="A70" s="150">
        <v>85</v>
      </c>
      <c r="B70" s="14" t="s">
        <v>88</v>
      </c>
      <c r="C70" s="67">
        <v>221</v>
      </c>
      <c r="D70" s="67">
        <v>228</v>
      </c>
      <c r="E70" s="67">
        <v>240</v>
      </c>
      <c r="F70" s="67">
        <v>253</v>
      </c>
      <c r="G70" s="67">
        <v>240</v>
      </c>
      <c r="H70" s="67">
        <v>238</v>
      </c>
      <c r="I70" s="67">
        <v>242</v>
      </c>
      <c r="J70" s="67">
        <v>261</v>
      </c>
      <c r="K70" s="67">
        <v>320</v>
      </c>
      <c r="L70" s="67">
        <v>344</v>
      </c>
      <c r="M70" s="67">
        <v>367</v>
      </c>
      <c r="N70" s="67">
        <v>388</v>
      </c>
      <c r="O70" s="67">
        <v>419</v>
      </c>
      <c r="P70" s="67">
        <v>442</v>
      </c>
      <c r="Q70" s="67">
        <v>457</v>
      </c>
      <c r="R70" s="67">
        <v>471</v>
      </c>
      <c r="S70" s="67">
        <v>466</v>
      </c>
      <c r="T70" s="67">
        <v>478</v>
      </c>
      <c r="U70" s="67">
        <v>491</v>
      </c>
      <c r="V70" s="67">
        <v>517</v>
      </c>
      <c r="W70" s="67">
        <v>520</v>
      </c>
      <c r="X70" s="67">
        <v>509</v>
      </c>
      <c r="Y70" s="67">
        <v>529</v>
      </c>
      <c r="Z70" s="67">
        <v>526</v>
      </c>
      <c r="AA70" s="67">
        <v>513</v>
      </c>
      <c r="AB70" s="67">
        <v>506</v>
      </c>
      <c r="AC70" s="67">
        <v>523</v>
      </c>
      <c r="AD70" s="67">
        <v>514</v>
      </c>
      <c r="AE70" s="151">
        <v>514</v>
      </c>
    </row>
    <row r="71" spans="1:32" s="11" customFormat="1" ht="15" customHeight="1" thickBot="1" x14ac:dyDescent="0.3">
      <c r="A71" s="144" t="s">
        <v>89</v>
      </c>
      <c r="B71" s="9" t="s">
        <v>90</v>
      </c>
      <c r="C71" s="64">
        <v>486</v>
      </c>
      <c r="D71" s="64">
        <v>488</v>
      </c>
      <c r="E71" s="64">
        <v>546</v>
      </c>
      <c r="F71" s="64">
        <v>528</v>
      </c>
      <c r="G71" s="64">
        <v>498</v>
      </c>
      <c r="H71" s="64">
        <v>475</v>
      </c>
      <c r="I71" s="64">
        <v>457</v>
      </c>
      <c r="J71" s="64">
        <v>513</v>
      </c>
      <c r="K71" s="64">
        <v>662</v>
      </c>
      <c r="L71" s="64">
        <v>704</v>
      </c>
      <c r="M71" s="64">
        <v>743</v>
      </c>
      <c r="N71" s="64">
        <v>770</v>
      </c>
      <c r="O71" s="64">
        <v>775</v>
      </c>
      <c r="P71" s="64">
        <v>772</v>
      </c>
      <c r="Q71" s="64">
        <v>775</v>
      </c>
      <c r="R71" s="64">
        <v>769</v>
      </c>
      <c r="S71" s="64">
        <v>769</v>
      </c>
      <c r="T71" s="64">
        <v>778</v>
      </c>
      <c r="U71" s="64">
        <v>776</v>
      </c>
      <c r="V71" s="64">
        <v>781</v>
      </c>
      <c r="W71" s="64">
        <v>800</v>
      </c>
      <c r="X71" s="64">
        <v>806</v>
      </c>
      <c r="Y71" s="64">
        <v>777</v>
      </c>
      <c r="Z71" s="64">
        <v>754</v>
      </c>
      <c r="AA71" s="64">
        <v>719</v>
      </c>
      <c r="AB71" s="64">
        <v>705</v>
      </c>
      <c r="AC71" s="64">
        <v>734</v>
      </c>
      <c r="AD71" s="64">
        <v>719</v>
      </c>
      <c r="AE71" s="145">
        <v>684</v>
      </c>
      <c r="AF71" s="10"/>
    </row>
    <row r="72" spans="1:32" ht="15" customHeight="1" x14ac:dyDescent="0.25">
      <c r="A72" s="146">
        <v>90</v>
      </c>
      <c r="B72" s="12" t="s">
        <v>91</v>
      </c>
      <c r="C72" s="65">
        <v>9</v>
      </c>
      <c r="D72" s="65">
        <v>12</v>
      </c>
      <c r="E72" s="65">
        <v>12</v>
      </c>
      <c r="F72" s="65">
        <v>9</v>
      </c>
      <c r="G72" s="65">
        <v>9</v>
      </c>
      <c r="H72" s="65">
        <v>9</v>
      </c>
      <c r="I72" s="65">
        <v>8</v>
      </c>
      <c r="J72" s="65">
        <v>10</v>
      </c>
      <c r="K72" s="65">
        <v>11</v>
      </c>
      <c r="L72" s="65">
        <v>11</v>
      </c>
      <c r="M72" s="65">
        <v>12</v>
      </c>
      <c r="N72" s="65">
        <v>16</v>
      </c>
      <c r="O72" s="65">
        <v>16</v>
      </c>
      <c r="P72" s="65">
        <v>18</v>
      </c>
      <c r="Q72" s="65">
        <v>17</v>
      </c>
      <c r="R72" s="65">
        <v>15</v>
      </c>
      <c r="S72" s="65">
        <v>16</v>
      </c>
      <c r="T72" s="65">
        <v>14</v>
      </c>
      <c r="U72" s="65">
        <v>17</v>
      </c>
      <c r="V72" s="65">
        <v>20</v>
      </c>
      <c r="W72" s="65">
        <v>23</v>
      </c>
      <c r="X72" s="65">
        <v>23</v>
      </c>
      <c r="Y72" s="65">
        <v>24</v>
      </c>
      <c r="Z72" s="65">
        <v>26</v>
      </c>
      <c r="AA72" s="65">
        <v>27</v>
      </c>
      <c r="AB72" s="65">
        <v>27</v>
      </c>
      <c r="AC72" s="65">
        <v>28</v>
      </c>
      <c r="AD72" s="65">
        <v>24</v>
      </c>
      <c r="AE72" s="147">
        <v>26</v>
      </c>
    </row>
    <row r="73" spans="1:32" ht="15" customHeight="1" x14ac:dyDescent="0.25">
      <c r="A73" s="156">
        <v>91</v>
      </c>
      <c r="B73" s="17" t="s">
        <v>92</v>
      </c>
      <c r="C73" s="70">
        <v>149</v>
      </c>
      <c r="D73" s="70">
        <v>150</v>
      </c>
      <c r="E73" s="70">
        <v>170</v>
      </c>
      <c r="F73" s="70">
        <v>172</v>
      </c>
      <c r="G73" s="70">
        <v>158</v>
      </c>
      <c r="H73" s="70">
        <v>160</v>
      </c>
      <c r="I73" s="70">
        <v>155</v>
      </c>
      <c r="J73" s="70">
        <v>173</v>
      </c>
      <c r="K73" s="70">
        <v>180</v>
      </c>
      <c r="L73" s="70">
        <v>188</v>
      </c>
      <c r="M73" s="70">
        <v>200</v>
      </c>
      <c r="N73" s="70">
        <v>207</v>
      </c>
      <c r="O73" s="70">
        <v>212</v>
      </c>
      <c r="P73" s="70">
        <v>216</v>
      </c>
      <c r="Q73" s="70">
        <v>221</v>
      </c>
      <c r="R73" s="70">
        <v>219</v>
      </c>
      <c r="S73" s="70">
        <v>226</v>
      </c>
      <c r="T73" s="70">
        <v>232</v>
      </c>
      <c r="U73" s="70">
        <v>236</v>
      </c>
      <c r="V73" s="70">
        <v>240</v>
      </c>
      <c r="W73" s="70">
        <v>247</v>
      </c>
      <c r="X73" s="70">
        <v>248</v>
      </c>
      <c r="Y73" s="70">
        <v>255</v>
      </c>
      <c r="Z73" s="70">
        <v>253</v>
      </c>
      <c r="AA73" s="70">
        <v>249</v>
      </c>
      <c r="AB73" s="70">
        <v>244</v>
      </c>
      <c r="AC73" s="70">
        <v>250</v>
      </c>
      <c r="AD73" s="70">
        <v>252</v>
      </c>
      <c r="AE73" s="157">
        <v>247</v>
      </c>
    </row>
    <row r="74" spans="1:32" ht="15" customHeight="1" x14ac:dyDescent="0.25">
      <c r="A74" s="156">
        <v>92</v>
      </c>
      <c r="B74" s="17" t="s">
        <v>93</v>
      </c>
      <c r="C74" s="70">
        <v>81</v>
      </c>
      <c r="D74" s="70">
        <v>84</v>
      </c>
      <c r="E74" s="70">
        <v>92</v>
      </c>
      <c r="F74" s="70">
        <v>92</v>
      </c>
      <c r="G74" s="70">
        <v>89</v>
      </c>
      <c r="H74" s="70">
        <v>78</v>
      </c>
      <c r="I74" s="70">
        <v>73</v>
      </c>
      <c r="J74" s="70">
        <v>79</v>
      </c>
      <c r="K74" s="70">
        <v>91</v>
      </c>
      <c r="L74" s="70">
        <v>113</v>
      </c>
      <c r="M74" s="70">
        <v>122</v>
      </c>
      <c r="N74" s="70">
        <v>128</v>
      </c>
      <c r="O74" s="70">
        <v>136</v>
      </c>
      <c r="P74" s="70">
        <v>134</v>
      </c>
      <c r="Q74" s="70">
        <v>143</v>
      </c>
      <c r="R74" s="70">
        <v>149</v>
      </c>
      <c r="S74" s="70">
        <v>151</v>
      </c>
      <c r="T74" s="70">
        <v>164</v>
      </c>
      <c r="U74" s="70">
        <v>160</v>
      </c>
      <c r="V74" s="70">
        <v>173</v>
      </c>
      <c r="W74" s="70">
        <v>189</v>
      </c>
      <c r="X74" s="70">
        <v>183</v>
      </c>
      <c r="Y74" s="70">
        <v>187</v>
      </c>
      <c r="Z74" s="70">
        <v>189</v>
      </c>
      <c r="AA74" s="70">
        <v>169</v>
      </c>
      <c r="AB74" s="70">
        <v>167</v>
      </c>
      <c r="AC74" s="70">
        <v>180</v>
      </c>
      <c r="AD74" s="70">
        <v>182</v>
      </c>
      <c r="AE74" s="157">
        <v>169</v>
      </c>
    </row>
    <row r="75" spans="1:32" ht="15" customHeight="1" thickBot="1" x14ac:dyDescent="0.3">
      <c r="A75" s="158">
        <v>93</v>
      </c>
      <c r="B75" s="18" t="s">
        <v>94</v>
      </c>
      <c r="C75" s="76">
        <v>247</v>
      </c>
      <c r="D75" s="76">
        <v>242</v>
      </c>
      <c r="E75" s="76">
        <v>272</v>
      </c>
      <c r="F75" s="76">
        <v>255</v>
      </c>
      <c r="G75" s="76">
        <v>242</v>
      </c>
      <c r="H75" s="76">
        <v>228</v>
      </c>
      <c r="I75" s="76">
        <v>221</v>
      </c>
      <c r="J75" s="76">
        <v>251</v>
      </c>
      <c r="K75" s="76">
        <v>380</v>
      </c>
      <c r="L75" s="76">
        <v>392</v>
      </c>
      <c r="M75" s="76">
        <v>409</v>
      </c>
      <c r="N75" s="76">
        <v>419</v>
      </c>
      <c r="O75" s="76">
        <v>411</v>
      </c>
      <c r="P75" s="76">
        <v>404</v>
      </c>
      <c r="Q75" s="76">
        <v>394</v>
      </c>
      <c r="R75" s="76">
        <v>386</v>
      </c>
      <c r="S75" s="76">
        <v>376</v>
      </c>
      <c r="T75" s="76">
        <v>368</v>
      </c>
      <c r="U75" s="76">
        <v>363</v>
      </c>
      <c r="V75" s="76">
        <v>348</v>
      </c>
      <c r="W75" s="76">
        <v>341</v>
      </c>
      <c r="X75" s="76">
        <v>352</v>
      </c>
      <c r="Y75" s="76">
        <v>311</v>
      </c>
      <c r="Z75" s="76">
        <v>286</v>
      </c>
      <c r="AA75" s="76">
        <v>274</v>
      </c>
      <c r="AB75" s="76">
        <v>267</v>
      </c>
      <c r="AC75" s="76">
        <v>276</v>
      </c>
      <c r="AD75" s="76">
        <v>261</v>
      </c>
      <c r="AE75" s="165">
        <v>242</v>
      </c>
    </row>
    <row r="76" spans="1:32" s="23" customFormat="1" ht="15" customHeight="1" thickBot="1" x14ac:dyDescent="0.3">
      <c r="A76" s="166"/>
      <c r="B76" s="167" t="s">
        <v>95</v>
      </c>
      <c r="C76" s="168">
        <v>5298</v>
      </c>
      <c r="D76" s="168">
        <v>5356</v>
      </c>
      <c r="E76" s="168">
        <v>6028</v>
      </c>
      <c r="F76" s="168">
        <v>5903</v>
      </c>
      <c r="G76" s="168">
        <v>5361</v>
      </c>
      <c r="H76" s="168">
        <v>5213</v>
      </c>
      <c r="I76" s="168">
        <v>4960</v>
      </c>
      <c r="J76" s="168">
        <v>5437</v>
      </c>
      <c r="K76" s="168">
        <v>6658</v>
      </c>
      <c r="L76" s="168">
        <v>7361</v>
      </c>
      <c r="M76" s="168">
        <v>7998</v>
      </c>
      <c r="N76" s="168">
        <v>8496</v>
      </c>
      <c r="O76" s="168">
        <v>8989</v>
      </c>
      <c r="P76" s="168">
        <v>9059</v>
      </c>
      <c r="Q76" s="168">
        <v>9056</v>
      </c>
      <c r="R76" s="168">
        <v>9189</v>
      </c>
      <c r="S76" s="168">
        <v>9254</v>
      </c>
      <c r="T76" s="168">
        <v>9567</v>
      </c>
      <c r="U76" s="168">
        <v>9660</v>
      </c>
      <c r="V76" s="168">
        <v>9964</v>
      </c>
      <c r="W76" s="168">
        <v>10010</v>
      </c>
      <c r="X76" s="168">
        <v>10013</v>
      </c>
      <c r="Y76" s="168">
        <v>9948</v>
      </c>
      <c r="Z76" s="168">
        <v>9931</v>
      </c>
      <c r="AA76" s="168">
        <v>9571</v>
      </c>
      <c r="AB76" s="168">
        <v>9696</v>
      </c>
      <c r="AC76" s="168">
        <v>10165</v>
      </c>
      <c r="AD76" s="168">
        <v>10302</v>
      </c>
      <c r="AE76" s="169">
        <v>10364</v>
      </c>
      <c r="AF76" s="22"/>
    </row>
    <row r="77" spans="1:32" ht="12" customHeight="1" x14ac:dyDescent="0.25">
      <c r="A77" s="7"/>
      <c r="B77" s="7"/>
      <c r="C77" s="7"/>
      <c r="D77" s="7"/>
      <c r="E77" s="24"/>
      <c r="F77" s="7"/>
      <c r="G77" s="25"/>
      <c r="H77" s="7"/>
      <c r="I77" s="7"/>
      <c r="J77" s="7"/>
      <c r="K77" s="7"/>
      <c r="L77" s="7"/>
      <c r="M77" s="7"/>
      <c r="N77" s="7"/>
      <c r="O77" s="7"/>
      <c r="P77" s="7"/>
      <c r="Q77" s="7"/>
      <c r="R77" s="7"/>
      <c r="S77" s="7"/>
      <c r="T77" s="7"/>
      <c r="U77" s="7"/>
      <c r="V77" s="7"/>
      <c r="W77" s="7"/>
      <c r="X77" s="7"/>
      <c r="Y77" s="7"/>
      <c r="Z77" s="7"/>
      <c r="AA77" s="7"/>
      <c r="AB77" s="7"/>
      <c r="AC77" s="7"/>
      <c r="AD77" s="7"/>
      <c r="AE77" s="7"/>
    </row>
    <row r="78" spans="1:32" ht="11.25" x14ac:dyDescent="0.25">
      <c r="A78" s="307" t="s">
        <v>96</v>
      </c>
      <c r="B78" s="307"/>
      <c r="C78" s="277"/>
      <c r="D78" s="277"/>
      <c r="E78" s="277"/>
      <c r="F78" s="26"/>
      <c r="G78" s="26"/>
      <c r="H78" s="7"/>
      <c r="I78" s="7"/>
      <c r="J78" s="7"/>
      <c r="K78" s="7"/>
      <c r="L78" s="7"/>
      <c r="M78" s="7"/>
      <c r="N78" s="7"/>
      <c r="O78" s="7"/>
      <c r="P78" s="7"/>
      <c r="Q78" s="7"/>
      <c r="R78" s="7"/>
      <c r="S78" s="7"/>
      <c r="T78" s="7"/>
      <c r="U78" s="7"/>
      <c r="V78" s="7"/>
      <c r="W78" s="7"/>
      <c r="X78" s="7"/>
      <c r="Y78" s="7"/>
      <c r="Z78" s="7"/>
      <c r="AA78" s="7"/>
      <c r="AB78" s="7"/>
      <c r="AC78" s="7"/>
      <c r="AD78" s="7"/>
      <c r="AE78" s="7"/>
    </row>
    <row r="79" spans="1:32" ht="26.45" customHeight="1" x14ac:dyDescent="0.25">
      <c r="A79" s="307" t="s">
        <v>381</v>
      </c>
      <c r="B79" s="307"/>
      <c r="C79" s="307"/>
      <c r="D79" s="277"/>
      <c r="E79" s="277"/>
      <c r="F79" s="277"/>
      <c r="G79" s="277"/>
      <c r="H79" s="27"/>
      <c r="I79" s="27"/>
      <c r="J79" s="27"/>
      <c r="K79" s="27"/>
      <c r="L79" s="7"/>
      <c r="M79" s="7"/>
      <c r="N79" s="7"/>
      <c r="O79" s="7"/>
      <c r="P79" s="7"/>
      <c r="Q79" s="7"/>
      <c r="R79" s="7"/>
      <c r="S79" s="7"/>
      <c r="T79" s="7"/>
      <c r="U79" s="7"/>
      <c r="V79" s="7"/>
      <c r="W79" s="7"/>
      <c r="X79" s="7"/>
      <c r="Y79" s="7"/>
      <c r="Z79" s="7"/>
      <c r="AA79" s="7"/>
      <c r="AB79" s="7"/>
      <c r="AC79" s="7"/>
      <c r="AD79" s="7"/>
      <c r="AE79" s="7"/>
    </row>
    <row r="80" spans="1:32" ht="26.45" customHeight="1" x14ac:dyDescent="0.25">
      <c r="A80" s="307" t="s">
        <v>382</v>
      </c>
      <c r="B80" s="307"/>
      <c r="C80" s="307"/>
      <c r="D80" s="277"/>
      <c r="E80" s="277"/>
      <c r="F80" s="277"/>
      <c r="G80" s="277"/>
      <c r="H80" s="27"/>
      <c r="I80" s="27"/>
      <c r="J80" s="27"/>
      <c r="K80" s="27"/>
      <c r="L80" s="7"/>
      <c r="M80" s="7"/>
      <c r="N80" s="7"/>
      <c r="O80" s="7"/>
      <c r="P80" s="7"/>
      <c r="Q80" s="7"/>
      <c r="R80" s="7"/>
      <c r="S80" s="7"/>
      <c r="T80" s="7"/>
      <c r="U80" s="7"/>
      <c r="V80" s="7"/>
      <c r="W80" s="7"/>
      <c r="X80" s="7"/>
      <c r="Y80" s="7"/>
      <c r="Z80" s="7"/>
      <c r="AA80" s="7"/>
      <c r="AB80" s="7"/>
      <c r="AC80" s="7"/>
      <c r="AD80" s="7"/>
      <c r="AE80" s="7"/>
    </row>
    <row r="81" spans="1:31" ht="26.45" customHeight="1" x14ac:dyDescent="0.25">
      <c r="A81" s="307" t="s">
        <v>151</v>
      </c>
      <c r="B81" s="307"/>
      <c r="C81" s="307"/>
      <c r="D81" s="277"/>
      <c r="E81" s="277"/>
      <c r="F81" s="277"/>
      <c r="G81" s="277"/>
      <c r="H81" s="27"/>
      <c r="I81" s="27"/>
      <c r="J81" s="27"/>
      <c r="K81" s="27"/>
      <c r="L81" s="7"/>
      <c r="M81" s="7"/>
      <c r="N81" s="7"/>
      <c r="O81" s="7"/>
      <c r="P81" s="7"/>
      <c r="Q81" s="7"/>
      <c r="R81" s="7"/>
      <c r="S81" s="7"/>
      <c r="T81" s="7"/>
      <c r="U81" s="7"/>
      <c r="V81" s="7"/>
      <c r="W81" s="7"/>
      <c r="X81" s="7"/>
      <c r="Y81" s="7"/>
      <c r="Z81" s="7"/>
      <c r="AA81" s="7"/>
      <c r="AB81" s="7"/>
      <c r="AC81" s="7"/>
      <c r="AD81" s="7"/>
      <c r="AE81" s="7"/>
    </row>
    <row r="82" spans="1:31" s="29" customFormat="1" ht="46.5" customHeight="1" x14ac:dyDescent="0.25">
      <c r="A82" s="307" t="s">
        <v>384</v>
      </c>
      <c r="B82" s="307"/>
      <c r="C82" s="307"/>
      <c r="D82" s="307"/>
      <c r="E82" s="307"/>
      <c r="F82" s="307"/>
      <c r="G82" s="307"/>
      <c r="H82" s="28"/>
      <c r="I82" s="28"/>
      <c r="J82" s="28"/>
    </row>
    <row r="83" spans="1:31" ht="19.899999999999999" customHeight="1" x14ac:dyDescent="0.25">
      <c r="A83" s="276"/>
      <c r="B83" s="276"/>
      <c r="C83" s="276"/>
      <c r="D83" s="276"/>
      <c r="E83" s="276"/>
      <c r="F83" s="276"/>
      <c r="G83" s="276"/>
      <c r="H83" s="28"/>
      <c r="I83" s="28"/>
      <c r="J83" s="28"/>
      <c r="K83" s="7"/>
      <c r="L83" s="7"/>
      <c r="M83" s="7"/>
      <c r="N83" s="7"/>
      <c r="O83" s="7"/>
      <c r="P83" s="7"/>
      <c r="Q83" s="7"/>
      <c r="R83" s="7"/>
      <c r="S83" s="7"/>
      <c r="T83" s="7"/>
      <c r="U83" s="7"/>
      <c r="V83" s="7"/>
      <c r="W83" s="7"/>
      <c r="X83" s="7"/>
      <c r="Y83" s="7"/>
      <c r="Z83" s="7"/>
      <c r="AA83" s="7"/>
      <c r="AB83" s="7"/>
      <c r="AC83" s="7"/>
      <c r="AD83" s="7"/>
      <c r="AE83" s="7"/>
    </row>
    <row r="84" spans="1:31" ht="6.75" customHeight="1" x14ac:dyDescent="0.25">
      <c r="A84" s="7"/>
      <c r="B84" s="7"/>
      <c r="C84" s="7"/>
      <c r="D84" s="7"/>
      <c r="E84" s="7"/>
      <c r="F84" s="7"/>
      <c r="G84" s="7"/>
      <c r="H84" s="7"/>
      <c r="I84" s="7"/>
      <c r="J84" s="7"/>
      <c r="K84" s="7"/>
      <c r="L84" s="7"/>
      <c r="M84" s="7"/>
      <c r="N84" s="7"/>
      <c r="O84" s="7"/>
      <c r="P84" s="7"/>
      <c r="Q84" s="7"/>
      <c r="R84" s="7"/>
      <c r="S84" s="7"/>
      <c r="T84" s="7"/>
      <c r="U84" s="7"/>
      <c r="V84" s="7"/>
      <c r="W84" s="7"/>
      <c r="X84" s="7"/>
      <c r="Y84" s="7"/>
      <c r="Z84" s="7"/>
      <c r="AA84" s="7"/>
      <c r="AB84" s="7"/>
      <c r="AC84" s="7"/>
      <c r="AD84" s="7"/>
      <c r="AE84" s="7"/>
    </row>
    <row r="85" spans="1:31" ht="0" hidden="1" customHeight="1" x14ac:dyDescent="0.25"/>
    <row r="86" spans="1:31" ht="0" hidden="1" customHeight="1" x14ac:dyDescent="0.25"/>
    <row r="87" spans="1:31" ht="0" hidden="1" customHeight="1" x14ac:dyDescent="0.25"/>
    <row r="88" spans="1:31" ht="0" hidden="1" customHeight="1" x14ac:dyDescent="0.25"/>
    <row r="89" spans="1:31" ht="0" hidden="1" customHeight="1" x14ac:dyDescent="0.25"/>
    <row r="90" spans="1:31" ht="0" hidden="1" customHeight="1" x14ac:dyDescent="0.25"/>
    <row r="91" spans="1:31" ht="0" hidden="1" customHeight="1" x14ac:dyDescent="0.25"/>
    <row r="92" spans="1:31" ht="0" hidden="1" customHeight="1" x14ac:dyDescent="0.25"/>
    <row r="93" spans="1:31" ht="0" hidden="1" customHeight="1" x14ac:dyDescent="0.25"/>
    <row r="94" spans="1:31" ht="0" hidden="1" customHeight="1" x14ac:dyDescent="0.25"/>
  </sheetData>
  <mergeCells count="37">
    <mergeCell ref="AE4:AE5"/>
    <mergeCell ref="H4:H5"/>
    <mergeCell ref="I4:I5"/>
    <mergeCell ref="J4:J5"/>
    <mergeCell ref="K4:K5"/>
    <mergeCell ref="L4:L5"/>
    <mergeCell ref="M4:M5"/>
    <mergeCell ref="W4:W5"/>
    <mergeCell ref="S4:S5"/>
    <mergeCell ref="Q4:Q5"/>
    <mergeCell ref="R4:R5"/>
    <mergeCell ref="X4:X5"/>
    <mergeCell ref="N4:N5"/>
    <mergeCell ref="O4:O5"/>
    <mergeCell ref="AA4:AA5"/>
    <mergeCell ref="Z4:Z5"/>
    <mergeCell ref="A2:C2"/>
    <mergeCell ref="B4:B5"/>
    <mergeCell ref="C4:C5"/>
    <mergeCell ref="D4:D5"/>
    <mergeCell ref="E4:E5"/>
    <mergeCell ref="A82:G82"/>
    <mergeCell ref="V4:V5"/>
    <mergeCell ref="A78:B78"/>
    <mergeCell ref="T4:T5"/>
    <mergeCell ref="U4:U5"/>
    <mergeCell ref="G4:G5"/>
    <mergeCell ref="A4:A5"/>
    <mergeCell ref="F4:F5"/>
    <mergeCell ref="Y4:Y5"/>
    <mergeCell ref="A81:C81"/>
    <mergeCell ref="AD4:AD5"/>
    <mergeCell ref="A79:C79"/>
    <mergeCell ref="A80:C80"/>
    <mergeCell ref="P4:P5"/>
    <mergeCell ref="AC4:AC5"/>
    <mergeCell ref="AB4:AB5"/>
  </mergeCells>
  <pageMargins left="0.74803149606299213" right="0.74803149606299213" top="0.98425196850393704" bottom="0.98425196850393704" header="0" footer="0"/>
  <pageSetup paperSize="9" scale="65" fitToWidth="19" orientation="portrait" r:id="rId1"/>
  <headerFooter alignWithMargins="0"/>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30"/>
  <dimension ref="A1:DW94"/>
  <sheetViews>
    <sheetView zoomScale="115" zoomScaleNormal="115" workbookViewId="0">
      <pane xSplit="2" ySplit="5" topLeftCell="C6" activePane="bottomRight" state="frozen"/>
      <selection activeCell="C6" sqref="C6"/>
      <selection pane="topRight" activeCell="C6" sqref="C6"/>
      <selection pane="bottomLeft" activeCell="C6" sqref="C6"/>
      <selection pane="bottomRight" activeCell="C6" sqref="C6"/>
    </sheetView>
  </sheetViews>
  <sheetFormatPr baseColWidth="10" defaultColWidth="0" defaultRowHeight="0" customHeight="1" zeroHeight="1" x14ac:dyDescent="0.25"/>
  <cols>
    <col min="1" max="1" width="5.7109375" style="8" customWidth="1"/>
    <col min="2" max="2" width="62.7109375" style="8" customWidth="1"/>
    <col min="3" max="4" width="11.140625" style="30" customWidth="1"/>
    <col min="5" max="6" width="11.140625" style="8" customWidth="1"/>
    <col min="7" max="7" width="11.140625" style="31" customWidth="1"/>
    <col min="8" max="31" width="11.140625" style="8" customWidth="1"/>
    <col min="32" max="32" width="4.28515625" style="7" customWidth="1"/>
    <col min="33" max="127" width="0" style="8" hidden="1" customWidth="1"/>
    <col min="128" max="16384" width="11.140625" style="8" hidden="1"/>
  </cols>
  <sheetData>
    <row r="1" spans="1:32" s="5" customFormat="1" ht="25.5" customHeight="1" thickBot="1" x14ac:dyDescent="0.25">
      <c r="A1" s="1"/>
      <c r="B1" s="2"/>
      <c r="C1" s="3"/>
      <c r="D1" s="172" t="s">
        <v>0</v>
      </c>
      <c r="E1" s="171"/>
      <c r="F1" s="171"/>
      <c r="G1" s="173"/>
      <c r="H1" s="171"/>
      <c r="I1" s="171"/>
      <c r="J1" s="171"/>
      <c r="K1" s="171"/>
      <c r="L1" s="171"/>
      <c r="M1" s="171"/>
      <c r="N1" s="171"/>
      <c r="O1" s="171"/>
      <c r="P1" s="171"/>
      <c r="Q1" s="171"/>
      <c r="R1" s="171"/>
      <c r="S1" s="171"/>
      <c r="T1" s="171"/>
      <c r="U1" s="171"/>
      <c r="V1" s="171"/>
      <c r="W1" s="171"/>
      <c r="X1" s="171"/>
      <c r="Y1" s="171"/>
      <c r="Z1" s="171"/>
      <c r="AA1" s="171"/>
      <c r="AB1" s="171"/>
      <c r="AC1" s="171"/>
      <c r="AD1" s="171"/>
      <c r="AE1" s="171"/>
      <c r="AF1" s="2"/>
    </row>
    <row r="2" spans="1:32" s="7" customFormat="1" ht="22.5" customHeight="1" thickBot="1" x14ac:dyDescent="0.3">
      <c r="A2" s="303" t="s">
        <v>110</v>
      </c>
      <c r="B2" s="304"/>
      <c r="C2" s="304"/>
      <c r="D2" s="140"/>
      <c r="E2" s="140"/>
      <c r="F2" s="140"/>
      <c r="G2" s="140"/>
      <c r="H2" s="140"/>
      <c r="I2" s="140"/>
      <c r="J2" s="140"/>
      <c r="K2" s="140"/>
      <c r="L2" s="140"/>
      <c r="M2" s="140"/>
      <c r="N2" s="140"/>
      <c r="O2" s="140"/>
      <c r="P2" s="140"/>
      <c r="Q2" s="140"/>
      <c r="R2" s="140"/>
      <c r="S2" s="140"/>
      <c r="T2" s="140"/>
      <c r="U2" s="140"/>
      <c r="V2" s="140"/>
      <c r="W2" s="140"/>
      <c r="X2" s="140"/>
      <c r="Y2" s="140"/>
      <c r="Z2" s="140"/>
      <c r="AA2" s="140"/>
      <c r="AB2" s="140"/>
      <c r="AC2" s="140"/>
      <c r="AD2" s="140"/>
      <c r="AE2" s="141"/>
    </row>
    <row r="3" spans="1:32" ht="16.5" customHeight="1" thickBot="1" x14ac:dyDescent="0.25">
      <c r="A3" s="142" t="s">
        <v>299</v>
      </c>
      <c r="B3" s="57"/>
      <c r="C3" s="57"/>
      <c r="D3" s="58"/>
      <c r="E3" s="58"/>
      <c r="F3" s="58"/>
      <c r="G3" s="58"/>
      <c r="H3" s="59"/>
      <c r="I3" s="59"/>
      <c r="J3" s="59"/>
      <c r="K3" s="59"/>
      <c r="L3" s="59"/>
      <c r="M3" s="59"/>
      <c r="N3" s="59"/>
      <c r="O3" s="59"/>
      <c r="P3" s="59"/>
      <c r="Q3" s="59"/>
      <c r="R3" s="59"/>
      <c r="S3" s="59"/>
      <c r="T3" s="59"/>
      <c r="U3" s="59"/>
      <c r="V3" s="59"/>
      <c r="W3" s="59"/>
      <c r="X3" s="59"/>
      <c r="Y3" s="59"/>
      <c r="Z3" s="59"/>
      <c r="AA3" s="59"/>
      <c r="AB3" s="59"/>
      <c r="AC3" s="59"/>
      <c r="AD3" s="59"/>
      <c r="AE3" s="143"/>
    </row>
    <row r="4" spans="1:32" ht="15.75" customHeight="1" x14ac:dyDescent="0.25">
      <c r="A4" s="310"/>
      <c r="B4" s="308" t="s">
        <v>2</v>
      </c>
      <c r="C4" s="301">
        <v>1996</v>
      </c>
      <c r="D4" s="301">
        <v>1997</v>
      </c>
      <c r="E4" s="301">
        <v>1998</v>
      </c>
      <c r="F4" s="301">
        <v>1999</v>
      </c>
      <c r="G4" s="301">
        <v>2000</v>
      </c>
      <c r="H4" s="301">
        <v>2001</v>
      </c>
      <c r="I4" s="301">
        <v>2002</v>
      </c>
      <c r="J4" s="301">
        <v>2003</v>
      </c>
      <c r="K4" s="301">
        <v>2004</v>
      </c>
      <c r="L4" s="301">
        <v>2005</v>
      </c>
      <c r="M4" s="301">
        <v>2006</v>
      </c>
      <c r="N4" s="301">
        <v>2007</v>
      </c>
      <c r="O4" s="301">
        <v>2008</v>
      </c>
      <c r="P4" s="301">
        <v>2009</v>
      </c>
      <c r="Q4" s="301">
        <v>2010</v>
      </c>
      <c r="R4" s="301">
        <v>2011</v>
      </c>
      <c r="S4" s="301">
        <v>2012</v>
      </c>
      <c r="T4" s="301">
        <v>2013</v>
      </c>
      <c r="U4" s="301">
        <v>2014</v>
      </c>
      <c r="V4" s="301">
        <v>2015</v>
      </c>
      <c r="W4" s="301">
        <v>2016</v>
      </c>
      <c r="X4" s="301">
        <v>2017</v>
      </c>
      <c r="Y4" s="301">
        <v>2018</v>
      </c>
      <c r="Z4" s="301">
        <v>2019</v>
      </c>
      <c r="AA4" s="301">
        <v>2020</v>
      </c>
      <c r="AB4" s="301">
        <v>2021</v>
      </c>
      <c r="AC4" s="301">
        <v>2022</v>
      </c>
      <c r="AD4" s="301">
        <v>2023</v>
      </c>
      <c r="AE4" s="299">
        <v>2024</v>
      </c>
    </row>
    <row r="5" spans="1:32" ht="15.75" customHeight="1" thickBot="1" x14ac:dyDescent="0.3">
      <c r="A5" s="311"/>
      <c r="B5" s="309"/>
      <c r="C5" s="302"/>
      <c r="D5" s="302" t="s">
        <v>3</v>
      </c>
      <c r="E5" s="302"/>
      <c r="F5" s="302" t="s">
        <v>4</v>
      </c>
      <c r="G5" s="302"/>
      <c r="H5" s="302" t="s">
        <v>5</v>
      </c>
      <c r="I5" s="302"/>
      <c r="J5" s="302" t="s">
        <v>6</v>
      </c>
      <c r="K5" s="302"/>
      <c r="L5" s="302" t="s">
        <v>7</v>
      </c>
      <c r="M5" s="302"/>
      <c r="N5" s="302" t="s">
        <v>8</v>
      </c>
      <c r="O5" s="302"/>
      <c r="P5" s="302" t="s">
        <v>9</v>
      </c>
      <c r="Q5" s="302"/>
      <c r="R5" s="302" t="s">
        <v>10</v>
      </c>
      <c r="S5" s="302"/>
      <c r="T5" s="302"/>
      <c r="U5" s="302"/>
      <c r="V5" s="302"/>
      <c r="W5" s="302"/>
      <c r="X5" s="302"/>
      <c r="Y5" s="302"/>
      <c r="Z5" s="302"/>
      <c r="AA5" s="302"/>
      <c r="AB5" s="302"/>
      <c r="AC5" s="302"/>
      <c r="AD5" s="302"/>
      <c r="AE5" s="300"/>
    </row>
    <row r="6" spans="1:32" s="11" customFormat="1" ht="15" customHeight="1" thickBot="1" x14ac:dyDescent="0.3">
      <c r="A6" s="144" t="s">
        <v>11</v>
      </c>
      <c r="B6" s="9" t="s">
        <v>12</v>
      </c>
      <c r="C6" s="64">
        <v>1856</v>
      </c>
      <c r="D6" s="64">
        <v>1774</v>
      </c>
      <c r="E6" s="64">
        <v>1704</v>
      </c>
      <c r="F6" s="64">
        <v>1660</v>
      </c>
      <c r="G6" s="64">
        <v>1617</v>
      </c>
      <c r="H6" s="64">
        <v>1549</v>
      </c>
      <c r="I6" s="64">
        <v>1512</v>
      </c>
      <c r="J6" s="64">
        <v>1602</v>
      </c>
      <c r="K6" s="64">
        <v>1673</v>
      </c>
      <c r="L6" s="64">
        <v>1728</v>
      </c>
      <c r="M6" s="64">
        <v>1766</v>
      </c>
      <c r="N6" s="64">
        <v>1785</v>
      </c>
      <c r="O6" s="64">
        <v>1759</v>
      </c>
      <c r="P6" s="64">
        <v>1699</v>
      </c>
      <c r="Q6" s="64">
        <v>1643</v>
      </c>
      <c r="R6" s="64">
        <v>1623</v>
      </c>
      <c r="S6" s="64">
        <v>1587</v>
      </c>
      <c r="T6" s="64">
        <v>1577</v>
      </c>
      <c r="U6" s="64">
        <v>1537</v>
      </c>
      <c r="V6" s="64">
        <v>1529</v>
      </c>
      <c r="W6" s="64">
        <v>1475</v>
      </c>
      <c r="X6" s="64">
        <v>1431</v>
      </c>
      <c r="Y6" s="64">
        <v>1401</v>
      </c>
      <c r="Z6" s="64">
        <v>1338</v>
      </c>
      <c r="AA6" s="64">
        <v>1307</v>
      </c>
      <c r="AB6" s="64">
        <v>1275</v>
      </c>
      <c r="AC6" s="64">
        <v>1280</v>
      </c>
      <c r="AD6" s="64">
        <v>1244</v>
      </c>
      <c r="AE6" s="145">
        <v>1222</v>
      </c>
      <c r="AF6" s="10"/>
    </row>
    <row r="7" spans="1:32" ht="15" customHeight="1" x14ac:dyDescent="0.25">
      <c r="A7" s="146">
        <v>1</v>
      </c>
      <c r="B7" s="12" t="s">
        <v>13</v>
      </c>
      <c r="C7" s="68">
        <v>1843</v>
      </c>
      <c r="D7" s="68">
        <v>1766</v>
      </c>
      <c r="E7" s="68">
        <v>1694</v>
      </c>
      <c r="F7" s="68">
        <v>1648</v>
      </c>
      <c r="G7" s="68">
        <v>1609</v>
      </c>
      <c r="H7" s="68">
        <v>1539</v>
      </c>
      <c r="I7" s="68">
        <v>1504</v>
      </c>
      <c r="J7" s="68">
        <v>1592</v>
      </c>
      <c r="K7" s="68">
        <v>1657</v>
      </c>
      <c r="L7" s="68">
        <v>1709</v>
      </c>
      <c r="M7" s="68">
        <v>1751</v>
      </c>
      <c r="N7" s="68">
        <v>1766</v>
      </c>
      <c r="O7" s="68">
        <v>1734</v>
      </c>
      <c r="P7" s="68">
        <v>1676</v>
      </c>
      <c r="Q7" s="68">
        <v>1621</v>
      </c>
      <c r="R7" s="68">
        <v>1600</v>
      </c>
      <c r="S7" s="68">
        <v>1570</v>
      </c>
      <c r="T7" s="68">
        <v>1562</v>
      </c>
      <c r="U7" s="68">
        <v>1522</v>
      </c>
      <c r="V7" s="68">
        <v>1514</v>
      </c>
      <c r="W7" s="68">
        <v>1460</v>
      </c>
      <c r="X7" s="68">
        <v>1417</v>
      </c>
      <c r="Y7" s="68">
        <v>1384</v>
      </c>
      <c r="Z7" s="68">
        <v>1324</v>
      </c>
      <c r="AA7" s="68">
        <v>1296</v>
      </c>
      <c r="AB7" s="68">
        <v>1265</v>
      </c>
      <c r="AC7" s="68">
        <v>1267</v>
      </c>
      <c r="AD7" s="68">
        <v>1233</v>
      </c>
      <c r="AE7" s="147">
        <v>1212</v>
      </c>
    </row>
    <row r="8" spans="1:32" ht="15" customHeight="1" thickBot="1" x14ac:dyDescent="0.3">
      <c r="A8" s="148">
        <v>2</v>
      </c>
      <c r="B8" s="13" t="s">
        <v>14</v>
      </c>
      <c r="C8" s="69">
        <v>13</v>
      </c>
      <c r="D8" s="69">
        <v>8</v>
      </c>
      <c r="E8" s="69">
        <v>10</v>
      </c>
      <c r="F8" s="69">
        <v>12</v>
      </c>
      <c r="G8" s="69">
        <v>8</v>
      </c>
      <c r="H8" s="69">
        <v>10</v>
      </c>
      <c r="I8" s="69">
        <v>8</v>
      </c>
      <c r="J8" s="69">
        <v>10</v>
      </c>
      <c r="K8" s="69">
        <v>16</v>
      </c>
      <c r="L8" s="69">
        <v>19</v>
      </c>
      <c r="M8" s="69">
        <v>15</v>
      </c>
      <c r="N8" s="69">
        <v>19</v>
      </c>
      <c r="O8" s="69">
        <v>25</v>
      </c>
      <c r="P8" s="69">
        <v>23</v>
      </c>
      <c r="Q8" s="69">
        <v>22</v>
      </c>
      <c r="R8" s="69">
        <v>23</v>
      </c>
      <c r="S8" s="69">
        <v>17</v>
      </c>
      <c r="T8" s="69">
        <v>15</v>
      </c>
      <c r="U8" s="69">
        <v>15</v>
      </c>
      <c r="V8" s="69">
        <v>15</v>
      </c>
      <c r="W8" s="69">
        <v>15</v>
      </c>
      <c r="X8" s="69">
        <v>14</v>
      </c>
      <c r="Y8" s="69">
        <v>17</v>
      </c>
      <c r="Z8" s="69">
        <v>14</v>
      </c>
      <c r="AA8" s="69">
        <v>11</v>
      </c>
      <c r="AB8" s="69">
        <v>10</v>
      </c>
      <c r="AC8" s="69">
        <v>13</v>
      </c>
      <c r="AD8" s="69">
        <v>11</v>
      </c>
      <c r="AE8" s="149">
        <v>10</v>
      </c>
    </row>
    <row r="9" spans="1:32" s="11" customFormat="1" ht="15" customHeight="1" thickBot="1" x14ac:dyDescent="0.3">
      <c r="A9" s="144" t="s">
        <v>15</v>
      </c>
      <c r="B9" s="9" t="s">
        <v>16</v>
      </c>
      <c r="C9" s="64">
        <v>13</v>
      </c>
      <c r="D9" s="64">
        <v>14</v>
      </c>
      <c r="E9" s="64">
        <v>12</v>
      </c>
      <c r="F9" s="64">
        <v>14</v>
      </c>
      <c r="G9" s="64">
        <v>10</v>
      </c>
      <c r="H9" s="64">
        <v>15</v>
      </c>
      <c r="I9" s="64">
        <v>16</v>
      </c>
      <c r="J9" s="64">
        <v>24</v>
      </c>
      <c r="K9" s="64">
        <v>25</v>
      </c>
      <c r="L9" s="64">
        <v>19</v>
      </c>
      <c r="M9" s="64">
        <v>19</v>
      </c>
      <c r="N9" s="64">
        <v>22</v>
      </c>
      <c r="O9" s="64">
        <v>20</v>
      </c>
      <c r="P9" s="64">
        <v>25</v>
      </c>
      <c r="Q9" s="64">
        <v>23</v>
      </c>
      <c r="R9" s="64">
        <v>21</v>
      </c>
      <c r="S9" s="64">
        <v>17</v>
      </c>
      <c r="T9" s="64">
        <v>14</v>
      </c>
      <c r="U9" s="64">
        <v>20</v>
      </c>
      <c r="V9" s="64">
        <v>17</v>
      </c>
      <c r="W9" s="64">
        <v>21</v>
      </c>
      <c r="X9" s="64">
        <v>20</v>
      </c>
      <c r="Y9" s="64">
        <v>18</v>
      </c>
      <c r="Z9" s="64">
        <v>17</v>
      </c>
      <c r="AA9" s="64">
        <v>20</v>
      </c>
      <c r="AB9" s="64">
        <v>17</v>
      </c>
      <c r="AC9" s="64">
        <v>20</v>
      </c>
      <c r="AD9" s="64">
        <v>19</v>
      </c>
      <c r="AE9" s="145">
        <v>18</v>
      </c>
      <c r="AF9" s="10"/>
    </row>
    <row r="10" spans="1:32" ht="15" customHeight="1" thickBot="1" x14ac:dyDescent="0.3">
      <c r="A10" s="150">
        <v>5</v>
      </c>
      <c r="B10" s="14" t="s">
        <v>17</v>
      </c>
      <c r="C10" s="67">
        <v>13</v>
      </c>
      <c r="D10" s="67">
        <v>14</v>
      </c>
      <c r="E10" s="67">
        <v>12</v>
      </c>
      <c r="F10" s="67">
        <v>14</v>
      </c>
      <c r="G10" s="67">
        <v>10</v>
      </c>
      <c r="H10" s="67">
        <v>15</v>
      </c>
      <c r="I10" s="67">
        <v>16</v>
      </c>
      <c r="J10" s="67">
        <v>24</v>
      </c>
      <c r="K10" s="67">
        <v>25</v>
      </c>
      <c r="L10" s="67">
        <v>19</v>
      </c>
      <c r="M10" s="67">
        <v>19</v>
      </c>
      <c r="N10" s="67">
        <v>22</v>
      </c>
      <c r="O10" s="67">
        <v>20</v>
      </c>
      <c r="P10" s="67">
        <v>25</v>
      </c>
      <c r="Q10" s="67">
        <v>23</v>
      </c>
      <c r="R10" s="67">
        <v>21</v>
      </c>
      <c r="S10" s="67">
        <v>17</v>
      </c>
      <c r="T10" s="67">
        <v>14</v>
      </c>
      <c r="U10" s="67">
        <v>20</v>
      </c>
      <c r="V10" s="67">
        <v>17</v>
      </c>
      <c r="W10" s="67">
        <v>21</v>
      </c>
      <c r="X10" s="67">
        <v>20</v>
      </c>
      <c r="Y10" s="67">
        <v>18</v>
      </c>
      <c r="Z10" s="67">
        <v>17</v>
      </c>
      <c r="AA10" s="67">
        <v>20</v>
      </c>
      <c r="AB10" s="67">
        <v>17</v>
      </c>
      <c r="AC10" s="67">
        <v>20</v>
      </c>
      <c r="AD10" s="67">
        <v>19</v>
      </c>
      <c r="AE10" s="151">
        <v>18</v>
      </c>
    </row>
    <row r="11" spans="1:32" s="11" customFormat="1" ht="15" customHeight="1" thickBot="1" x14ac:dyDescent="0.3">
      <c r="A11" s="144" t="s">
        <v>18</v>
      </c>
      <c r="B11" s="9" t="s">
        <v>19</v>
      </c>
      <c r="C11" s="64">
        <v>57</v>
      </c>
      <c r="D11" s="64">
        <v>59</v>
      </c>
      <c r="E11" s="64">
        <v>51</v>
      </c>
      <c r="F11" s="64">
        <v>59</v>
      </c>
      <c r="G11" s="64">
        <v>56</v>
      </c>
      <c r="H11" s="64">
        <v>58</v>
      </c>
      <c r="I11" s="64">
        <v>56</v>
      </c>
      <c r="J11" s="64">
        <v>58</v>
      </c>
      <c r="K11" s="64">
        <v>75</v>
      </c>
      <c r="L11" s="64">
        <v>77</v>
      </c>
      <c r="M11" s="64">
        <v>82</v>
      </c>
      <c r="N11" s="64">
        <v>88</v>
      </c>
      <c r="O11" s="64">
        <v>90</v>
      </c>
      <c r="P11" s="64">
        <v>92</v>
      </c>
      <c r="Q11" s="64">
        <v>97</v>
      </c>
      <c r="R11" s="64">
        <v>99</v>
      </c>
      <c r="S11" s="64">
        <v>98</v>
      </c>
      <c r="T11" s="64">
        <v>105</v>
      </c>
      <c r="U11" s="64">
        <v>103</v>
      </c>
      <c r="V11" s="64">
        <v>108</v>
      </c>
      <c r="W11" s="64">
        <v>111</v>
      </c>
      <c r="X11" s="64">
        <v>114</v>
      </c>
      <c r="Y11" s="64">
        <v>118</v>
      </c>
      <c r="Z11" s="64">
        <v>123</v>
      </c>
      <c r="AA11" s="64">
        <v>110</v>
      </c>
      <c r="AB11" s="64">
        <v>108</v>
      </c>
      <c r="AC11" s="64">
        <v>127</v>
      </c>
      <c r="AD11" s="64">
        <v>126</v>
      </c>
      <c r="AE11" s="145">
        <v>124</v>
      </c>
      <c r="AF11" s="10"/>
    </row>
    <row r="12" spans="1:32" ht="15" customHeight="1" x14ac:dyDescent="0.25">
      <c r="A12" s="152">
        <v>11</v>
      </c>
      <c r="B12" s="15" t="s">
        <v>20</v>
      </c>
      <c r="C12" s="68">
        <v>28</v>
      </c>
      <c r="D12" s="68">
        <v>28</v>
      </c>
      <c r="E12" s="68">
        <v>26</v>
      </c>
      <c r="F12" s="68">
        <v>32</v>
      </c>
      <c r="G12" s="68">
        <v>30</v>
      </c>
      <c r="H12" s="68">
        <v>33</v>
      </c>
      <c r="I12" s="68">
        <v>34</v>
      </c>
      <c r="J12" s="68">
        <v>33</v>
      </c>
      <c r="K12" s="68">
        <v>45</v>
      </c>
      <c r="L12" s="68">
        <v>45</v>
      </c>
      <c r="M12" s="68">
        <v>47</v>
      </c>
      <c r="N12" s="68">
        <v>52</v>
      </c>
      <c r="O12" s="68">
        <v>53</v>
      </c>
      <c r="P12" s="68">
        <v>53</v>
      </c>
      <c r="Q12" s="68">
        <v>55</v>
      </c>
      <c r="R12" s="68">
        <v>59</v>
      </c>
      <c r="S12" s="68">
        <v>63</v>
      </c>
      <c r="T12" s="68">
        <v>66</v>
      </c>
      <c r="U12" s="68">
        <v>67</v>
      </c>
      <c r="V12" s="68">
        <v>73</v>
      </c>
      <c r="W12" s="68">
        <v>74</v>
      </c>
      <c r="X12" s="68">
        <v>81</v>
      </c>
      <c r="Y12" s="68">
        <v>85</v>
      </c>
      <c r="Z12" s="68">
        <v>92</v>
      </c>
      <c r="AA12" s="68">
        <v>77</v>
      </c>
      <c r="AB12" s="68">
        <v>77</v>
      </c>
      <c r="AC12" s="68">
        <v>90</v>
      </c>
      <c r="AD12" s="68">
        <v>91</v>
      </c>
      <c r="AE12" s="153">
        <v>87</v>
      </c>
    </row>
    <row r="13" spans="1:32" ht="15" customHeight="1" x14ac:dyDescent="0.25">
      <c r="A13" s="154">
        <v>13</v>
      </c>
      <c r="B13" s="16" t="s">
        <v>21</v>
      </c>
      <c r="C13" s="69" t="s">
        <v>383</v>
      </c>
      <c r="D13" s="69" t="s">
        <v>383</v>
      </c>
      <c r="E13" s="69" t="s">
        <v>383</v>
      </c>
      <c r="F13" s="69" t="s">
        <v>383</v>
      </c>
      <c r="G13" s="69" t="s">
        <v>383</v>
      </c>
      <c r="H13" s="69" t="s">
        <v>383</v>
      </c>
      <c r="I13" s="69" t="s">
        <v>383</v>
      </c>
      <c r="J13" s="69" t="s">
        <v>383</v>
      </c>
      <c r="K13" s="69" t="s">
        <v>383</v>
      </c>
      <c r="L13" s="69">
        <v>4</v>
      </c>
      <c r="M13" s="69" t="s">
        <v>383</v>
      </c>
      <c r="N13" s="69">
        <v>4</v>
      </c>
      <c r="O13" s="69" t="s">
        <v>383</v>
      </c>
      <c r="P13" s="69" t="s">
        <v>383</v>
      </c>
      <c r="Q13" s="69" t="s">
        <v>383</v>
      </c>
      <c r="R13" s="69">
        <v>4</v>
      </c>
      <c r="S13" s="69" t="s">
        <v>383</v>
      </c>
      <c r="T13" s="69" t="s">
        <v>383</v>
      </c>
      <c r="U13" s="69" t="s">
        <v>383</v>
      </c>
      <c r="V13" s="69" t="s">
        <v>383</v>
      </c>
      <c r="W13" s="69" t="s">
        <v>383</v>
      </c>
      <c r="X13" s="69" t="s">
        <v>383</v>
      </c>
      <c r="Y13" s="69" t="s">
        <v>383</v>
      </c>
      <c r="Z13" s="69" t="s">
        <v>383</v>
      </c>
      <c r="AA13" s="69" t="s">
        <v>383</v>
      </c>
      <c r="AB13" s="69" t="s">
        <v>383</v>
      </c>
      <c r="AC13" s="69" t="s">
        <v>383</v>
      </c>
      <c r="AD13" s="69" t="s">
        <v>383</v>
      </c>
      <c r="AE13" s="155" t="s">
        <v>383</v>
      </c>
    </row>
    <row r="14" spans="1:32" ht="15" customHeight="1" thickBot="1" x14ac:dyDescent="0.3">
      <c r="A14" s="152">
        <v>14</v>
      </c>
      <c r="B14" s="15" t="s">
        <v>22</v>
      </c>
      <c r="C14" s="68" t="s">
        <v>383</v>
      </c>
      <c r="D14" s="68" t="s">
        <v>383</v>
      </c>
      <c r="E14" s="68" t="s">
        <v>383</v>
      </c>
      <c r="F14" s="68" t="s">
        <v>383</v>
      </c>
      <c r="G14" s="68" t="s">
        <v>383</v>
      </c>
      <c r="H14" s="68" t="s">
        <v>383</v>
      </c>
      <c r="I14" s="68" t="s">
        <v>383</v>
      </c>
      <c r="J14" s="68" t="s">
        <v>383</v>
      </c>
      <c r="K14" s="68" t="s">
        <v>383</v>
      </c>
      <c r="L14" s="68">
        <v>28</v>
      </c>
      <c r="M14" s="68" t="s">
        <v>383</v>
      </c>
      <c r="N14" s="68">
        <v>32</v>
      </c>
      <c r="O14" s="68" t="s">
        <v>383</v>
      </c>
      <c r="P14" s="68" t="s">
        <v>383</v>
      </c>
      <c r="Q14" s="68" t="s">
        <v>383</v>
      </c>
      <c r="R14" s="68">
        <v>36</v>
      </c>
      <c r="S14" s="68" t="s">
        <v>383</v>
      </c>
      <c r="T14" s="68" t="s">
        <v>383</v>
      </c>
      <c r="U14" s="68" t="s">
        <v>383</v>
      </c>
      <c r="V14" s="68" t="s">
        <v>383</v>
      </c>
      <c r="W14" s="68" t="s">
        <v>383</v>
      </c>
      <c r="X14" s="68" t="s">
        <v>383</v>
      </c>
      <c r="Y14" s="68" t="s">
        <v>383</v>
      </c>
      <c r="Z14" s="68" t="s">
        <v>383</v>
      </c>
      <c r="AA14" s="68" t="s">
        <v>383</v>
      </c>
      <c r="AB14" s="68" t="s">
        <v>383</v>
      </c>
      <c r="AC14" s="68" t="s">
        <v>383</v>
      </c>
      <c r="AD14" s="68" t="s">
        <v>383</v>
      </c>
      <c r="AE14" s="153" t="s">
        <v>383</v>
      </c>
    </row>
    <row r="15" spans="1:32" s="11" customFormat="1" ht="15" customHeight="1" thickBot="1" x14ac:dyDescent="0.3">
      <c r="A15" s="144" t="s">
        <v>23</v>
      </c>
      <c r="B15" s="9" t="s">
        <v>24</v>
      </c>
      <c r="C15" s="64">
        <v>513</v>
      </c>
      <c r="D15" s="64">
        <v>507</v>
      </c>
      <c r="E15" s="64">
        <v>481</v>
      </c>
      <c r="F15" s="64">
        <v>514</v>
      </c>
      <c r="G15" s="64">
        <v>488</v>
      </c>
      <c r="H15" s="64">
        <v>466</v>
      </c>
      <c r="I15" s="64">
        <v>440</v>
      </c>
      <c r="J15" s="64">
        <v>477</v>
      </c>
      <c r="K15" s="64">
        <v>539</v>
      </c>
      <c r="L15" s="64">
        <v>554</v>
      </c>
      <c r="M15" s="64">
        <v>593</v>
      </c>
      <c r="N15" s="64">
        <v>610</v>
      </c>
      <c r="O15" s="64">
        <v>657</v>
      </c>
      <c r="P15" s="64">
        <v>644</v>
      </c>
      <c r="Q15" s="64">
        <v>642</v>
      </c>
      <c r="R15" s="64">
        <v>645</v>
      </c>
      <c r="S15" s="64">
        <v>657</v>
      </c>
      <c r="T15" s="64">
        <v>702</v>
      </c>
      <c r="U15" s="64">
        <v>704</v>
      </c>
      <c r="V15" s="64">
        <v>714</v>
      </c>
      <c r="W15" s="64">
        <v>718</v>
      </c>
      <c r="X15" s="64">
        <v>715</v>
      </c>
      <c r="Y15" s="64">
        <v>718</v>
      </c>
      <c r="Z15" s="64">
        <v>707</v>
      </c>
      <c r="AA15" s="64">
        <v>694</v>
      </c>
      <c r="AB15" s="64">
        <v>705</v>
      </c>
      <c r="AC15" s="64">
        <v>760</v>
      </c>
      <c r="AD15" s="64">
        <v>738</v>
      </c>
      <c r="AE15" s="145">
        <v>730</v>
      </c>
      <c r="AF15" s="10"/>
    </row>
    <row r="16" spans="1:32" ht="15" customHeight="1" x14ac:dyDescent="0.25">
      <c r="A16" s="152">
        <v>15</v>
      </c>
      <c r="B16" s="15" t="s">
        <v>25</v>
      </c>
      <c r="C16" s="68">
        <v>228</v>
      </c>
      <c r="D16" s="68">
        <v>230</v>
      </c>
      <c r="E16" s="68">
        <v>221</v>
      </c>
      <c r="F16" s="68">
        <v>241</v>
      </c>
      <c r="G16" s="68">
        <v>222</v>
      </c>
      <c r="H16" s="68">
        <v>207</v>
      </c>
      <c r="I16" s="68">
        <v>200</v>
      </c>
      <c r="J16" s="68">
        <v>215</v>
      </c>
      <c r="K16" s="68">
        <v>232</v>
      </c>
      <c r="L16" s="68">
        <v>244</v>
      </c>
      <c r="M16" s="68">
        <v>256</v>
      </c>
      <c r="N16" s="68">
        <v>265</v>
      </c>
      <c r="O16" s="68">
        <v>294</v>
      </c>
      <c r="P16" s="68">
        <v>294</v>
      </c>
      <c r="Q16" s="68">
        <v>296</v>
      </c>
      <c r="R16" s="68">
        <v>302</v>
      </c>
      <c r="S16" s="68">
        <v>304</v>
      </c>
      <c r="T16" s="68">
        <v>326</v>
      </c>
      <c r="U16" s="68">
        <v>340</v>
      </c>
      <c r="V16" s="68">
        <v>348</v>
      </c>
      <c r="W16" s="68">
        <v>359</v>
      </c>
      <c r="X16" s="68">
        <v>355</v>
      </c>
      <c r="Y16" s="68">
        <v>356</v>
      </c>
      <c r="Z16" s="68">
        <v>352</v>
      </c>
      <c r="AA16" s="68">
        <v>339</v>
      </c>
      <c r="AB16" s="68">
        <v>352</v>
      </c>
      <c r="AC16" s="68">
        <v>391</v>
      </c>
      <c r="AD16" s="68">
        <v>378</v>
      </c>
      <c r="AE16" s="153">
        <v>371</v>
      </c>
    </row>
    <row r="17" spans="1:31" ht="15" customHeight="1" x14ac:dyDescent="0.25">
      <c r="A17" s="156">
        <v>16</v>
      </c>
      <c r="B17" s="17" t="s">
        <v>26</v>
      </c>
      <c r="C17" s="70" t="s">
        <v>383</v>
      </c>
      <c r="D17" s="70" t="s">
        <v>383</v>
      </c>
      <c r="E17" s="70" t="s">
        <v>383</v>
      </c>
      <c r="F17" s="70" t="s">
        <v>383</v>
      </c>
      <c r="G17" s="70" t="s">
        <v>383</v>
      </c>
      <c r="H17" s="70" t="s">
        <v>383</v>
      </c>
      <c r="I17" s="70" t="s">
        <v>383</v>
      </c>
      <c r="J17" s="70" t="s">
        <v>383</v>
      </c>
      <c r="K17" s="70" t="s">
        <v>383</v>
      </c>
      <c r="L17" s="70" t="s">
        <v>383</v>
      </c>
      <c r="M17" s="70" t="s">
        <v>383</v>
      </c>
      <c r="N17" s="70" t="s">
        <v>383</v>
      </c>
      <c r="O17" s="70" t="s">
        <v>383</v>
      </c>
      <c r="P17" s="70" t="s">
        <v>383</v>
      </c>
      <c r="Q17" s="70" t="s">
        <v>383</v>
      </c>
      <c r="R17" s="70" t="s">
        <v>383</v>
      </c>
      <c r="S17" s="70" t="s">
        <v>383</v>
      </c>
      <c r="T17" s="70" t="s">
        <v>383</v>
      </c>
      <c r="U17" s="70" t="s">
        <v>383</v>
      </c>
      <c r="V17" s="70" t="s">
        <v>383</v>
      </c>
      <c r="W17" s="70" t="s">
        <v>383</v>
      </c>
      <c r="X17" s="70" t="s">
        <v>383</v>
      </c>
      <c r="Y17" s="70" t="s">
        <v>383</v>
      </c>
      <c r="Z17" s="70" t="s">
        <v>383</v>
      </c>
      <c r="AA17" s="70" t="s">
        <v>383</v>
      </c>
      <c r="AB17" s="70" t="s">
        <v>383</v>
      </c>
      <c r="AC17" s="70" t="s">
        <v>383</v>
      </c>
      <c r="AD17" s="70" t="s">
        <v>383</v>
      </c>
      <c r="AE17" s="157" t="s">
        <v>383</v>
      </c>
    </row>
    <row r="18" spans="1:31" ht="15" customHeight="1" x14ac:dyDescent="0.25">
      <c r="A18" s="156">
        <v>17</v>
      </c>
      <c r="B18" s="17" t="s">
        <v>27</v>
      </c>
      <c r="C18" s="70">
        <v>9</v>
      </c>
      <c r="D18" s="70">
        <v>10</v>
      </c>
      <c r="E18" s="70">
        <v>8</v>
      </c>
      <c r="F18" s="70">
        <v>9</v>
      </c>
      <c r="G18" s="70">
        <v>10</v>
      </c>
      <c r="H18" s="70">
        <v>6</v>
      </c>
      <c r="I18" s="70">
        <v>5</v>
      </c>
      <c r="J18" s="70">
        <v>8</v>
      </c>
      <c r="K18" s="70">
        <v>10</v>
      </c>
      <c r="L18" s="70">
        <v>10</v>
      </c>
      <c r="M18" s="70">
        <v>9</v>
      </c>
      <c r="N18" s="70">
        <v>10</v>
      </c>
      <c r="O18" s="70">
        <v>10</v>
      </c>
      <c r="P18" s="70">
        <v>8</v>
      </c>
      <c r="Q18" s="70">
        <v>11</v>
      </c>
      <c r="R18" s="70">
        <v>8</v>
      </c>
      <c r="S18" s="70">
        <v>10</v>
      </c>
      <c r="T18" s="70">
        <v>10</v>
      </c>
      <c r="U18" s="70">
        <v>6</v>
      </c>
      <c r="V18" s="70">
        <v>7</v>
      </c>
      <c r="W18" s="70">
        <v>4</v>
      </c>
      <c r="X18" s="70">
        <v>6</v>
      </c>
      <c r="Y18" s="70">
        <v>7</v>
      </c>
      <c r="Z18" s="70">
        <v>7</v>
      </c>
      <c r="AA18" s="70">
        <v>6</v>
      </c>
      <c r="AB18" s="70">
        <v>6</v>
      </c>
      <c r="AC18" s="70">
        <v>8</v>
      </c>
      <c r="AD18" s="70">
        <v>9</v>
      </c>
      <c r="AE18" s="157">
        <v>6</v>
      </c>
    </row>
    <row r="19" spans="1:31" ht="15" customHeight="1" x14ac:dyDescent="0.25">
      <c r="A19" s="156">
        <v>18</v>
      </c>
      <c r="B19" s="17" t="s">
        <v>28</v>
      </c>
      <c r="C19" s="70">
        <v>20</v>
      </c>
      <c r="D19" s="70">
        <v>19</v>
      </c>
      <c r="E19" s="70">
        <v>12</v>
      </c>
      <c r="F19" s="70">
        <v>17</v>
      </c>
      <c r="G19" s="70">
        <v>14</v>
      </c>
      <c r="H19" s="70">
        <v>10</v>
      </c>
      <c r="I19" s="70">
        <v>9</v>
      </c>
      <c r="J19" s="70">
        <v>10</v>
      </c>
      <c r="K19" s="70">
        <v>11</v>
      </c>
      <c r="L19" s="70">
        <v>10</v>
      </c>
      <c r="M19" s="70">
        <v>13</v>
      </c>
      <c r="N19" s="70">
        <v>13</v>
      </c>
      <c r="O19" s="70">
        <v>15</v>
      </c>
      <c r="P19" s="70">
        <v>18</v>
      </c>
      <c r="Q19" s="70">
        <v>17</v>
      </c>
      <c r="R19" s="70">
        <v>14</v>
      </c>
      <c r="S19" s="70">
        <v>12</v>
      </c>
      <c r="T19" s="70">
        <v>17</v>
      </c>
      <c r="U19" s="70">
        <v>14</v>
      </c>
      <c r="V19" s="70">
        <v>13</v>
      </c>
      <c r="W19" s="70">
        <v>10</v>
      </c>
      <c r="X19" s="70">
        <v>14</v>
      </c>
      <c r="Y19" s="70">
        <v>13</v>
      </c>
      <c r="Z19" s="70">
        <v>12</v>
      </c>
      <c r="AA19" s="70">
        <v>12</v>
      </c>
      <c r="AB19" s="70">
        <v>12</v>
      </c>
      <c r="AC19" s="70">
        <v>13</v>
      </c>
      <c r="AD19" s="70">
        <v>16</v>
      </c>
      <c r="AE19" s="157">
        <v>13</v>
      </c>
    </row>
    <row r="20" spans="1:31" ht="15" customHeight="1" x14ac:dyDescent="0.25">
      <c r="A20" s="156">
        <v>19</v>
      </c>
      <c r="B20" s="17" t="s">
        <v>105</v>
      </c>
      <c r="C20" s="70" t="s">
        <v>383</v>
      </c>
      <c r="D20" s="70">
        <v>4</v>
      </c>
      <c r="E20" s="70" t="s">
        <v>383</v>
      </c>
      <c r="F20" s="70" t="s">
        <v>383</v>
      </c>
      <c r="G20" s="70" t="s">
        <v>383</v>
      </c>
      <c r="H20" s="70" t="s">
        <v>383</v>
      </c>
      <c r="I20" s="70" t="s">
        <v>383</v>
      </c>
      <c r="J20" s="70" t="s">
        <v>383</v>
      </c>
      <c r="K20" s="70" t="s">
        <v>383</v>
      </c>
      <c r="L20" s="70">
        <v>4</v>
      </c>
      <c r="M20" s="70" t="s">
        <v>383</v>
      </c>
      <c r="N20" s="70" t="s">
        <v>383</v>
      </c>
      <c r="O20" s="70">
        <v>4</v>
      </c>
      <c r="P20" s="70" t="s">
        <v>383</v>
      </c>
      <c r="Q20" s="70" t="s">
        <v>383</v>
      </c>
      <c r="R20" s="70" t="s">
        <v>383</v>
      </c>
      <c r="S20" s="70" t="s">
        <v>383</v>
      </c>
      <c r="T20" s="70" t="s">
        <v>383</v>
      </c>
      <c r="U20" s="70" t="s">
        <v>383</v>
      </c>
      <c r="V20" s="70">
        <v>4</v>
      </c>
      <c r="W20" s="70" t="s">
        <v>383</v>
      </c>
      <c r="X20" s="70" t="s">
        <v>383</v>
      </c>
      <c r="Y20" s="70" t="s">
        <v>383</v>
      </c>
      <c r="Z20" s="70" t="s">
        <v>383</v>
      </c>
      <c r="AA20" s="70" t="s">
        <v>383</v>
      </c>
      <c r="AB20" s="70" t="s">
        <v>383</v>
      </c>
      <c r="AC20" s="70" t="s">
        <v>383</v>
      </c>
      <c r="AD20" s="70" t="s">
        <v>383</v>
      </c>
      <c r="AE20" s="157" t="s">
        <v>383</v>
      </c>
    </row>
    <row r="21" spans="1:31" ht="15" customHeight="1" x14ac:dyDescent="0.25">
      <c r="A21" s="156">
        <v>20</v>
      </c>
      <c r="B21" s="17" t="s">
        <v>30</v>
      </c>
      <c r="C21" s="70">
        <v>63</v>
      </c>
      <c r="D21" s="70">
        <v>55</v>
      </c>
      <c r="E21" s="70">
        <v>57</v>
      </c>
      <c r="F21" s="70">
        <v>59</v>
      </c>
      <c r="G21" s="70">
        <v>52</v>
      </c>
      <c r="H21" s="70">
        <v>50</v>
      </c>
      <c r="I21" s="70">
        <v>48</v>
      </c>
      <c r="J21" s="70">
        <v>58</v>
      </c>
      <c r="K21" s="70">
        <v>73</v>
      </c>
      <c r="L21" s="70">
        <v>69</v>
      </c>
      <c r="M21" s="70">
        <v>69</v>
      </c>
      <c r="N21" s="70">
        <v>74</v>
      </c>
      <c r="O21" s="70">
        <v>76</v>
      </c>
      <c r="P21" s="70">
        <v>76</v>
      </c>
      <c r="Q21" s="70">
        <v>74</v>
      </c>
      <c r="R21" s="70">
        <v>71</v>
      </c>
      <c r="S21" s="70">
        <v>73</v>
      </c>
      <c r="T21" s="70">
        <v>74</v>
      </c>
      <c r="U21" s="70">
        <v>73</v>
      </c>
      <c r="V21" s="70">
        <v>68</v>
      </c>
      <c r="W21" s="70">
        <v>66</v>
      </c>
      <c r="X21" s="70">
        <v>63</v>
      </c>
      <c r="Y21" s="70">
        <v>58</v>
      </c>
      <c r="Z21" s="70">
        <v>52</v>
      </c>
      <c r="AA21" s="70">
        <v>57</v>
      </c>
      <c r="AB21" s="70">
        <v>56</v>
      </c>
      <c r="AC21" s="70">
        <v>59</v>
      </c>
      <c r="AD21" s="70">
        <v>55</v>
      </c>
      <c r="AE21" s="157">
        <v>57</v>
      </c>
    </row>
    <row r="22" spans="1:31" ht="15" customHeight="1" x14ac:dyDescent="0.25">
      <c r="A22" s="156">
        <v>21</v>
      </c>
      <c r="B22" s="17" t="s">
        <v>31</v>
      </c>
      <c r="C22" s="70">
        <v>8</v>
      </c>
      <c r="D22" s="70">
        <v>7</v>
      </c>
      <c r="E22" s="70">
        <v>6</v>
      </c>
      <c r="F22" s="70">
        <v>9</v>
      </c>
      <c r="G22" s="70">
        <v>9</v>
      </c>
      <c r="H22" s="70">
        <v>9</v>
      </c>
      <c r="I22" s="70">
        <v>10</v>
      </c>
      <c r="J22" s="70">
        <v>8</v>
      </c>
      <c r="K22" s="70">
        <v>12</v>
      </c>
      <c r="L22" s="70">
        <v>12</v>
      </c>
      <c r="M22" s="70">
        <v>13</v>
      </c>
      <c r="N22" s="70">
        <v>11</v>
      </c>
      <c r="O22" s="70">
        <v>11</v>
      </c>
      <c r="P22" s="70">
        <v>8</v>
      </c>
      <c r="Q22" s="70">
        <v>8</v>
      </c>
      <c r="R22" s="70">
        <v>9</v>
      </c>
      <c r="S22" s="70">
        <v>9</v>
      </c>
      <c r="T22" s="70">
        <v>11</v>
      </c>
      <c r="U22" s="70">
        <v>11</v>
      </c>
      <c r="V22" s="70">
        <v>10</v>
      </c>
      <c r="W22" s="70">
        <v>10</v>
      </c>
      <c r="X22" s="70">
        <v>10</v>
      </c>
      <c r="Y22" s="70">
        <v>10</v>
      </c>
      <c r="Z22" s="70">
        <v>11</v>
      </c>
      <c r="AA22" s="70">
        <v>11</v>
      </c>
      <c r="AB22" s="70">
        <v>12</v>
      </c>
      <c r="AC22" s="70">
        <v>12</v>
      </c>
      <c r="AD22" s="70">
        <v>11</v>
      </c>
      <c r="AE22" s="157">
        <v>11</v>
      </c>
    </row>
    <row r="23" spans="1:31" ht="15" customHeight="1" x14ac:dyDescent="0.25">
      <c r="A23" s="156">
        <v>22</v>
      </c>
      <c r="B23" s="17" t="s">
        <v>98</v>
      </c>
      <c r="C23" s="70">
        <v>28</v>
      </c>
      <c r="D23" s="70">
        <v>27</v>
      </c>
      <c r="E23" s="70">
        <v>31</v>
      </c>
      <c r="F23" s="70">
        <v>31</v>
      </c>
      <c r="G23" s="70">
        <v>32</v>
      </c>
      <c r="H23" s="70">
        <v>32</v>
      </c>
      <c r="I23" s="70">
        <v>31</v>
      </c>
      <c r="J23" s="70">
        <v>34</v>
      </c>
      <c r="K23" s="70">
        <v>33</v>
      </c>
      <c r="L23" s="70">
        <v>37</v>
      </c>
      <c r="M23" s="70">
        <v>40</v>
      </c>
      <c r="N23" s="70">
        <v>38</v>
      </c>
      <c r="O23" s="70">
        <v>44</v>
      </c>
      <c r="P23" s="70">
        <v>41</v>
      </c>
      <c r="Q23" s="70">
        <v>42</v>
      </c>
      <c r="R23" s="70">
        <v>46</v>
      </c>
      <c r="S23" s="70">
        <v>41</v>
      </c>
      <c r="T23" s="70">
        <v>44</v>
      </c>
      <c r="U23" s="70">
        <v>44</v>
      </c>
      <c r="V23" s="70">
        <v>44</v>
      </c>
      <c r="W23" s="70">
        <v>44</v>
      </c>
      <c r="X23" s="70">
        <v>44</v>
      </c>
      <c r="Y23" s="70">
        <v>44</v>
      </c>
      <c r="Z23" s="70">
        <v>36</v>
      </c>
      <c r="AA23" s="70">
        <v>32</v>
      </c>
      <c r="AB23" s="70">
        <v>28</v>
      </c>
      <c r="AC23" s="70">
        <v>28</v>
      </c>
      <c r="AD23" s="70">
        <v>33</v>
      </c>
      <c r="AE23" s="157">
        <v>32</v>
      </c>
    </row>
    <row r="24" spans="1:31" ht="15" customHeight="1" x14ac:dyDescent="0.25">
      <c r="A24" s="156">
        <v>23</v>
      </c>
      <c r="B24" s="17" t="s">
        <v>33</v>
      </c>
      <c r="C24" s="70" t="s">
        <v>383</v>
      </c>
      <c r="D24" s="70" t="s">
        <v>383</v>
      </c>
      <c r="E24" s="70" t="s">
        <v>383</v>
      </c>
      <c r="F24" s="70" t="s">
        <v>383</v>
      </c>
      <c r="G24" s="70" t="s">
        <v>383</v>
      </c>
      <c r="H24" s="70">
        <v>5</v>
      </c>
      <c r="I24" s="70">
        <v>4</v>
      </c>
      <c r="J24" s="70" t="s">
        <v>383</v>
      </c>
      <c r="K24" s="70" t="s">
        <v>383</v>
      </c>
      <c r="L24" s="70" t="s">
        <v>383</v>
      </c>
      <c r="M24" s="70" t="s">
        <v>383</v>
      </c>
      <c r="N24" s="70" t="s">
        <v>383</v>
      </c>
      <c r="O24" s="70" t="s">
        <v>383</v>
      </c>
      <c r="P24" s="70">
        <v>4</v>
      </c>
      <c r="Q24" s="70" t="s">
        <v>383</v>
      </c>
      <c r="R24" s="70" t="s">
        <v>383</v>
      </c>
      <c r="S24" s="70" t="s">
        <v>383</v>
      </c>
      <c r="T24" s="70" t="s">
        <v>383</v>
      </c>
      <c r="U24" s="70" t="s">
        <v>383</v>
      </c>
      <c r="V24" s="70" t="s">
        <v>383</v>
      </c>
      <c r="W24" s="70" t="s">
        <v>383</v>
      </c>
      <c r="X24" s="70" t="s">
        <v>383</v>
      </c>
      <c r="Y24" s="70" t="s">
        <v>383</v>
      </c>
      <c r="Z24" s="70" t="s">
        <v>383</v>
      </c>
      <c r="AA24" s="70" t="s">
        <v>383</v>
      </c>
      <c r="AB24" s="70" t="s">
        <v>383</v>
      </c>
      <c r="AC24" s="70" t="s">
        <v>383</v>
      </c>
      <c r="AD24" s="70" t="s">
        <v>383</v>
      </c>
      <c r="AE24" s="157" t="s">
        <v>383</v>
      </c>
    </row>
    <row r="25" spans="1:31" ht="15" customHeight="1" x14ac:dyDescent="0.25">
      <c r="A25" s="156">
        <v>24</v>
      </c>
      <c r="B25" s="17" t="s">
        <v>34</v>
      </c>
      <c r="C25" s="70">
        <v>31</v>
      </c>
      <c r="D25" s="70">
        <v>31</v>
      </c>
      <c r="E25" s="70">
        <v>28</v>
      </c>
      <c r="F25" s="70">
        <v>34</v>
      </c>
      <c r="G25" s="70">
        <v>36</v>
      </c>
      <c r="H25" s="70">
        <v>38</v>
      </c>
      <c r="I25" s="70">
        <v>36</v>
      </c>
      <c r="J25" s="70">
        <v>34</v>
      </c>
      <c r="K25" s="70">
        <v>33</v>
      </c>
      <c r="L25" s="70">
        <v>30</v>
      </c>
      <c r="M25" s="70">
        <v>31</v>
      </c>
      <c r="N25" s="70">
        <v>35</v>
      </c>
      <c r="O25" s="70">
        <v>36</v>
      </c>
      <c r="P25" s="70">
        <v>35</v>
      </c>
      <c r="Q25" s="70">
        <v>35</v>
      </c>
      <c r="R25" s="70">
        <v>36</v>
      </c>
      <c r="S25" s="70">
        <v>36</v>
      </c>
      <c r="T25" s="70">
        <v>38</v>
      </c>
      <c r="U25" s="70">
        <v>38</v>
      </c>
      <c r="V25" s="70">
        <v>40</v>
      </c>
      <c r="W25" s="70">
        <v>34</v>
      </c>
      <c r="X25" s="70">
        <v>32</v>
      </c>
      <c r="Y25" s="70">
        <v>34</v>
      </c>
      <c r="Z25" s="70">
        <v>36</v>
      </c>
      <c r="AA25" s="70">
        <v>35</v>
      </c>
      <c r="AB25" s="70">
        <v>33</v>
      </c>
      <c r="AC25" s="70">
        <v>34</v>
      </c>
      <c r="AD25" s="70">
        <v>34</v>
      </c>
      <c r="AE25" s="157">
        <v>33</v>
      </c>
    </row>
    <row r="26" spans="1:31" ht="15" customHeight="1" x14ac:dyDescent="0.25">
      <c r="A26" s="156">
        <v>25</v>
      </c>
      <c r="B26" s="17" t="s">
        <v>35</v>
      </c>
      <c r="C26" s="70">
        <v>8</v>
      </c>
      <c r="D26" s="70">
        <v>9</v>
      </c>
      <c r="E26" s="70">
        <v>9</v>
      </c>
      <c r="F26" s="70">
        <v>8</v>
      </c>
      <c r="G26" s="70">
        <v>8</v>
      </c>
      <c r="H26" s="70">
        <v>11</v>
      </c>
      <c r="I26" s="70">
        <v>10</v>
      </c>
      <c r="J26" s="70">
        <v>10</v>
      </c>
      <c r="K26" s="70">
        <v>13</v>
      </c>
      <c r="L26" s="70">
        <v>12</v>
      </c>
      <c r="M26" s="70">
        <v>11</v>
      </c>
      <c r="N26" s="70">
        <v>9</v>
      </c>
      <c r="O26" s="70">
        <v>11</v>
      </c>
      <c r="P26" s="70">
        <v>10</v>
      </c>
      <c r="Q26" s="70">
        <v>11</v>
      </c>
      <c r="R26" s="70">
        <v>10</v>
      </c>
      <c r="S26" s="70">
        <v>11</v>
      </c>
      <c r="T26" s="70">
        <v>11</v>
      </c>
      <c r="U26" s="70">
        <v>9</v>
      </c>
      <c r="V26" s="70">
        <v>10</v>
      </c>
      <c r="W26" s="70">
        <v>10</v>
      </c>
      <c r="X26" s="70">
        <v>11</v>
      </c>
      <c r="Y26" s="70">
        <v>15</v>
      </c>
      <c r="Z26" s="70">
        <v>13</v>
      </c>
      <c r="AA26" s="70">
        <v>13</v>
      </c>
      <c r="AB26" s="70">
        <v>13</v>
      </c>
      <c r="AC26" s="70">
        <v>14</v>
      </c>
      <c r="AD26" s="70">
        <v>13</v>
      </c>
      <c r="AE26" s="157">
        <v>15</v>
      </c>
    </row>
    <row r="27" spans="1:31" ht="15" customHeight="1" x14ac:dyDescent="0.25">
      <c r="A27" s="156">
        <v>26</v>
      </c>
      <c r="B27" s="17" t="s">
        <v>36</v>
      </c>
      <c r="C27" s="70">
        <v>25</v>
      </c>
      <c r="D27" s="70">
        <v>25</v>
      </c>
      <c r="E27" s="70">
        <v>22</v>
      </c>
      <c r="F27" s="70">
        <v>19</v>
      </c>
      <c r="G27" s="70">
        <v>20</v>
      </c>
      <c r="H27" s="70">
        <v>20</v>
      </c>
      <c r="I27" s="70">
        <v>15</v>
      </c>
      <c r="J27" s="70">
        <v>17</v>
      </c>
      <c r="K27" s="70">
        <v>24</v>
      </c>
      <c r="L27" s="70">
        <v>25</v>
      </c>
      <c r="M27" s="70">
        <v>30</v>
      </c>
      <c r="N27" s="70">
        <v>27</v>
      </c>
      <c r="O27" s="70">
        <v>30</v>
      </c>
      <c r="P27" s="70">
        <v>30</v>
      </c>
      <c r="Q27" s="70">
        <v>32</v>
      </c>
      <c r="R27" s="70">
        <v>35</v>
      </c>
      <c r="S27" s="70">
        <v>37</v>
      </c>
      <c r="T27" s="70">
        <v>39</v>
      </c>
      <c r="U27" s="70">
        <v>38</v>
      </c>
      <c r="V27" s="70">
        <v>36</v>
      </c>
      <c r="W27" s="70">
        <v>39</v>
      </c>
      <c r="X27" s="70">
        <v>35</v>
      </c>
      <c r="Y27" s="70">
        <v>38</v>
      </c>
      <c r="Z27" s="70">
        <v>40</v>
      </c>
      <c r="AA27" s="70">
        <v>40</v>
      </c>
      <c r="AB27" s="70">
        <v>43</v>
      </c>
      <c r="AC27" s="70">
        <v>43</v>
      </c>
      <c r="AD27" s="70">
        <v>38</v>
      </c>
      <c r="AE27" s="157">
        <v>39</v>
      </c>
    </row>
    <row r="28" spans="1:31" ht="15" customHeight="1" x14ac:dyDescent="0.25">
      <c r="A28" s="156">
        <v>27</v>
      </c>
      <c r="B28" s="17" t="s">
        <v>37</v>
      </c>
      <c r="C28" s="70" t="s">
        <v>383</v>
      </c>
      <c r="D28" s="70" t="s">
        <v>383</v>
      </c>
      <c r="E28" s="70" t="s">
        <v>383</v>
      </c>
      <c r="F28" s="70" t="s">
        <v>383</v>
      </c>
      <c r="G28" s="70" t="s">
        <v>383</v>
      </c>
      <c r="H28" s="70" t="s">
        <v>383</v>
      </c>
      <c r="I28" s="70" t="s">
        <v>383</v>
      </c>
      <c r="J28" s="70" t="s">
        <v>383</v>
      </c>
      <c r="K28" s="70" t="s">
        <v>383</v>
      </c>
      <c r="L28" s="70" t="s">
        <v>383</v>
      </c>
      <c r="M28" s="70" t="s">
        <v>383</v>
      </c>
      <c r="N28" s="70" t="s">
        <v>383</v>
      </c>
      <c r="O28" s="70" t="s">
        <v>383</v>
      </c>
      <c r="P28" s="70" t="s">
        <v>383</v>
      </c>
      <c r="Q28" s="70" t="s">
        <v>383</v>
      </c>
      <c r="R28" s="70" t="s">
        <v>383</v>
      </c>
      <c r="S28" s="70">
        <v>4</v>
      </c>
      <c r="T28" s="70">
        <v>5</v>
      </c>
      <c r="U28" s="70">
        <v>6</v>
      </c>
      <c r="V28" s="70">
        <v>4</v>
      </c>
      <c r="W28" s="70">
        <v>4</v>
      </c>
      <c r="X28" s="70">
        <v>5</v>
      </c>
      <c r="Y28" s="70">
        <v>6</v>
      </c>
      <c r="Z28" s="70">
        <v>4</v>
      </c>
      <c r="AA28" s="70">
        <v>4</v>
      </c>
      <c r="AB28" s="70">
        <v>5</v>
      </c>
      <c r="AC28" s="70">
        <v>5</v>
      </c>
      <c r="AD28" s="70">
        <v>5</v>
      </c>
      <c r="AE28" s="157">
        <v>7</v>
      </c>
    </row>
    <row r="29" spans="1:31" ht="15" customHeight="1" x14ac:dyDescent="0.25">
      <c r="A29" s="156">
        <v>28</v>
      </c>
      <c r="B29" s="17" t="s">
        <v>38</v>
      </c>
      <c r="C29" s="70">
        <v>40</v>
      </c>
      <c r="D29" s="70">
        <v>45</v>
      </c>
      <c r="E29" s="70">
        <v>45</v>
      </c>
      <c r="F29" s="70">
        <v>41</v>
      </c>
      <c r="G29" s="70">
        <v>41</v>
      </c>
      <c r="H29" s="70">
        <v>39</v>
      </c>
      <c r="I29" s="70">
        <v>37</v>
      </c>
      <c r="J29" s="70">
        <v>40</v>
      </c>
      <c r="K29" s="70">
        <v>43</v>
      </c>
      <c r="L29" s="70">
        <v>40</v>
      </c>
      <c r="M29" s="70">
        <v>47</v>
      </c>
      <c r="N29" s="70">
        <v>52</v>
      </c>
      <c r="O29" s="70">
        <v>56</v>
      </c>
      <c r="P29" s="70">
        <v>52</v>
      </c>
      <c r="Q29" s="70">
        <v>48</v>
      </c>
      <c r="R29" s="70">
        <v>51</v>
      </c>
      <c r="S29" s="70">
        <v>54</v>
      </c>
      <c r="T29" s="70">
        <v>56</v>
      </c>
      <c r="U29" s="70">
        <v>59</v>
      </c>
      <c r="V29" s="70">
        <v>62</v>
      </c>
      <c r="W29" s="70">
        <v>69</v>
      </c>
      <c r="X29" s="70">
        <v>75</v>
      </c>
      <c r="Y29" s="70">
        <v>70</v>
      </c>
      <c r="Z29" s="70">
        <v>74</v>
      </c>
      <c r="AA29" s="70">
        <v>73</v>
      </c>
      <c r="AB29" s="70">
        <v>67</v>
      </c>
      <c r="AC29" s="70">
        <v>72</v>
      </c>
      <c r="AD29" s="70">
        <v>67</v>
      </c>
      <c r="AE29" s="157">
        <v>62</v>
      </c>
    </row>
    <row r="30" spans="1:31" ht="15" customHeight="1" x14ac:dyDescent="0.25">
      <c r="A30" s="156">
        <v>29</v>
      </c>
      <c r="B30" s="17" t="s">
        <v>39</v>
      </c>
      <c r="C30" s="70">
        <v>21</v>
      </c>
      <c r="D30" s="70">
        <v>21</v>
      </c>
      <c r="E30" s="70">
        <v>17</v>
      </c>
      <c r="F30" s="70">
        <v>19</v>
      </c>
      <c r="G30" s="70">
        <v>16</v>
      </c>
      <c r="H30" s="70">
        <v>15</v>
      </c>
      <c r="I30" s="70">
        <v>13</v>
      </c>
      <c r="J30" s="70">
        <v>12</v>
      </c>
      <c r="K30" s="70">
        <v>12</v>
      </c>
      <c r="L30" s="70">
        <v>14</v>
      </c>
      <c r="M30" s="70">
        <v>17</v>
      </c>
      <c r="N30" s="70">
        <v>20</v>
      </c>
      <c r="O30" s="70">
        <v>19</v>
      </c>
      <c r="P30" s="70">
        <v>19</v>
      </c>
      <c r="Q30" s="70">
        <v>19</v>
      </c>
      <c r="R30" s="70">
        <v>19</v>
      </c>
      <c r="S30" s="70">
        <v>20</v>
      </c>
      <c r="T30" s="70">
        <v>22</v>
      </c>
      <c r="U30" s="70">
        <v>18</v>
      </c>
      <c r="V30" s="70">
        <v>18</v>
      </c>
      <c r="W30" s="70">
        <v>20</v>
      </c>
      <c r="X30" s="70">
        <v>20</v>
      </c>
      <c r="Y30" s="70">
        <v>21</v>
      </c>
      <c r="Z30" s="70">
        <v>23</v>
      </c>
      <c r="AA30" s="70">
        <v>24</v>
      </c>
      <c r="AB30" s="70">
        <v>22</v>
      </c>
      <c r="AC30" s="70">
        <v>24</v>
      </c>
      <c r="AD30" s="70">
        <v>28</v>
      </c>
      <c r="AE30" s="157">
        <v>27</v>
      </c>
    </row>
    <row r="31" spans="1:31" ht="15" customHeight="1" x14ac:dyDescent="0.25">
      <c r="A31" s="156">
        <v>30</v>
      </c>
      <c r="B31" s="17" t="s">
        <v>40</v>
      </c>
      <c r="C31" s="70" t="s">
        <v>383</v>
      </c>
      <c r="D31" s="70" t="s">
        <v>383</v>
      </c>
      <c r="E31" s="70" t="s">
        <v>383</v>
      </c>
      <c r="F31" s="70" t="s">
        <v>383</v>
      </c>
      <c r="G31" s="70" t="s">
        <v>383</v>
      </c>
      <c r="H31" s="70" t="s">
        <v>383</v>
      </c>
      <c r="I31" s="70" t="s">
        <v>383</v>
      </c>
      <c r="J31" s="70" t="s">
        <v>383</v>
      </c>
      <c r="K31" s="70" t="s">
        <v>383</v>
      </c>
      <c r="L31" s="70" t="s">
        <v>383</v>
      </c>
      <c r="M31" s="70" t="s">
        <v>383</v>
      </c>
      <c r="N31" s="70" t="s">
        <v>383</v>
      </c>
      <c r="O31" s="70" t="s">
        <v>383</v>
      </c>
      <c r="P31" s="70" t="s">
        <v>383</v>
      </c>
      <c r="Q31" s="70" t="s">
        <v>383</v>
      </c>
      <c r="R31" s="70" t="s">
        <v>383</v>
      </c>
      <c r="S31" s="70" t="s">
        <v>383</v>
      </c>
      <c r="T31" s="70" t="s">
        <v>383</v>
      </c>
      <c r="U31" s="70" t="s">
        <v>383</v>
      </c>
      <c r="V31" s="70" t="s">
        <v>383</v>
      </c>
      <c r="W31" s="70" t="s">
        <v>383</v>
      </c>
      <c r="X31" s="70" t="s">
        <v>383</v>
      </c>
      <c r="Y31" s="70" t="s">
        <v>383</v>
      </c>
      <c r="Z31" s="70" t="s">
        <v>383</v>
      </c>
      <c r="AA31" s="70" t="s">
        <v>383</v>
      </c>
      <c r="AB31" s="70" t="s">
        <v>383</v>
      </c>
      <c r="AC31" s="70" t="s">
        <v>383</v>
      </c>
      <c r="AD31" s="70" t="s">
        <v>383</v>
      </c>
      <c r="AE31" s="157" t="s">
        <v>383</v>
      </c>
    </row>
    <row r="32" spans="1:31" ht="15" customHeight="1" x14ac:dyDescent="0.25">
      <c r="A32" s="156">
        <v>31</v>
      </c>
      <c r="B32" s="17" t="s">
        <v>41</v>
      </c>
      <c r="C32" s="70" t="s">
        <v>383</v>
      </c>
      <c r="D32" s="70" t="s">
        <v>383</v>
      </c>
      <c r="E32" s="70" t="s">
        <v>383</v>
      </c>
      <c r="F32" s="70" t="s">
        <v>383</v>
      </c>
      <c r="G32" s="70" t="s">
        <v>383</v>
      </c>
      <c r="H32" s="70" t="s">
        <v>383</v>
      </c>
      <c r="I32" s="70" t="s">
        <v>383</v>
      </c>
      <c r="J32" s="70" t="s">
        <v>383</v>
      </c>
      <c r="K32" s="70" t="s">
        <v>383</v>
      </c>
      <c r="L32" s="70">
        <v>4</v>
      </c>
      <c r="M32" s="70" t="s">
        <v>383</v>
      </c>
      <c r="N32" s="70" t="s">
        <v>383</v>
      </c>
      <c r="O32" s="70">
        <v>4</v>
      </c>
      <c r="P32" s="70" t="s">
        <v>383</v>
      </c>
      <c r="Q32" s="70" t="s">
        <v>383</v>
      </c>
      <c r="R32" s="70" t="s">
        <v>383</v>
      </c>
      <c r="S32" s="70" t="s">
        <v>383</v>
      </c>
      <c r="T32" s="70" t="s">
        <v>383</v>
      </c>
      <c r="U32" s="70" t="s">
        <v>383</v>
      </c>
      <c r="V32" s="70" t="s">
        <v>383</v>
      </c>
      <c r="W32" s="70" t="s">
        <v>383</v>
      </c>
      <c r="X32" s="70" t="s">
        <v>383</v>
      </c>
      <c r="Y32" s="70" t="s">
        <v>383</v>
      </c>
      <c r="Z32" s="70" t="s">
        <v>383</v>
      </c>
      <c r="AA32" s="70" t="s">
        <v>383</v>
      </c>
      <c r="AB32" s="70" t="s">
        <v>383</v>
      </c>
      <c r="AC32" s="70" t="s">
        <v>383</v>
      </c>
      <c r="AD32" s="70" t="s">
        <v>383</v>
      </c>
      <c r="AE32" s="157" t="s">
        <v>383</v>
      </c>
    </row>
    <row r="33" spans="1:32" ht="15" customHeight="1" x14ac:dyDescent="0.25">
      <c r="A33" s="156">
        <v>32</v>
      </c>
      <c r="B33" s="17" t="s">
        <v>42</v>
      </c>
      <c r="C33" s="70" t="s">
        <v>383</v>
      </c>
      <c r="D33" s="70" t="s">
        <v>383</v>
      </c>
      <c r="E33" s="70" t="s">
        <v>383</v>
      </c>
      <c r="F33" s="70" t="s">
        <v>383</v>
      </c>
      <c r="G33" s="70" t="s">
        <v>383</v>
      </c>
      <c r="H33" s="70" t="s">
        <v>383</v>
      </c>
      <c r="I33" s="70" t="s">
        <v>383</v>
      </c>
      <c r="J33" s="70" t="s">
        <v>383</v>
      </c>
      <c r="K33" s="70" t="s">
        <v>383</v>
      </c>
      <c r="L33" s="70" t="s">
        <v>383</v>
      </c>
      <c r="M33" s="70" t="s">
        <v>383</v>
      </c>
      <c r="N33" s="70" t="s">
        <v>383</v>
      </c>
      <c r="O33" s="70" t="s">
        <v>383</v>
      </c>
      <c r="P33" s="70" t="s">
        <v>383</v>
      </c>
      <c r="Q33" s="70" t="s">
        <v>383</v>
      </c>
      <c r="R33" s="70" t="s">
        <v>383</v>
      </c>
      <c r="S33" s="70" t="s">
        <v>383</v>
      </c>
      <c r="T33" s="70" t="s">
        <v>383</v>
      </c>
      <c r="U33" s="70" t="s">
        <v>383</v>
      </c>
      <c r="V33" s="70" t="s">
        <v>383</v>
      </c>
      <c r="W33" s="70" t="s">
        <v>383</v>
      </c>
      <c r="X33" s="70" t="s">
        <v>383</v>
      </c>
      <c r="Y33" s="70" t="s">
        <v>383</v>
      </c>
      <c r="Z33" s="70" t="s">
        <v>383</v>
      </c>
      <c r="AA33" s="70" t="s">
        <v>383</v>
      </c>
      <c r="AB33" s="70" t="s">
        <v>383</v>
      </c>
      <c r="AC33" s="70" t="s">
        <v>383</v>
      </c>
      <c r="AD33" s="70" t="s">
        <v>383</v>
      </c>
      <c r="AE33" s="157" t="s">
        <v>383</v>
      </c>
    </row>
    <row r="34" spans="1:32" ht="15" customHeight="1" x14ac:dyDescent="0.25">
      <c r="A34" s="156">
        <v>33</v>
      </c>
      <c r="B34" s="17" t="s">
        <v>43</v>
      </c>
      <c r="C34" s="70" t="s">
        <v>383</v>
      </c>
      <c r="D34" s="70" t="s">
        <v>383</v>
      </c>
      <c r="E34" s="70" t="s">
        <v>383</v>
      </c>
      <c r="F34" s="70" t="s">
        <v>383</v>
      </c>
      <c r="G34" s="70" t="s">
        <v>383</v>
      </c>
      <c r="H34" s="70" t="s">
        <v>383</v>
      </c>
      <c r="I34" s="70" t="s">
        <v>383</v>
      </c>
      <c r="J34" s="70" t="s">
        <v>383</v>
      </c>
      <c r="K34" s="70" t="s">
        <v>383</v>
      </c>
      <c r="L34" s="70" t="s">
        <v>383</v>
      </c>
      <c r="M34" s="70" t="s">
        <v>383</v>
      </c>
      <c r="N34" s="70" t="s">
        <v>383</v>
      </c>
      <c r="O34" s="70" t="s">
        <v>383</v>
      </c>
      <c r="P34" s="70" t="s">
        <v>383</v>
      </c>
      <c r="Q34" s="70" t="s">
        <v>383</v>
      </c>
      <c r="R34" s="70" t="s">
        <v>383</v>
      </c>
      <c r="S34" s="70" t="s">
        <v>383</v>
      </c>
      <c r="T34" s="70" t="s">
        <v>383</v>
      </c>
      <c r="U34" s="70" t="s">
        <v>383</v>
      </c>
      <c r="V34" s="70" t="s">
        <v>383</v>
      </c>
      <c r="W34" s="70" t="s">
        <v>383</v>
      </c>
      <c r="X34" s="70" t="s">
        <v>383</v>
      </c>
      <c r="Y34" s="70" t="s">
        <v>383</v>
      </c>
      <c r="Z34" s="70" t="s">
        <v>383</v>
      </c>
      <c r="AA34" s="70" t="s">
        <v>383</v>
      </c>
      <c r="AB34" s="70" t="s">
        <v>383</v>
      </c>
      <c r="AC34" s="70">
        <v>4</v>
      </c>
      <c r="AD34" s="70" t="s">
        <v>383</v>
      </c>
      <c r="AE34" s="157">
        <v>4</v>
      </c>
    </row>
    <row r="35" spans="1:32" ht="15" customHeight="1" x14ac:dyDescent="0.25">
      <c r="A35" s="156">
        <v>34</v>
      </c>
      <c r="B35" s="17" t="s">
        <v>44</v>
      </c>
      <c r="C35" s="70" t="s">
        <v>383</v>
      </c>
      <c r="D35" s="70" t="s">
        <v>383</v>
      </c>
      <c r="E35" s="70" t="s">
        <v>383</v>
      </c>
      <c r="F35" s="70">
        <v>4</v>
      </c>
      <c r="G35" s="70">
        <v>4</v>
      </c>
      <c r="H35" s="70">
        <v>4</v>
      </c>
      <c r="I35" s="70" t="s">
        <v>383</v>
      </c>
      <c r="J35" s="70">
        <v>5</v>
      </c>
      <c r="K35" s="70">
        <v>7</v>
      </c>
      <c r="L35" s="70">
        <v>8</v>
      </c>
      <c r="M35" s="70">
        <v>10</v>
      </c>
      <c r="N35" s="70">
        <v>10</v>
      </c>
      <c r="O35" s="70">
        <v>10</v>
      </c>
      <c r="P35" s="70">
        <v>9</v>
      </c>
      <c r="Q35" s="70">
        <v>9</v>
      </c>
      <c r="R35" s="70">
        <v>9</v>
      </c>
      <c r="S35" s="70">
        <v>10</v>
      </c>
      <c r="T35" s="70">
        <v>11</v>
      </c>
      <c r="U35" s="70">
        <v>10</v>
      </c>
      <c r="V35" s="70">
        <v>12</v>
      </c>
      <c r="W35" s="70">
        <v>11</v>
      </c>
      <c r="X35" s="70">
        <v>12</v>
      </c>
      <c r="Y35" s="70">
        <v>13</v>
      </c>
      <c r="Z35" s="70">
        <v>12</v>
      </c>
      <c r="AA35" s="70">
        <v>13</v>
      </c>
      <c r="AB35" s="70">
        <v>15</v>
      </c>
      <c r="AC35" s="70">
        <v>15</v>
      </c>
      <c r="AD35" s="70">
        <v>16</v>
      </c>
      <c r="AE35" s="157">
        <v>15</v>
      </c>
    </row>
    <row r="36" spans="1:32" ht="15" customHeight="1" x14ac:dyDescent="0.25">
      <c r="A36" s="156">
        <v>35</v>
      </c>
      <c r="B36" s="17" t="s">
        <v>45</v>
      </c>
      <c r="C36" s="70" t="s">
        <v>383</v>
      </c>
      <c r="D36" s="70" t="s">
        <v>383</v>
      </c>
      <c r="E36" s="70" t="s">
        <v>383</v>
      </c>
      <c r="F36" s="70" t="s">
        <v>383</v>
      </c>
      <c r="G36" s="70" t="s">
        <v>383</v>
      </c>
      <c r="H36" s="70" t="s">
        <v>383</v>
      </c>
      <c r="I36" s="70" t="s">
        <v>383</v>
      </c>
      <c r="J36" s="70" t="s">
        <v>383</v>
      </c>
      <c r="K36" s="70" t="s">
        <v>383</v>
      </c>
      <c r="L36" s="70" t="s">
        <v>383</v>
      </c>
      <c r="M36" s="70">
        <v>4</v>
      </c>
      <c r="N36" s="70" t="s">
        <v>383</v>
      </c>
      <c r="O36" s="70" t="s">
        <v>383</v>
      </c>
      <c r="P36" s="70" t="s">
        <v>383</v>
      </c>
      <c r="Q36" s="70" t="s">
        <v>383</v>
      </c>
      <c r="R36" s="70" t="s">
        <v>383</v>
      </c>
      <c r="S36" s="70">
        <v>5</v>
      </c>
      <c r="T36" s="70">
        <v>4</v>
      </c>
      <c r="U36" s="70">
        <v>5</v>
      </c>
      <c r="V36" s="70">
        <v>4</v>
      </c>
      <c r="W36" s="70">
        <v>4</v>
      </c>
      <c r="X36" s="70" t="s">
        <v>383</v>
      </c>
      <c r="Y36" s="70" t="s">
        <v>383</v>
      </c>
      <c r="Z36" s="70" t="s">
        <v>383</v>
      </c>
      <c r="AA36" s="70" t="s">
        <v>383</v>
      </c>
      <c r="AB36" s="70" t="s">
        <v>383</v>
      </c>
      <c r="AC36" s="70" t="s">
        <v>383</v>
      </c>
      <c r="AD36" s="70">
        <v>4</v>
      </c>
      <c r="AE36" s="157">
        <v>4</v>
      </c>
    </row>
    <row r="37" spans="1:32" ht="15" customHeight="1" x14ac:dyDescent="0.25">
      <c r="A37" s="156">
        <v>36</v>
      </c>
      <c r="B37" s="17" t="s">
        <v>46</v>
      </c>
      <c r="C37" s="70">
        <v>14</v>
      </c>
      <c r="D37" s="70">
        <v>13</v>
      </c>
      <c r="E37" s="70">
        <v>13</v>
      </c>
      <c r="F37" s="70">
        <v>10</v>
      </c>
      <c r="G37" s="70">
        <v>11</v>
      </c>
      <c r="H37" s="70">
        <v>11</v>
      </c>
      <c r="I37" s="70">
        <v>10</v>
      </c>
      <c r="J37" s="70">
        <v>13</v>
      </c>
      <c r="K37" s="70">
        <v>19</v>
      </c>
      <c r="L37" s="70">
        <v>22</v>
      </c>
      <c r="M37" s="70">
        <v>27</v>
      </c>
      <c r="N37" s="70">
        <v>24</v>
      </c>
      <c r="O37" s="70">
        <v>24</v>
      </c>
      <c r="P37" s="70">
        <v>23</v>
      </c>
      <c r="Q37" s="70">
        <v>20</v>
      </c>
      <c r="R37" s="70">
        <v>18</v>
      </c>
      <c r="S37" s="70">
        <v>18</v>
      </c>
      <c r="T37" s="70">
        <v>20</v>
      </c>
      <c r="U37" s="70">
        <v>19</v>
      </c>
      <c r="V37" s="70">
        <v>22</v>
      </c>
      <c r="W37" s="70">
        <v>21</v>
      </c>
      <c r="X37" s="70">
        <v>19</v>
      </c>
      <c r="Y37" s="70">
        <v>20</v>
      </c>
      <c r="Z37" s="70">
        <v>20</v>
      </c>
      <c r="AA37" s="70">
        <v>21</v>
      </c>
      <c r="AB37" s="70">
        <v>23</v>
      </c>
      <c r="AC37" s="70">
        <v>25</v>
      </c>
      <c r="AD37" s="70">
        <v>21</v>
      </c>
      <c r="AE37" s="157">
        <v>25</v>
      </c>
    </row>
    <row r="38" spans="1:32" ht="15" customHeight="1" thickBot="1" x14ac:dyDescent="0.3">
      <c r="A38" s="152">
        <v>37</v>
      </c>
      <c r="B38" s="15" t="s">
        <v>47</v>
      </c>
      <c r="C38" s="68" t="s">
        <v>383</v>
      </c>
      <c r="D38" s="68" t="s">
        <v>383</v>
      </c>
      <c r="E38" s="68" t="s">
        <v>383</v>
      </c>
      <c r="F38" s="68" t="s">
        <v>383</v>
      </c>
      <c r="G38" s="68" t="s">
        <v>383</v>
      </c>
      <c r="H38" s="68" t="s">
        <v>383</v>
      </c>
      <c r="I38" s="68" t="s">
        <v>383</v>
      </c>
      <c r="J38" s="68" t="s">
        <v>383</v>
      </c>
      <c r="K38" s="68" t="s">
        <v>383</v>
      </c>
      <c r="L38" s="68" t="s">
        <v>383</v>
      </c>
      <c r="M38" s="68" t="s">
        <v>383</v>
      </c>
      <c r="N38" s="68" t="s">
        <v>383</v>
      </c>
      <c r="O38" s="68" t="s">
        <v>383</v>
      </c>
      <c r="P38" s="68" t="s">
        <v>383</v>
      </c>
      <c r="Q38" s="68" t="s">
        <v>383</v>
      </c>
      <c r="R38" s="68" t="s">
        <v>383</v>
      </c>
      <c r="S38" s="68" t="s">
        <v>383</v>
      </c>
      <c r="T38" s="68" t="s">
        <v>383</v>
      </c>
      <c r="U38" s="68" t="s">
        <v>383</v>
      </c>
      <c r="V38" s="68" t="s">
        <v>383</v>
      </c>
      <c r="W38" s="68" t="s">
        <v>383</v>
      </c>
      <c r="X38" s="68" t="s">
        <v>383</v>
      </c>
      <c r="Y38" s="68" t="s">
        <v>383</v>
      </c>
      <c r="Z38" s="68">
        <v>4</v>
      </c>
      <c r="AA38" s="68" t="s">
        <v>383</v>
      </c>
      <c r="AB38" s="68">
        <v>5</v>
      </c>
      <c r="AC38" s="68">
        <v>4</v>
      </c>
      <c r="AD38" s="68">
        <v>4</v>
      </c>
      <c r="AE38" s="153">
        <v>5</v>
      </c>
    </row>
    <row r="39" spans="1:32" s="11" customFormat="1" ht="15" customHeight="1" thickBot="1" x14ac:dyDescent="0.3">
      <c r="A39" s="144" t="s">
        <v>48</v>
      </c>
      <c r="B39" s="9" t="s">
        <v>49</v>
      </c>
      <c r="C39" s="64">
        <v>20</v>
      </c>
      <c r="D39" s="64">
        <v>20</v>
      </c>
      <c r="E39" s="64">
        <v>19</v>
      </c>
      <c r="F39" s="64">
        <v>20</v>
      </c>
      <c r="G39" s="64">
        <v>19</v>
      </c>
      <c r="H39" s="64">
        <v>21</v>
      </c>
      <c r="I39" s="64">
        <v>21</v>
      </c>
      <c r="J39" s="64">
        <v>22</v>
      </c>
      <c r="K39" s="64">
        <v>24</v>
      </c>
      <c r="L39" s="64">
        <v>23</v>
      </c>
      <c r="M39" s="64">
        <v>23</v>
      </c>
      <c r="N39" s="64">
        <v>22</v>
      </c>
      <c r="O39" s="64">
        <v>20</v>
      </c>
      <c r="P39" s="64">
        <v>20</v>
      </c>
      <c r="Q39" s="64">
        <v>22</v>
      </c>
      <c r="R39" s="64">
        <v>23</v>
      </c>
      <c r="S39" s="64">
        <v>23</v>
      </c>
      <c r="T39" s="64">
        <v>23</v>
      </c>
      <c r="U39" s="64">
        <v>24</v>
      </c>
      <c r="V39" s="64">
        <v>26</v>
      </c>
      <c r="W39" s="64">
        <v>24</v>
      </c>
      <c r="X39" s="64">
        <v>24</v>
      </c>
      <c r="Y39" s="64">
        <v>23</v>
      </c>
      <c r="Z39" s="64">
        <v>24</v>
      </c>
      <c r="AA39" s="64">
        <v>23</v>
      </c>
      <c r="AB39" s="64">
        <v>23</v>
      </c>
      <c r="AC39" s="64">
        <v>26</v>
      </c>
      <c r="AD39" s="64">
        <v>23</v>
      </c>
      <c r="AE39" s="145">
        <v>24</v>
      </c>
      <c r="AF39" s="10"/>
    </row>
    <row r="40" spans="1:32" ht="15" customHeight="1" x14ac:dyDescent="0.25">
      <c r="A40" s="146">
        <v>40</v>
      </c>
      <c r="B40" s="12" t="s">
        <v>50</v>
      </c>
      <c r="C40" s="65">
        <v>10</v>
      </c>
      <c r="D40" s="65">
        <v>10</v>
      </c>
      <c r="E40" s="65">
        <v>11</v>
      </c>
      <c r="F40" s="65">
        <v>11</v>
      </c>
      <c r="G40" s="65">
        <v>9</v>
      </c>
      <c r="H40" s="65">
        <v>10</v>
      </c>
      <c r="I40" s="65">
        <v>10</v>
      </c>
      <c r="J40" s="65">
        <v>10</v>
      </c>
      <c r="K40" s="65">
        <v>12</v>
      </c>
      <c r="L40" s="65">
        <v>10</v>
      </c>
      <c r="M40" s="65">
        <v>10</v>
      </c>
      <c r="N40" s="65">
        <v>10</v>
      </c>
      <c r="O40" s="65">
        <v>10</v>
      </c>
      <c r="P40" s="65">
        <v>10</v>
      </c>
      <c r="Q40" s="65">
        <v>11</v>
      </c>
      <c r="R40" s="65">
        <v>13</v>
      </c>
      <c r="S40" s="65">
        <v>13</v>
      </c>
      <c r="T40" s="65">
        <v>12</v>
      </c>
      <c r="U40" s="65">
        <v>13</v>
      </c>
      <c r="V40" s="65">
        <v>13</v>
      </c>
      <c r="W40" s="65">
        <v>14</v>
      </c>
      <c r="X40" s="65">
        <v>14</v>
      </c>
      <c r="Y40" s="65">
        <v>13</v>
      </c>
      <c r="Z40" s="65">
        <v>14</v>
      </c>
      <c r="AA40" s="65">
        <v>14</v>
      </c>
      <c r="AB40" s="65">
        <v>14</v>
      </c>
      <c r="AC40" s="65">
        <v>17</v>
      </c>
      <c r="AD40" s="65">
        <v>14</v>
      </c>
      <c r="AE40" s="147">
        <v>14</v>
      </c>
    </row>
    <row r="41" spans="1:32" ht="15" customHeight="1" thickBot="1" x14ac:dyDescent="0.3">
      <c r="A41" s="158">
        <v>41</v>
      </c>
      <c r="B41" s="18" t="s">
        <v>51</v>
      </c>
      <c r="C41" s="71">
        <v>10</v>
      </c>
      <c r="D41" s="71">
        <v>10</v>
      </c>
      <c r="E41" s="71">
        <v>8</v>
      </c>
      <c r="F41" s="71">
        <v>9</v>
      </c>
      <c r="G41" s="71">
        <v>10</v>
      </c>
      <c r="H41" s="71">
        <v>11</v>
      </c>
      <c r="I41" s="71">
        <v>11</v>
      </c>
      <c r="J41" s="71">
        <v>12</v>
      </c>
      <c r="K41" s="71">
        <v>12</v>
      </c>
      <c r="L41" s="71">
        <v>13</v>
      </c>
      <c r="M41" s="71">
        <v>13</v>
      </c>
      <c r="N41" s="71">
        <v>12</v>
      </c>
      <c r="O41" s="71">
        <v>10</v>
      </c>
      <c r="P41" s="71">
        <v>10</v>
      </c>
      <c r="Q41" s="71">
        <v>11</v>
      </c>
      <c r="R41" s="71">
        <v>10</v>
      </c>
      <c r="S41" s="71">
        <v>10</v>
      </c>
      <c r="T41" s="71">
        <v>11</v>
      </c>
      <c r="U41" s="71">
        <v>11</v>
      </c>
      <c r="V41" s="71">
        <v>13</v>
      </c>
      <c r="W41" s="71">
        <v>10</v>
      </c>
      <c r="X41" s="71">
        <v>10</v>
      </c>
      <c r="Y41" s="71">
        <v>10</v>
      </c>
      <c r="Z41" s="71">
        <v>10</v>
      </c>
      <c r="AA41" s="71">
        <v>9</v>
      </c>
      <c r="AB41" s="71">
        <v>9</v>
      </c>
      <c r="AC41" s="71">
        <v>9</v>
      </c>
      <c r="AD41" s="71">
        <v>9</v>
      </c>
      <c r="AE41" s="159">
        <v>10</v>
      </c>
    </row>
    <row r="42" spans="1:32" s="11" customFormat="1" ht="15" customHeight="1" thickBot="1" x14ac:dyDescent="0.3">
      <c r="A42" s="160" t="s">
        <v>52</v>
      </c>
      <c r="B42" s="19" t="s">
        <v>53</v>
      </c>
      <c r="C42" s="64">
        <v>219</v>
      </c>
      <c r="D42" s="64">
        <v>249</v>
      </c>
      <c r="E42" s="64">
        <v>259</v>
      </c>
      <c r="F42" s="64">
        <v>269</v>
      </c>
      <c r="G42" s="64">
        <v>248</v>
      </c>
      <c r="H42" s="64">
        <v>215</v>
      </c>
      <c r="I42" s="64">
        <v>186</v>
      </c>
      <c r="J42" s="64">
        <v>234</v>
      </c>
      <c r="K42" s="64">
        <v>286</v>
      </c>
      <c r="L42" s="64">
        <v>345</v>
      </c>
      <c r="M42" s="64">
        <v>395</v>
      </c>
      <c r="N42" s="64">
        <v>442</v>
      </c>
      <c r="O42" s="64">
        <v>454</v>
      </c>
      <c r="P42" s="64">
        <v>442</v>
      </c>
      <c r="Q42" s="64">
        <v>467</v>
      </c>
      <c r="R42" s="64">
        <v>500</v>
      </c>
      <c r="S42" s="64">
        <v>492</v>
      </c>
      <c r="T42" s="64">
        <v>498</v>
      </c>
      <c r="U42" s="64">
        <v>513</v>
      </c>
      <c r="V42" s="64">
        <v>520</v>
      </c>
      <c r="W42" s="64">
        <v>522</v>
      </c>
      <c r="X42" s="64">
        <v>509</v>
      </c>
      <c r="Y42" s="64">
        <v>530</v>
      </c>
      <c r="Z42" s="64">
        <v>518</v>
      </c>
      <c r="AA42" s="64">
        <v>511</v>
      </c>
      <c r="AB42" s="64">
        <v>523</v>
      </c>
      <c r="AC42" s="64">
        <v>564</v>
      </c>
      <c r="AD42" s="64">
        <v>537</v>
      </c>
      <c r="AE42" s="145">
        <v>513</v>
      </c>
      <c r="AF42" s="10"/>
    </row>
    <row r="43" spans="1:32" ht="15" customHeight="1" thickBot="1" x14ac:dyDescent="0.3">
      <c r="A43" s="150">
        <v>45</v>
      </c>
      <c r="B43" s="14" t="s">
        <v>54</v>
      </c>
      <c r="C43" s="67">
        <v>219</v>
      </c>
      <c r="D43" s="67">
        <v>249</v>
      </c>
      <c r="E43" s="67">
        <v>259</v>
      </c>
      <c r="F43" s="67">
        <v>269</v>
      </c>
      <c r="G43" s="67">
        <v>248</v>
      </c>
      <c r="H43" s="67">
        <v>215</v>
      </c>
      <c r="I43" s="67">
        <v>186</v>
      </c>
      <c r="J43" s="67">
        <v>234</v>
      </c>
      <c r="K43" s="67">
        <v>286</v>
      </c>
      <c r="L43" s="67">
        <v>345</v>
      </c>
      <c r="M43" s="67">
        <v>395</v>
      </c>
      <c r="N43" s="67">
        <v>442</v>
      </c>
      <c r="O43" s="67">
        <v>454</v>
      </c>
      <c r="P43" s="67">
        <v>442</v>
      </c>
      <c r="Q43" s="67">
        <v>467</v>
      </c>
      <c r="R43" s="67">
        <v>500</v>
      </c>
      <c r="S43" s="67">
        <v>492</v>
      </c>
      <c r="T43" s="67">
        <v>498</v>
      </c>
      <c r="U43" s="67">
        <v>513</v>
      </c>
      <c r="V43" s="67">
        <v>520</v>
      </c>
      <c r="W43" s="67">
        <v>522</v>
      </c>
      <c r="X43" s="67">
        <v>509</v>
      </c>
      <c r="Y43" s="67">
        <v>530</v>
      </c>
      <c r="Z43" s="67">
        <v>518</v>
      </c>
      <c r="AA43" s="67">
        <v>511</v>
      </c>
      <c r="AB43" s="67">
        <v>523</v>
      </c>
      <c r="AC43" s="67">
        <v>564</v>
      </c>
      <c r="AD43" s="67">
        <v>537</v>
      </c>
      <c r="AE43" s="151">
        <v>513</v>
      </c>
    </row>
    <row r="44" spans="1:32" s="11" customFormat="1" ht="15" customHeight="1" thickBot="1" x14ac:dyDescent="0.3">
      <c r="A44" s="144" t="s">
        <v>55</v>
      </c>
      <c r="B44" s="9" t="s">
        <v>56</v>
      </c>
      <c r="C44" s="64">
        <v>1591</v>
      </c>
      <c r="D44" s="64">
        <v>1537</v>
      </c>
      <c r="E44" s="64">
        <v>1503</v>
      </c>
      <c r="F44" s="64">
        <v>1537</v>
      </c>
      <c r="G44" s="64">
        <v>1517</v>
      </c>
      <c r="H44" s="64">
        <v>1448</v>
      </c>
      <c r="I44" s="64">
        <v>1389</v>
      </c>
      <c r="J44" s="64">
        <v>1606</v>
      </c>
      <c r="K44" s="64">
        <v>1983</v>
      </c>
      <c r="L44" s="64">
        <v>2203</v>
      </c>
      <c r="M44" s="64">
        <v>2428</v>
      </c>
      <c r="N44" s="64">
        <v>2621</v>
      </c>
      <c r="O44" s="64">
        <v>2784</v>
      </c>
      <c r="P44" s="64">
        <v>2821</v>
      </c>
      <c r="Q44" s="64">
        <v>2867</v>
      </c>
      <c r="R44" s="64">
        <v>2990</v>
      </c>
      <c r="S44" s="64">
        <v>3064</v>
      </c>
      <c r="T44" s="64">
        <v>3167</v>
      </c>
      <c r="U44" s="64">
        <v>3223</v>
      </c>
      <c r="V44" s="64">
        <v>3386</v>
      </c>
      <c r="W44" s="64">
        <v>3514</v>
      </c>
      <c r="X44" s="64">
        <v>3502</v>
      </c>
      <c r="Y44" s="64">
        <v>3378</v>
      </c>
      <c r="Z44" s="64">
        <v>3287</v>
      </c>
      <c r="AA44" s="64">
        <v>3193</v>
      </c>
      <c r="AB44" s="64">
        <v>3302</v>
      </c>
      <c r="AC44" s="64">
        <v>3646</v>
      </c>
      <c r="AD44" s="64">
        <v>3715</v>
      </c>
      <c r="AE44" s="145">
        <v>3694</v>
      </c>
      <c r="AF44" s="10"/>
    </row>
    <row r="45" spans="1:32" ht="15" customHeight="1" x14ac:dyDescent="0.25">
      <c r="A45" s="146">
        <v>50</v>
      </c>
      <c r="B45" s="12" t="s">
        <v>57</v>
      </c>
      <c r="C45" s="65">
        <v>244</v>
      </c>
      <c r="D45" s="65">
        <v>251</v>
      </c>
      <c r="E45" s="65">
        <v>249</v>
      </c>
      <c r="F45" s="65">
        <v>251</v>
      </c>
      <c r="G45" s="65">
        <v>246</v>
      </c>
      <c r="H45" s="65">
        <v>243</v>
      </c>
      <c r="I45" s="65">
        <v>229</v>
      </c>
      <c r="J45" s="65">
        <v>251</v>
      </c>
      <c r="K45" s="65">
        <v>298</v>
      </c>
      <c r="L45" s="65">
        <v>322</v>
      </c>
      <c r="M45" s="65">
        <v>331</v>
      </c>
      <c r="N45" s="65">
        <v>364</v>
      </c>
      <c r="O45" s="65">
        <v>383</v>
      </c>
      <c r="P45" s="65">
        <v>398</v>
      </c>
      <c r="Q45" s="65">
        <v>405</v>
      </c>
      <c r="R45" s="65">
        <v>406</v>
      </c>
      <c r="S45" s="65">
        <v>401</v>
      </c>
      <c r="T45" s="65">
        <v>431</v>
      </c>
      <c r="U45" s="65">
        <v>435</v>
      </c>
      <c r="V45" s="65">
        <v>445</v>
      </c>
      <c r="W45" s="65">
        <v>457</v>
      </c>
      <c r="X45" s="65">
        <v>462</v>
      </c>
      <c r="Y45" s="65">
        <v>452</v>
      </c>
      <c r="Z45" s="65">
        <v>442</v>
      </c>
      <c r="AA45" s="65">
        <v>420</v>
      </c>
      <c r="AB45" s="65">
        <v>431</v>
      </c>
      <c r="AC45" s="65">
        <v>442</v>
      </c>
      <c r="AD45" s="65">
        <v>438</v>
      </c>
      <c r="AE45" s="147">
        <v>448</v>
      </c>
    </row>
    <row r="46" spans="1:32" ht="15" customHeight="1" x14ac:dyDescent="0.25">
      <c r="A46" s="156">
        <v>51</v>
      </c>
      <c r="B46" s="17" t="s">
        <v>58</v>
      </c>
      <c r="C46" s="70">
        <v>322</v>
      </c>
      <c r="D46" s="70">
        <v>316</v>
      </c>
      <c r="E46" s="70">
        <v>301</v>
      </c>
      <c r="F46" s="70">
        <v>310</v>
      </c>
      <c r="G46" s="70">
        <v>320</v>
      </c>
      <c r="H46" s="70">
        <v>317</v>
      </c>
      <c r="I46" s="70">
        <v>291</v>
      </c>
      <c r="J46" s="70">
        <v>330</v>
      </c>
      <c r="K46" s="70">
        <v>370</v>
      </c>
      <c r="L46" s="70">
        <v>396</v>
      </c>
      <c r="M46" s="70">
        <v>412</v>
      </c>
      <c r="N46" s="70">
        <v>446</v>
      </c>
      <c r="O46" s="70">
        <v>478</v>
      </c>
      <c r="P46" s="70">
        <v>471</v>
      </c>
      <c r="Q46" s="70">
        <v>482</v>
      </c>
      <c r="R46" s="70">
        <v>492</v>
      </c>
      <c r="S46" s="70">
        <v>498</v>
      </c>
      <c r="T46" s="70">
        <v>498</v>
      </c>
      <c r="U46" s="70">
        <v>497</v>
      </c>
      <c r="V46" s="70">
        <v>514</v>
      </c>
      <c r="W46" s="70">
        <v>527</v>
      </c>
      <c r="X46" s="70">
        <v>526</v>
      </c>
      <c r="Y46" s="70">
        <v>513</v>
      </c>
      <c r="Z46" s="70">
        <v>492</v>
      </c>
      <c r="AA46" s="70">
        <v>510</v>
      </c>
      <c r="AB46" s="70">
        <v>535</v>
      </c>
      <c r="AC46" s="70">
        <v>569</v>
      </c>
      <c r="AD46" s="70">
        <v>582</v>
      </c>
      <c r="AE46" s="157">
        <v>592</v>
      </c>
    </row>
    <row r="47" spans="1:32" ht="15" customHeight="1" thickBot="1" x14ac:dyDescent="0.3">
      <c r="A47" s="158">
        <v>52</v>
      </c>
      <c r="B47" s="18" t="s">
        <v>59</v>
      </c>
      <c r="C47" s="71">
        <v>1025</v>
      </c>
      <c r="D47" s="71">
        <v>970</v>
      </c>
      <c r="E47" s="71">
        <v>953</v>
      </c>
      <c r="F47" s="71">
        <v>976</v>
      </c>
      <c r="G47" s="71">
        <v>951</v>
      </c>
      <c r="H47" s="71">
        <v>888</v>
      </c>
      <c r="I47" s="71">
        <v>869</v>
      </c>
      <c r="J47" s="71">
        <v>1025</v>
      </c>
      <c r="K47" s="71">
        <v>1315</v>
      </c>
      <c r="L47" s="71">
        <v>1485</v>
      </c>
      <c r="M47" s="71">
        <v>1685</v>
      </c>
      <c r="N47" s="71">
        <v>1811</v>
      </c>
      <c r="O47" s="71">
        <v>1923</v>
      </c>
      <c r="P47" s="71">
        <v>1952</v>
      </c>
      <c r="Q47" s="71">
        <v>1980</v>
      </c>
      <c r="R47" s="71">
        <v>2092</v>
      </c>
      <c r="S47" s="71">
        <v>2165</v>
      </c>
      <c r="T47" s="71">
        <v>2238</v>
      </c>
      <c r="U47" s="71">
        <v>2291</v>
      </c>
      <c r="V47" s="71">
        <v>2427</v>
      </c>
      <c r="W47" s="71">
        <v>2530</v>
      </c>
      <c r="X47" s="71">
        <v>2514</v>
      </c>
      <c r="Y47" s="71">
        <v>2413</v>
      </c>
      <c r="Z47" s="71">
        <v>2353</v>
      </c>
      <c r="AA47" s="71">
        <v>2263</v>
      </c>
      <c r="AB47" s="71">
        <v>2336</v>
      </c>
      <c r="AC47" s="71">
        <v>2635</v>
      </c>
      <c r="AD47" s="71">
        <v>2695</v>
      </c>
      <c r="AE47" s="159">
        <v>2654</v>
      </c>
    </row>
    <row r="48" spans="1:32" s="11" customFormat="1" ht="15" customHeight="1" thickBot="1" x14ac:dyDescent="0.3">
      <c r="A48" s="160" t="s">
        <v>60</v>
      </c>
      <c r="B48" s="19" t="s">
        <v>61</v>
      </c>
      <c r="C48" s="64">
        <v>293</v>
      </c>
      <c r="D48" s="64">
        <v>303</v>
      </c>
      <c r="E48" s="64">
        <v>294</v>
      </c>
      <c r="F48" s="64">
        <v>287</v>
      </c>
      <c r="G48" s="64">
        <v>275</v>
      </c>
      <c r="H48" s="64">
        <v>246</v>
      </c>
      <c r="I48" s="64">
        <v>234</v>
      </c>
      <c r="J48" s="64">
        <v>261</v>
      </c>
      <c r="K48" s="64">
        <v>380</v>
      </c>
      <c r="L48" s="64">
        <v>454</v>
      </c>
      <c r="M48" s="64">
        <v>518</v>
      </c>
      <c r="N48" s="64">
        <v>613</v>
      </c>
      <c r="O48" s="64">
        <v>677</v>
      </c>
      <c r="P48" s="64">
        <v>701</v>
      </c>
      <c r="Q48" s="64">
        <v>714</v>
      </c>
      <c r="R48" s="64">
        <v>743</v>
      </c>
      <c r="S48" s="64">
        <v>798</v>
      </c>
      <c r="T48" s="64">
        <v>847</v>
      </c>
      <c r="U48" s="64">
        <v>891</v>
      </c>
      <c r="V48" s="64">
        <v>906</v>
      </c>
      <c r="W48" s="64">
        <v>915</v>
      </c>
      <c r="X48" s="64">
        <v>925</v>
      </c>
      <c r="Y48" s="64">
        <v>931</v>
      </c>
      <c r="Z48" s="64">
        <v>925</v>
      </c>
      <c r="AA48" s="64">
        <v>797</v>
      </c>
      <c r="AB48" s="64">
        <v>852</v>
      </c>
      <c r="AC48" s="64">
        <v>960</v>
      </c>
      <c r="AD48" s="64">
        <v>998</v>
      </c>
      <c r="AE48" s="145">
        <v>982</v>
      </c>
      <c r="AF48" s="10"/>
    </row>
    <row r="49" spans="1:32" ht="15" customHeight="1" thickBot="1" x14ac:dyDescent="0.3">
      <c r="A49" s="150">
        <v>55</v>
      </c>
      <c r="B49" s="14" t="s">
        <v>62</v>
      </c>
      <c r="C49" s="67">
        <v>293</v>
      </c>
      <c r="D49" s="67">
        <v>303</v>
      </c>
      <c r="E49" s="67">
        <v>294</v>
      </c>
      <c r="F49" s="67">
        <v>287</v>
      </c>
      <c r="G49" s="67">
        <v>275</v>
      </c>
      <c r="H49" s="67">
        <v>246</v>
      </c>
      <c r="I49" s="67">
        <v>234</v>
      </c>
      <c r="J49" s="67">
        <v>261</v>
      </c>
      <c r="K49" s="67">
        <v>380</v>
      </c>
      <c r="L49" s="67">
        <v>454</v>
      </c>
      <c r="M49" s="67">
        <v>518</v>
      </c>
      <c r="N49" s="67">
        <v>613</v>
      </c>
      <c r="O49" s="67">
        <v>677</v>
      </c>
      <c r="P49" s="67">
        <v>701</v>
      </c>
      <c r="Q49" s="67">
        <v>714</v>
      </c>
      <c r="R49" s="67">
        <v>743</v>
      </c>
      <c r="S49" s="67">
        <v>798</v>
      </c>
      <c r="T49" s="67">
        <v>847</v>
      </c>
      <c r="U49" s="67">
        <v>891</v>
      </c>
      <c r="V49" s="67">
        <v>906</v>
      </c>
      <c r="W49" s="67">
        <v>915</v>
      </c>
      <c r="X49" s="67">
        <v>925</v>
      </c>
      <c r="Y49" s="67">
        <v>931</v>
      </c>
      <c r="Z49" s="67">
        <v>925</v>
      </c>
      <c r="AA49" s="67">
        <v>797</v>
      </c>
      <c r="AB49" s="67">
        <v>852</v>
      </c>
      <c r="AC49" s="67">
        <v>960</v>
      </c>
      <c r="AD49" s="67">
        <v>998</v>
      </c>
      <c r="AE49" s="151">
        <v>982</v>
      </c>
    </row>
    <row r="50" spans="1:32" s="11" customFormat="1" ht="15" customHeight="1" thickBot="1" x14ac:dyDescent="0.3">
      <c r="A50" s="144" t="s">
        <v>63</v>
      </c>
      <c r="B50" s="9" t="s">
        <v>64</v>
      </c>
      <c r="C50" s="64">
        <v>372</v>
      </c>
      <c r="D50" s="64">
        <v>398</v>
      </c>
      <c r="E50" s="64">
        <v>419</v>
      </c>
      <c r="F50" s="64">
        <v>413</v>
      </c>
      <c r="G50" s="64">
        <v>410</v>
      </c>
      <c r="H50" s="64">
        <v>400</v>
      </c>
      <c r="I50" s="64">
        <v>384</v>
      </c>
      <c r="J50" s="64">
        <v>469</v>
      </c>
      <c r="K50" s="64">
        <v>560</v>
      </c>
      <c r="L50" s="64">
        <v>635</v>
      </c>
      <c r="M50" s="64">
        <v>700</v>
      </c>
      <c r="N50" s="64">
        <v>771</v>
      </c>
      <c r="O50" s="64">
        <v>953</v>
      </c>
      <c r="P50" s="64">
        <v>977</v>
      </c>
      <c r="Q50" s="64">
        <v>975</v>
      </c>
      <c r="R50" s="64">
        <v>955</v>
      </c>
      <c r="S50" s="64">
        <v>1004</v>
      </c>
      <c r="T50" s="64">
        <v>1003</v>
      </c>
      <c r="U50" s="64">
        <v>1008</v>
      </c>
      <c r="V50" s="64">
        <v>1025</v>
      </c>
      <c r="W50" s="64">
        <v>1020</v>
      </c>
      <c r="X50" s="64">
        <v>1000</v>
      </c>
      <c r="Y50" s="64">
        <v>967</v>
      </c>
      <c r="Z50" s="64">
        <v>927</v>
      </c>
      <c r="AA50" s="64">
        <v>881</v>
      </c>
      <c r="AB50" s="64">
        <v>873</v>
      </c>
      <c r="AC50" s="64">
        <v>891</v>
      </c>
      <c r="AD50" s="64">
        <v>887</v>
      </c>
      <c r="AE50" s="145">
        <v>872</v>
      </c>
      <c r="AF50" s="10"/>
    </row>
    <row r="51" spans="1:32" ht="15" customHeight="1" x14ac:dyDescent="0.25">
      <c r="A51" s="152">
        <v>60</v>
      </c>
      <c r="B51" s="15" t="s">
        <v>65</v>
      </c>
      <c r="C51" s="68">
        <v>253</v>
      </c>
      <c r="D51" s="68">
        <v>256</v>
      </c>
      <c r="E51" s="68">
        <v>262</v>
      </c>
      <c r="F51" s="68">
        <v>252</v>
      </c>
      <c r="G51" s="68">
        <v>255</v>
      </c>
      <c r="H51" s="68">
        <v>241</v>
      </c>
      <c r="I51" s="68">
        <v>243</v>
      </c>
      <c r="J51" s="68">
        <v>304</v>
      </c>
      <c r="K51" s="68">
        <v>362</v>
      </c>
      <c r="L51" s="68">
        <v>421</v>
      </c>
      <c r="M51" s="68">
        <v>475</v>
      </c>
      <c r="N51" s="68">
        <v>546</v>
      </c>
      <c r="O51" s="68">
        <v>704</v>
      </c>
      <c r="P51" s="68">
        <v>725</v>
      </c>
      <c r="Q51" s="68">
        <v>711</v>
      </c>
      <c r="R51" s="68">
        <v>692</v>
      </c>
      <c r="S51" s="68">
        <v>742</v>
      </c>
      <c r="T51" s="68">
        <v>750</v>
      </c>
      <c r="U51" s="68">
        <v>758</v>
      </c>
      <c r="V51" s="68">
        <v>765</v>
      </c>
      <c r="W51" s="68">
        <v>754</v>
      </c>
      <c r="X51" s="68">
        <v>736</v>
      </c>
      <c r="Y51" s="68">
        <v>704</v>
      </c>
      <c r="Z51" s="68">
        <v>668</v>
      </c>
      <c r="AA51" s="68">
        <v>626</v>
      </c>
      <c r="AB51" s="68">
        <v>617</v>
      </c>
      <c r="AC51" s="68">
        <v>624</v>
      </c>
      <c r="AD51" s="68">
        <v>622</v>
      </c>
      <c r="AE51" s="153">
        <v>608</v>
      </c>
    </row>
    <row r="52" spans="1:32" ht="15" customHeight="1" x14ac:dyDescent="0.25">
      <c r="A52" s="161">
        <v>61</v>
      </c>
      <c r="B52" s="20" t="s">
        <v>66</v>
      </c>
      <c r="C52" s="73">
        <v>4</v>
      </c>
      <c r="D52" s="73">
        <v>4</v>
      </c>
      <c r="E52" s="73">
        <v>6</v>
      </c>
      <c r="F52" s="73">
        <v>4</v>
      </c>
      <c r="G52" s="73" t="s">
        <v>383</v>
      </c>
      <c r="H52" s="73">
        <v>4</v>
      </c>
      <c r="I52" s="73" t="s">
        <v>383</v>
      </c>
      <c r="J52" s="73">
        <v>4</v>
      </c>
      <c r="K52" s="73">
        <v>6</v>
      </c>
      <c r="L52" s="73">
        <v>6</v>
      </c>
      <c r="M52" s="73">
        <v>6</v>
      </c>
      <c r="N52" s="73">
        <v>5</v>
      </c>
      <c r="O52" s="73">
        <v>4</v>
      </c>
      <c r="P52" s="73">
        <v>5</v>
      </c>
      <c r="Q52" s="73">
        <v>4</v>
      </c>
      <c r="R52" s="73">
        <v>4</v>
      </c>
      <c r="S52" s="73">
        <v>7</v>
      </c>
      <c r="T52" s="73">
        <v>7</v>
      </c>
      <c r="U52" s="73">
        <v>5</v>
      </c>
      <c r="V52" s="73">
        <v>4</v>
      </c>
      <c r="W52" s="73">
        <v>4</v>
      </c>
      <c r="X52" s="73">
        <v>4</v>
      </c>
      <c r="Y52" s="73">
        <v>4</v>
      </c>
      <c r="Z52" s="73">
        <v>4</v>
      </c>
      <c r="AA52" s="73">
        <v>4</v>
      </c>
      <c r="AB52" s="73">
        <v>4</v>
      </c>
      <c r="AC52" s="73">
        <v>5</v>
      </c>
      <c r="AD52" s="73">
        <v>4</v>
      </c>
      <c r="AE52" s="162">
        <v>4</v>
      </c>
    </row>
    <row r="53" spans="1:32" ht="15" customHeight="1" x14ac:dyDescent="0.25">
      <c r="A53" s="152">
        <v>62</v>
      </c>
      <c r="B53" s="15" t="s">
        <v>67</v>
      </c>
      <c r="C53" s="68">
        <v>4</v>
      </c>
      <c r="D53" s="68">
        <v>6</v>
      </c>
      <c r="E53" s="68">
        <v>8</v>
      </c>
      <c r="F53" s="68">
        <v>8</v>
      </c>
      <c r="G53" s="68" t="s">
        <v>383</v>
      </c>
      <c r="H53" s="68">
        <v>8</v>
      </c>
      <c r="I53" s="68" t="s">
        <v>383</v>
      </c>
      <c r="J53" s="68">
        <v>8</v>
      </c>
      <c r="K53" s="68">
        <v>10</v>
      </c>
      <c r="L53" s="68">
        <v>11</v>
      </c>
      <c r="M53" s="68">
        <v>9</v>
      </c>
      <c r="N53" s="68">
        <v>8</v>
      </c>
      <c r="O53" s="68">
        <v>8</v>
      </c>
      <c r="P53" s="68">
        <v>8</v>
      </c>
      <c r="Q53" s="68">
        <v>7</v>
      </c>
      <c r="R53" s="68">
        <v>8</v>
      </c>
      <c r="S53" s="68">
        <v>7</v>
      </c>
      <c r="T53" s="68">
        <v>6</v>
      </c>
      <c r="U53" s="68">
        <v>9</v>
      </c>
      <c r="V53" s="68">
        <v>10</v>
      </c>
      <c r="W53" s="68">
        <v>9</v>
      </c>
      <c r="X53" s="68">
        <v>10</v>
      </c>
      <c r="Y53" s="68">
        <v>11</v>
      </c>
      <c r="Z53" s="68">
        <v>12</v>
      </c>
      <c r="AA53" s="68">
        <v>12</v>
      </c>
      <c r="AB53" s="68">
        <v>11</v>
      </c>
      <c r="AC53" s="68">
        <v>13</v>
      </c>
      <c r="AD53" s="68">
        <v>11</v>
      </c>
      <c r="AE53" s="153">
        <v>11</v>
      </c>
    </row>
    <row r="54" spans="1:32" ht="15" customHeight="1" x14ac:dyDescent="0.25">
      <c r="A54" s="163">
        <v>63</v>
      </c>
      <c r="B54" s="21" t="s">
        <v>68</v>
      </c>
      <c r="C54" s="74">
        <v>72</v>
      </c>
      <c r="D54" s="74">
        <v>83</v>
      </c>
      <c r="E54" s="74">
        <v>86</v>
      </c>
      <c r="F54" s="74">
        <v>86</v>
      </c>
      <c r="G54" s="74">
        <v>75</v>
      </c>
      <c r="H54" s="74">
        <v>78</v>
      </c>
      <c r="I54" s="74">
        <v>71</v>
      </c>
      <c r="J54" s="74">
        <v>82</v>
      </c>
      <c r="K54" s="74">
        <v>106</v>
      </c>
      <c r="L54" s="74">
        <v>126</v>
      </c>
      <c r="M54" s="74">
        <v>140</v>
      </c>
      <c r="N54" s="74">
        <v>146</v>
      </c>
      <c r="O54" s="74">
        <v>173</v>
      </c>
      <c r="P54" s="74">
        <v>177</v>
      </c>
      <c r="Q54" s="74">
        <v>188</v>
      </c>
      <c r="R54" s="74">
        <v>187</v>
      </c>
      <c r="S54" s="74">
        <v>193</v>
      </c>
      <c r="T54" s="74">
        <v>181</v>
      </c>
      <c r="U54" s="74">
        <v>179</v>
      </c>
      <c r="V54" s="74">
        <v>187</v>
      </c>
      <c r="W54" s="74">
        <v>190</v>
      </c>
      <c r="X54" s="74">
        <v>185</v>
      </c>
      <c r="Y54" s="74">
        <v>187</v>
      </c>
      <c r="Z54" s="74">
        <v>186</v>
      </c>
      <c r="AA54" s="74">
        <v>179</v>
      </c>
      <c r="AB54" s="74">
        <v>174</v>
      </c>
      <c r="AC54" s="74">
        <v>187</v>
      </c>
      <c r="AD54" s="74">
        <v>190</v>
      </c>
      <c r="AE54" s="164">
        <v>190</v>
      </c>
    </row>
    <row r="55" spans="1:32" ht="15" customHeight="1" thickBot="1" x14ac:dyDescent="0.3">
      <c r="A55" s="152">
        <v>64</v>
      </c>
      <c r="B55" s="15" t="s">
        <v>99</v>
      </c>
      <c r="C55" s="68">
        <v>39</v>
      </c>
      <c r="D55" s="68">
        <v>49</v>
      </c>
      <c r="E55" s="68">
        <v>57</v>
      </c>
      <c r="F55" s="68">
        <v>63</v>
      </c>
      <c r="G55" s="68">
        <v>69</v>
      </c>
      <c r="H55" s="68">
        <v>69</v>
      </c>
      <c r="I55" s="68">
        <v>59</v>
      </c>
      <c r="J55" s="68">
        <v>71</v>
      </c>
      <c r="K55" s="68">
        <v>76</v>
      </c>
      <c r="L55" s="68">
        <v>71</v>
      </c>
      <c r="M55" s="68">
        <v>70</v>
      </c>
      <c r="N55" s="68">
        <v>66</v>
      </c>
      <c r="O55" s="68">
        <v>64</v>
      </c>
      <c r="P55" s="68">
        <v>62</v>
      </c>
      <c r="Q55" s="68">
        <v>65</v>
      </c>
      <c r="R55" s="68">
        <v>64</v>
      </c>
      <c r="S55" s="68">
        <v>55</v>
      </c>
      <c r="T55" s="68">
        <v>59</v>
      </c>
      <c r="U55" s="68">
        <v>57</v>
      </c>
      <c r="V55" s="68">
        <v>59</v>
      </c>
      <c r="W55" s="68">
        <v>63</v>
      </c>
      <c r="X55" s="68">
        <v>65</v>
      </c>
      <c r="Y55" s="68">
        <v>61</v>
      </c>
      <c r="Z55" s="68">
        <v>57</v>
      </c>
      <c r="AA55" s="68">
        <v>60</v>
      </c>
      <c r="AB55" s="68">
        <v>67</v>
      </c>
      <c r="AC55" s="68">
        <v>62</v>
      </c>
      <c r="AD55" s="68">
        <v>60</v>
      </c>
      <c r="AE55" s="153">
        <v>59</v>
      </c>
    </row>
    <row r="56" spans="1:32" s="11" customFormat="1" ht="15" customHeight="1" thickBot="1" x14ac:dyDescent="0.3">
      <c r="A56" s="144" t="s">
        <v>70</v>
      </c>
      <c r="B56" s="9" t="s">
        <v>71</v>
      </c>
      <c r="C56" s="64">
        <v>97</v>
      </c>
      <c r="D56" s="64">
        <v>92</v>
      </c>
      <c r="E56" s="64">
        <v>102</v>
      </c>
      <c r="F56" s="64">
        <v>107</v>
      </c>
      <c r="G56" s="64">
        <v>108</v>
      </c>
      <c r="H56" s="64">
        <v>109</v>
      </c>
      <c r="I56" s="64">
        <v>97</v>
      </c>
      <c r="J56" s="64">
        <v>91</v>
      </c>
      <c r="K56" s="64">
        <v>113</v>
      </c>
      <c r="L56" s="64">
        <v>119</v>
      </c>
      <c r="M56" s="64">
        <v>137</v>
      </c>
      <c r="N56" s="64">
        <v>155</v>
      </c>
      <c r="O56" s="64">
        <v>154</v>
      </c>
      <c r="P56" s="64">
        <v>152</v>
      </c>
      <c r="Q56" s="64">
        <v>159</v>
      </c>
      <c r="R56" s="64">
        <v>167</v>
      </c>
      <c r="S56" s="64">
        <v>164</v>
      </c>
      <c r="T56" s="64">
        <v>173</v>
      </c>
      <c r="U56" s="64">
        <v>168</v>
      </c>
      <c r="V56" s="64">
        <v>183</v>
      </c>
      <c r="W56" s="64">
        <v>188</v>
      </c>
      <c r="X56" s="64">
        <v>198</v>
      </c>
      <c r="Y56" s="64">
        <v>196</v>
      </c>
      <c r="Z56" s="64">
        <v>185</v>
      </c>
      <c r="AA56" s="64">
        <v>179</v>
      </c>
      <c r="AB56" s="64">
        <v>181</v>
      </c>
      <c r="AC56" s="64">
        <v>183</v>
      </c>
      <c r="AD56" s="64">
        <v>180</v>
      </c>
      <c r="AE56" s="145">
        <v>173</v>
      </c>
      <c r="AF56" s="10"/>
    </row>
    <row r="57" spans="1:32" ht="15" customHeight="1" x14ac:dyDescent="0.25">
      <c r="A57" s="152">
        <v>65</v>
      </c>
      <c r="B57" s="15" t="s">
        <v>72</v>
      </c>
      <c r="C57" s="68">
        <v>38</v>
      </c>
      <c r="D57" s="68">
        <v>35</v>
      </c>
      <c r="E57" s="68">
        <v>38</v>
      </c>
      <c r="F57" s="68">
        <v>38</v>
      </c>
      <c r="G57" s="68">
        <v>35</v>
      </c>
      <c r="H57" s="68">
        <v>35</v>
      </c>
      <c r="I57" s="68">
        <v>30</v>
      </c>
      <c r="J57" s="68">
        <v>27</v>
      </c>
      <c r="K57" s="68">
        <v>31</v>
      </c>
      <c r="L57" s="68">
        <v>36</v>
      </c>
      <c r="M57" s="68">
        <v>42</v>
      </c>
      <c r="N57" s="68">
        <v>45</v>
      </c>
      <c r="O57" s="68">
        <v>45</v>
      </c>
      <c r="P57" s="68">
        <v>48</v>
      </c>
      <c r="Q57" s="68">
        <v>51</v>
      </c>
      <c r="R57" s="68">
        <v>54</v>
      </c>
      <c r="S57" s="68">
        <v>49</v>
      </c>
      <c r="T57" s="68">
        <v>51</v>
      </c>
      <c r="U57" s="68">
        <v>53</v>
      </c>
      <c r="V57" s="68">
        <v>55</v>
      </c>
      <c r="W57" s="68">
        <v>54</v>
      </c>
      <c r="X57" s="68">
        <v>55</v>
      </c>
      <c r="Y57" s="68">
        <v>55</v>
      </c>
      <c r="Z57" s="68">
        <v>51</v>
      </c>
      <c r="AA57" s="68">
        <v>47</v>
      </c>
      <c r="AB57" s="68">
        <v>46</v>
      </c>
      <c r="AC57" s="68">
        <v>44</v>
      </c>
      <c r="AD57" s="68">
        <v>41</v>
      </c>
      <c r="AE57" s="153">
        <v>40</v>
      </c>
    </row>
    <row r="58" spans="1:32" ht="15" customHeight="1" x14ac:dyDescent="0.25">
      <c r="A58" s="156">
        <v>66</v>
      </c>
      <c r="B58" s="17" t="s">
        <v>100</v>
      </c>
      <c r="C58" s="70">
        <v>33</v>
      </c>
      <c r="D58" s="70">
        <v>37</v>
      </c>
      <c r="E58" s="70">
        <v>42</v>
      </c>
      <c r="F58" s="70">
        <v>49</v>
      </c>
      <c r="G58" s="70">
        <v>52</v>
      </c>
      <c r="H58" s="70">
        <v>50</v>
      </c>
      <c r="I58" s="70">
        <v>45</v>
      </c>
      <c r="J58" s="70">
        <v>42</v>
      </c>
      <c r="K58" s="70">
        <v>46</v>
      </c>
      <c r="L58" s="70">
        <v>48</v>
      </c>
      <c r="M58" s="70">
        <v>50</v>
      </c>
      <c r="N58" s="70">
        <v>53</v>
      </c>
      <c r="O58" s="70">
        <v>45</v>
      </c>
      <c r="P58" s="70">
        <v>41</v>
      </c>
      <c r="Q58" s="70">
        <v>42</v>
      </c>
      <c r="R58" s="70">
        <v>41</v>
      </c>
      <c r="S58" s="70">
        <v>40</v>
      </c>
      <c r="T58" s="70">
        <v>40</v>
      </c>
      <c r="U58" s="70">
        <v>33</v>
      </c>
      <c r="V58" s="70">
        <v>38</v>
      </c>
      <c r="W58" s="70">
        <v>43</v>
      </c>
      <c r="X58" s="70">
        <v>44</v>
      </c>
      <c r="Y58" s="70">
        <v>42</v>
      </c>
      <c r="Z58" s="70">
        <v>39</v>
      </c>
      <c r="AA58" s="70">
        <v>42</v>
      </c>
      <c r="AB58" s="70">
        <v>44</v>
      </c>
      <c r="AC58" s="70">
        <v>47</v>
      </c>
      <c r="AD58" s="70">
        <v>47</v>
      </c>
      <c r="AE58" s="157">
        <v>48</v>
      </c>
    </row>
    <row r="59" spans="1:32" ht="15" customHeight="1" thickBot="1" x14ac:dyDescent="0.3">
      <c r="A59" s="152">
        <v>67</v>
      </c>
      <c r="B59" s="15" t="s">
        <v>74</v>
      </c>
      <c r="C59" s="68">
        <v>26</v>
      </c>
      <c r="D59" s="68">
        <v>20</v>
      </c>
      <c r="E59" s="68">
        <v>22</v>
      </c>
      <c r="F59" s="68">
        <v>20</v>
      </c>
      <c r="G59" s="68">
        <v>21</v>
      </c>
      <c r="H59" s="68">
        <v>24</v>
      </c>
      <c r="I59" s="68">
        <v>22</v>
      </c>
      <c r="J59" s="68">
        <v>22</v>
      </c>
      <c r="K59" s="68">
        <v>36</v>
      </c>
      <c r="L59" s="68">
        <v>35</v>
      </c>
      <c r="M59" s="68">
        <v>45</v>
      </c>
      <c r="N59" s="68">
        <v>57</v>
      </c>
      <c r="O59" s="68">
        <v>64</v>
      </c>
      <c r="P59" s="68">
        <v>63</v>
      </c>
      <c r="Q59" s="68">
        <v>66</v>
      </c>
      <c r="R59" s="68">
        <v>72</v>
      </c>
      <c r="S59" s="68">
        <v>75</v>
      </c>
      <c r="T59" s="68">
        <v>82</v>
      </c>
      <c r="U59" s="68">
        <v>82</v>
      </c>
      <c r="V59" s="68">
        <v>90</v>
      </c>
      <c r="W59" s="68">
        <v>91</v>
      </c>
      <c r="X59" s="68">
        <v>99</v>
      </c>
      <c r="Y59" s="68">
        <v>99</v>
      </c>
      <c r="Z59" s="68">
        <v>95</v>
      </c>
      <c r="AA59" s="68">
        <v>90</v>
      </c>
      <c r="AB59" s="68">
        <v>91</v>
      </c>
      <c r="AC59" s="68">
        <v>92</v>
      </c>
      <c r="AD59" s="68">
        <v>92</v>
      </c>
      <c r="AE59" s="153">
        <v>85</v>
      </c>
    </row>
    <row r="60" spans="1:32" s="11" customFormat="1" ht="15" customHeight="1" thickBot="1" x14ac:dyDescent="0.3">
      <c r="A60" s="144" t="s">
        <v>75</v>
      </c>
      <c r="B60" s="9" t="s">
        <v>76</v>
      </c>
      <c r="C60" s="64">
        <v>1481</v>
      </c>
      <c r="D60" s="64">
        <v>1522</v>
      </c>
      <c r="E60" s="64">
        <v>1517</v>
      </c>
      <c r="F60" s="64">
        <v>1554</v>
      </c>
      <c r="G60" s="64">
        <v>1524</v>
      </c>
      <c r="H60" s="64">
        <v>1456</v>
      </c>
      <c r="I60" s="64">
        <v>1406</v>
      </c>
      <c r="J60" s="64">
        <v>1512</v>
      </c>
      <c r="K60" s="64">
        <v>1787</v>
      </c>
      <c r="L60" s="64">
        <v>1908</v>
      </c>
      <c r="M60" s="64">
        <v>1979</v>
      </c>
      <c r="N60" s="64">
        <v>2024</v>
      </c>
      <c r="O60" s="64">
        <v>2050</v>
      </c>
      <c r="P60" s="64">
        <v>2028</v>
      </c>
      <c r="Q60" s="64">
        <v>2000</v>
      </c>
      <c r="R60" s="64">
        <v>2006</v>
      </c>
      <c r="S60" s="64">
        <v>1922</v>
      </c>
      <c r="T60" s="64">
        <v>1860</v>
      </c>
      <c r="U60" s="64">
        <v>1811</v>
      </c>
      <c r="V60" s="64">
        <v>1788</v>
      </c>
      <c r="W60" s="64">
        <v>1766</v>
      </c>
      <c r="X60" s="64">
        <v>1713</v>
      </c>
      <c r="Y60" s="64">
        <v>1625</v>
      </c>
      <c r="Z60" s="64">
        <v>1541</v>
      </c>
      <c r="AA60" s="64">
        <v>1491</v>
      </c>
      <c r="AB60" s="64">
        <v>1458</v>
      </c>
      <c r="AC60" s="64">
        <v>1473</v>
      </c>
      <c r="AD60" s="64">
        <v>1432</v>
      </c>
      <c r="AE60" s="145">
        <v>1352</v>
      </c>
      <c r="AF60" s="10"/>
    </row>
    <row r="61" spans="1:32" ht="15" customHeight="1" x14ac:dyDescent="0.25">
      <c r="A61" s="146">
        <v>70</v>
      </c>
      <c r="B61" s="12" t="s">
        <v>77</v>
      </c>
      <c r="C61" s="65">
        <v>799</v>
      </c>
      <c r="D61" s="65">
        <v>807</v>
      </c>
      <c r="E61" s="65">
        <v>780</v>
      </c>
      <c r="F61" s="65">
        <v>794</v>
      </c>
      <c r="G61" s="65">
        <v>774</v>
      </c>
      <c r="H61" s="65">
        <v>731</v>
      </c>
      <c r="I61" s="65">
        <v>709</v>
      </c>
      <c r="J61" s="65">
        <v>743</v>
      </c>
      <c r="K61" s="65">
        <v>857</v>
      </c>
      <c r="L61" s="65">
        <v>914</v>
      </c>
      <c r="M61" s="65">
        <v>927</v>
      </c>
      <c r="N61" s="65">
        <v>942</v>
      </c>
      <c r="O61" s="65">
        <v>936</v>
      </c>
      <c r="P61" s="65">
        <v>935</v>
      </c>
      <c r="Q61" s="65">
        <v>898</v>
      </c>
      <c r="R61" s="65">
        <v>868</v>
      </c>
      <c r="S61" s="65">
        <v>809</v>
      </c>
      <c r="T61" s="65">
        <v>750</v>
      </c>
      <c r="U61" s="65">
        <v>702</v>
      </c>
      <c r="V61" s="65">
        <v>659</v>
      </c>
      <c r="W61" s="65">
        <v>639</v>
      </c>
      <c r="X61" s="65">
        <v>597</v>
      </c>
      <c r="Y61" s="65">
        <v>556</v>
      </c>
      <c r="Z61" s="65">
        <v>510</v>
      </c>
      <c r="AA61" s="65">
        <v>482</v>
      </c>
      <c r="AB61" s="65">
        <v>432</v>
      </c>
      <c r="AC61" s="65">
        <v>406</v>
      </c>
      <c r="AD61" s="65">
        <v>373</v>
      </c>
      <c r="AE61" s="147">
        <v>340</v>
      </c>
    </row>
    <row r="62" spans="1:32" ht="15" customHeight="1" x14ac:dyDescent="0.25">
      <c r="A62" s="156">
        <v>71</v>
      </c>
      <c r="B62" s="17" t="s">
        <v>78</v>
      </c>
      <c r="C62" s="70">
        <v>34</v>
      </c>
      <c r="D62" s="70">
        <v>31</v>
      </c>
      <c r="E62" s="70">
        <v>30</v>
      </c>
      <c r="F62" s="70">
        <v>29</v>
      </c>
      <c r="G62" s="70">
        <v>31</v>
      </c>
      <c r="H62" s="70">
        <v>27</v>
      </c>
      <c r="I62" s="70">
        <v>24</v>
      </c>
      <c r="J62" s="70">
        <v>30</v>
      </c>
      <c r="K62" s="70">
        <v>46</v>
      </c>
      <c r="L62" s="70">
        <v>52</v>
      </c>
      <c r="M62" s="70">
        <v>55</v>
      </c>
      <c r="N62" s="70">
        <v>71</v>
      </c>
      <c r="O62" s="70">
        <v>69</v>
      </c>
      <c r="P62" s="70">
        <v>56</v>
      </c>
      <c r="Q62" s="70">
        <v>61</v>
      </c>
      <c r="R62" s="70">
        <v>64</v>
      </c>
      <c r="S62" s="70">
        <v>66</v>
      </c>
      <c r="T62" s="70">
        <v>79</v>
      </c>
      <c r="U62" s="70">
        <v>88</v>
      </c>
      <c r="V62" s="70">
        <v>91</v>
      </c>
      <c r="W62" s="70">
        <v>96</v>
      </c>
      <c r="X62" s="70">
        <v>102</v>
      </c>
      <c r="Y62" s="70">
        <v>93</v>
      </c>
      <c r="Z62" s="70">
        <v>90</v>
      </c>
      <c r="AA62" s="70">
        <v>88</v>
      </c>
      <c r="AB62" s="70">
        <v>100</v>
      </c>
      <c r="AC62" s="70">
        <v>108</v>
      </c>
      <c r="AD62" s="70">
        <v>125</v>
      </c>
      <c r="AE62" s="157">
        <v>121</v>
      </c>
    </row>
    <row r="63" spans="1:32" ht="15" customHeight="1" x14ac:dyDescent="0.25">
      <c r="A63" s="156">
        <v>72</v>
      </c>
      <c r="B63" s="17" t="s">
        <v>79</v>
      </c>
      <c r="C63" s="70">
        <v>11</v>
      </c>
      <c r="D63" s="70" t="s">
        <v>383</v>
      </c>
      <c r="E63" s="70">
        <v>13</v>
      </c>
      <c r="F63" s="70">
        <v>17</v>
      </c>
      <c r="G63" s="70">
        <v>17</v>
      </c>
      <c r="H63" s="70">
        <v>20</v>
      </c>
      <c r="I63" s="70">
        <v>19</v>
      </c>
      <c r="J63" s="70">
        <v>20</v>
      </c>
      <c r="K63" s="70">
        <v>26</v>
      </c>
      <c r="L63" s="70">
        <v>28</v>
      </c>
      <c r="M63" s="70">
        <v>33</v>
      </c>
      <c r="N63" s="70">
        <v>36</v>
      </c>
      <c r="O63" s="70">
        <v>34</v>
      </c>
      <c r="P63" s="70">
        <v>35</v>
      </c>
      <c r="Q63" s="70">
        <v>36</v>
      </c>
      <c r="R63" s="70">
        <v>43</v>
      </c>
      <c r="S63" s="70">
        <v>40</v>
      </c>
      <c r="T63" s="70">
        <v>42</v>
      </c>
      <c r="U63" s="70">
        <v>39</v>
      </c>
      <c r="V63" s="70">
        <v>39</v>
      </c>
      <c r="W63" s="70">
        <v>47</v>
      </c>
      <c r="X63" s="70">
        <v>45</v>
      </c>
      <c r="Y63" s="70">
        <v>41</v>
      </c>
      <c r="Z63" s="70">
        <v>48</v>
      </c>
      <c r="AA63" s="70">
        <v>52</v>
      </c>
      <c r="AB63" s="70">
        <v>60</v>
      </c>
      <c r="AC63" s="70">
        <v>66</v>
      </c>
      <c r="AD63" s="70">
        <v>68</v>
      </c>
      <c r="AE63" s="157">
        <v>64</v>
      </c>
    </row>
    <row r="64" spans="1:32" ht="15" customHeight="1" x14ac:dyDescent="0.25">
      <c r="A64" s="156">
        <v>73</v>
      </c>
      <c r="B64" s="17" t="s">
        <v>80</v>
      </c>
      <c r="C64" s="70" t="s">
        <v>383</v>
      </c>
      <c r="D64" s="70">
        <v>12</v>
      </c>
      <c r="E64" s="70">
        <v>10</v>
      </c>
      <c r="F64" s="70">
        <v>10</v>
      </c>
      <c r="G64" s="70">
        <v>7</v>
      </c>
      <c r="H64" s="70">
        <v>7</v>
      </c>
      <c r="I64" s="70">
        <v>9</v>
      </c>
      <c r="J64" s="70">
        <v>11</v>
      </c>
      <c r="K64" s="70">
        <v>13</v>
      </c>
      <c r="L64" s="70">
        <v>11</v>
      </c>
      <c r="M64" s="70">
        <v>11</v>
      </c>
      <c r="N64" s="70">
        <v>13</v>
      </c>
      <c r="O64" s="70">
        <v>12</v>
      </c>
      <c r="P64" s="70">
        <v>14</v>
      </c>
      <c r="Q64" s="70">
        <v>13</v>
      </c>
      <c r="R64" s="70">
        <v>13</v>
      </c>
      <c r="S64" s="70">
        <v>14</v>
      </c>
      <c r="T64" s="70">
        <v>15</v>
      </c>
      <c r="U64" s="70">
        <v>13</v>
      </c>
      <c r="V64" s="70">
        <v>12</v>
      </c>
      <c r="W64" s="70">
        <v>15</v>
      </c>
      <c r="X64" s="70">
        <v>11</v>
      </c>
      <c r="Y64" s="70">
        <v>8</v>
      </c>
      <c r="Z64" s="70">
        <v>8</v>
      </c>
      <c r="AA64" s="70">
        <v>10</v>
      </c>
      <c r="AB64" s="70">
        <v>12</v>
      </c>
      <c r="AC64" s="70">
        <v>12</v>
      </c>
      <c r="AD64" s="70">
        <v>12</v>
      </c>
      <c r="AE64" s="157">
        <v>11</v>
      </c>
    </row>
    <row r="65" spans="1:32" ht="15" customHeight="1" x14ac:dyDescent="0.25">
      <c r="A65" s="156">
        <v>74</v>
      </c>
      <c r="B65" s="17" t="s">
        <v>81</v>
      </c>
      <c r="C65" s="70">
        <v>625</v>
      </c>
      <c r="D65" s="70">
        <v>655</v>
      </c>
      <c r="E65" s="70">
        <v>679</v>
      </c>
      <c r="F65" s="70">
        <v>697</v>
      </c>
      <c r="G65" s="70">
        <v>686</v>
      </c>
      <c r="H65" s="70">
        <v>662</v>
      </c>
      <c r="I65" s="70">
        <v>633</v>
      </c>
      <c r="J65" s="70">
        <v>698</v>
      </c>
      <c r="K65" s="70">
        <v>834</v>
      </c>
      <c r="L65" s="70">
        <v>893</v>
      </c>
      <c r="M65" s="70">
        <v>945</v>
      </c>
      <c r="N65" s="70">
        <v>954</v>
      </c>
      <c r="O65" s="70">
        <v>990</v>
      </c>
      <c r="P65" s="70">
        <v>972</v>
      </c>
      <c r="Q65" s="70">
        <v>979</v>
      </c>
      <c r="R65" s="70">
        <v>1005</v>
      </c>
      <c r="S65" s="70">
        <v>980</v>
      </c>
      <c r="T65" s="70">
        <v>961</v>
      </c>
      <c r="U65" s="70">
        <v>958</v>
      </c>
      <c r="V65" s="70">
        <v>977</v>
      </c>
      <c r="W65" s="70">
        <v>960</v>
      </c>
      <c r="X65" s="70">
        <v>949</v>
      </c>
      <c r="Y65" s="70">
        <v>918</v>
      </c>
      <c r="Z65" s="70">
        <v>877</v>
      </c>
      <c r="AA65" s="70">
        <v>852</v>
      </c>
      <c r="AB65" s="70">
        <v>847</v>
      </c>
      <c r="AC65" s="70">
        <v>875</v>
      </c>
      <c r="AD65" s="70">
        <v>847</v>
      </c>
      <c r="AE65" s="157">
        <v>810</v>
      </c>
    </row>
    <row r="66" spans="1:32" ht="15" customHeight="1" thickBot="1" x14ac:dyDescent="0.3">
      <c r="A66" s="158">
        <v>75</v>
      </c>
      <c r="B66" s="18" t="s">
        <v>185</v>
      </c>
      <c r="C66" s="71" t="s">
        <v>383</v>
      </c>
      <c r="D66" s="71" t="s">
        <v>383</v>
      </c>
      <c r="E66" s="71">
        <v>5</v>
      </c>
      <c r="F66" s="71">
        <v>7</v>
      </c>
      <c r="G66" s="71">
        <v>9</v>
      </c>
      <c r="H66" s="71">
        <v>9</v>
      </c>
      <c r="I66" s="71">
        <v>12</v>
      </c>
      <c r="J66" s="71">
        <v>10</v>
      </c>
      <c r="K66" s="71">
        <v>11</v>
      </c>
      <c r="L66" s="71">
        <v>10</v>
      </c>
      <c r="M66" s="71">
        <v>8</v>
      </c>
      <c r="N66" s="71">
        <v>8</v>
      </c>
      <c r="O66" s="71">
        <v>9</v>
      </c>
      <c r="P66" s="71">
        <v>16</v>
      </c>
      <c r="Q66" s="71">
        <v>13</v>
      </c>
      <c r="R66" s="71">
        <v>13</v>
      </c>
      <c r="S66" s="71">
        <v>13</v>
      </c>
      <c r="T66" s="71">
        <v>13</v>
      </c>
      <c r="U66" s="71">
        <v>11</v>
      </c>
      <c r="V66" s="71">
        <v>10</v>
      </c>
      <c r="W66" s="71">
        <v>9</v>
      </c>
      <c r="X66" s="71">
        <v>9</v>
      </c>
      <c r="Y66" s="71">
        <v>9</v>
      </c>
      <c r="Z66" s="71">
        <v>8</v>
      </c>
      <c r="AA66" s="71">
        <v>7</v>
      </c>
      <c r="AB66" s="71">
        <v>7</v>
      </c>
      <c r="AC66" s="71">
        <v>6</v>
      </c>
      <c r="AD66" s="71">
        <v>7</v>
      </c>
      <c r="AE66" s="159">
        <v>6</v>
      </c>
    </row>
    <row r="67" spans="1:32" s="11" customFormat="1" ht="15" customHeight="1" thickBot="1" x14ac:dyDescent="0.3">
      <c r="A67" s="160" t="s">
        <v>83</v>
      </c>
      <c r="B67" s="19" t="s">
        <v>84</v>
      </c>
      <c r="C67" s="64">
        <v>113</v>
      </c>
      <c r="D67" s="64">
        <v>110</v>
      </c>
      <c r="E67" s="64">
        <v>113</v>
      </c>
      <c r="F67" s="64">
        <v>120</v>
      </c>
      <c r="G67" s="64">
        <v>125</v>
      </c>
      <c r="H67" s="64">
        <v>121</v>
      </c>
      <c r="I67" s="64">
        <v>116</v>
      </c>
      <c r="J67" s="64">
        <v>120</v>
      </c>
      <c r="K67" s="64">
        <v>139</v>
      </c>
      <c r="L67" s="64">
        <v>147</v>
      </c>
      <c r="M67" s="64">
        <v>145</v>
      </c>
      <c r="N67" s="64">
        <v>152</v>
      </c>
      <c r="O67" s="64">
        <v>166</v>
      </c>
      <c r="P67" s="64">
        <v>168</v>
      </c>
      <c r="Q67" s="64">
        <v>158</v>
      </c>
      <c r="R67" s="64">
        <v>162</v>
      </c>
      <c r="S67" s="64">
        <v>167</v>
      </c>
      <c r="T67" s="64">
        <v>176</v>
      </c>
      <c r="U67" s="64">
        <v>172</v>
      </c>
      <c r="V67" s="64">
        <v>180</v>
      </c>
      <c r="W67" s="64">
        <v>186</v>
      </c>
      <c r="X67" s="64">
        <v>184</v>
      </c>
      <c r="Y67" s="64">
        <v>180</v>
      </c>
      <c r="Z67" s="64">
        <v>178</v>
      </c>
      <c r="AA67" s="64">
        <v>163</v>
      </c>
      <c r="AB67" s="64">
        <v>167</v>
      </c>
      <c r="AC67" s="64">
        <v>170</v>
      </c>
      <c r="AD67" s="64">
        <v>176</v>
      </c>
      <c r="AE67" s="145">
        <v>169</v>
      </c>
      <c r="AF67" s="10"/>
    </row>
    <row r="68" spans="1:32" ht="15" customHeight="1" thickBot="1" x14ac:dyDescent="0.3">
      <c r="A68" s="150">
        <v>80</v>
      </c>
      <c r="B68" s="14" t="s">
        <v>85</v>
      </c>
      <c r="C68" s="70">
        <v>113</v>
      </c>
      <c r="D68" s="67">
        <v>110</v>
      </c>
      <c r="E68" s="67">
        <v>113</v>
      </c>
      <c r="F68" s="67">
        <v>120</v>
      </c>
      <c r="G68" s="67">
        <v>125</v>
      </c>
      <c r="H68" s="67">
        <v>121</v>
      </c>
      <c r="I68" s="67">
        <v>116</v>
      </c>
      <c r="J68" s="67">
        <v>120</v>
      </c>
      <c r="K68" s="67">
        <v>139</v>
      </c>
      <c r="L68" s="67">
        <v>147</v>
      </c>
      <c r="M68" s="67">
        <v>145</v>
      </c>
      <c r="N68" s="67">
        <v>152</v>
      </c>
      <c r="O68" s="67">
        <v>166</v>
      </c>
      <c r="P68" s="67">
        <v>168</v>
      </c>
      <c r="Q68" s="67">
        <v>158</v>
      </c>
      <c r="R68" s="67">
        <v>162</v>
      </c>
      <c r="S68" s="67">
        <v>167</v>
      </c>
      <c r="T68" s="67">
        <v>176</v>
      </c>
      <c r="U68" s="67">
        <v>172</v>
      </c>
      <c r="V68" s="67">
        <v>180</v>
      </c>
      <c r="W68" s="67">
        <v>186</v>
      </c>
      <c r="X68" s="67">
        <v>184</v>
      </c>
      <c r="Y68" s="67">
        <v>180</v>
      </c>
      <c r="Z68" s="67">
        <v>178</v>
      </c>
      <c r="AA68" s="67">
        <v>163</v>
      </c>
      <c r="AB68" s="67">
        <v>167</v>
      </c>
      <c r="AC68" s="67">
        <v>170</v>
      </c>
      <c r="AD68" s="67">
        <v>176</v>
      </c>
      <c r="AE68" s="151">
        <v>169</v>
      </c>
    </row>
    <row r="69" spans="1:32" s="11" customFormat="1" ht="15" customHeight="1" thickBot="1" x14ac:dyDescent="0.3">
      <c r="A69" s="144" t="s">
        <v>86</v>
      </c>
      <c r="B69" s="9" t="s">
        <v>87</v>
      </c>
      <c r="C69" s="64">
        <v>278</v>
      </c>
      <c r="D69" s="64">
        <v>268</v>
      </c>
      <c r="E69" s="64">
        <v>271</v>
      </c>
      <c r="F69" s="64">
        <v>274</v>
      </c>
      <c r="G69" s="64">
        <v>267</v>
      </c>
      <c r="H69" s="64">
        <v>272</v>
      </c>
      <c r="I69" s="64">
        <v>264</v>
      </c>
      <c r="J69" s="64">
        <v>274</v>
      </c>
      <c r="K69" s="64">
        <v>306</v>
      </c>
      <c r="L69" s="64">
        <v>347</v>
      </c>
      <c r="M69" s="64">
        <v>358</v>
      </c>
      <c r="N69" s="64">
        <v>380</v>
      </c>
      <c r="O69" s="64">
        <v>421</v>
      </c>
      <c r="P69" s="64">
        <v>448</v>
      </c>
      <c r="Q69" s="64">
        <v>447</v>
      </c>
      <c r="R69" s="64">
        <v>486</v>
      </c>
      <c r="S69" s="64">
        <v>495</v>
      </c>
      <c r="T69" s="64">
        <v>506</v>
      </c>
      <c r="U69" s="64">
        <v>519</v>
      </c>
      <c r="V69" s="64">
        <v>528</v>
      </c>
      <c r="W69" s="64">
        <v>542</v>
      </c>
      <c r="X69" s="64">
        <v>547</v>
      </c>
      <c r="Y69" s="64">
        <v>538</v>
      </c>
      <c r="Z69" s="64">
        <v>520</v>
      </c>
      <c r="AA69" s="64">
        <v>509</v>
      </c>
      <c r="AB69" s="64">
        <v>519</v>
      </c>
      <c r="AC69" s="64">
        <v>547</v>
      </c>
      <c r="AD69" s="64">
        <v>538</v>
      </c>
      <c r="AE69" s="145">
        <v>517</v>
      </c>
      <c r="AF69" s="10"/>
    </row>
    <row r="70" spans="1:32" ht="15" customHeight="1" thickBot="1" x14ac:dyDescent="0.3">
      <c r="A70" s="150">
        <v>85</v>
      </c>
      <c r="B70" s="14" t="s">
        <v>88</v>
      </c>
      <c r="C70" s="67">
        <v>278</v>
      </c>
      <c r="D70" s="67">
        <v>268</v>
      </c>
      <c r="E70" s="67">
        <v>271</v>
      </c>
      <c r="F70" s="67">
        <v>274</v>
      </c>
      <c r="G70" s="67">
        <v>267</v>
      </c>
      <c r="H70" s="67">
        <v>272</v>
      </c>
      <c r="I70" s="67">
        <v>264</v>
      </c>
      <c r="J70" s="67">
        <v>274</v>
      </c>
      <c r="K70" s="67">
        <v>306</v>
      </c>
      <c r="L70" s="67">
        <v>347</v>
      </c>
      <c r="M70" s="67">
        <v>358</v>
      </c>
      <c r="N70" s="67">
        <v>380</v>
      </c>
      <c r="O70" s="67">
        <v>421</v>
      </c>
      <c r="P70" s="67">
        <v>448</v>
      </c>
      <c r="Q70" s="67">
        <v>447</v>
      </c>
      <c r="R70" s="67">
        <v>486</v>
      </c>
      <c r="S70" s="67">
        <v>495</v>
      </c>
      <c r="T70" s="67">
        <v>506</v>
      </c>
      <c r="U70" s="67">
        <v>519</v>
      </c>
      <c r="V70" s="67">
        <v>528</v>
      </c>
      <c r="W70" s="67">
        <v>542</v>
      </c>
      <c r="X70" s="67">
        <v>547</v>
      </c>
      <c r="Y70" s="67">
        <v>538</v>
      </c>
      <c r="Z70" s="67">
        <v>520</v>
      </c>
      <c r="AA70" s="67">
        <v>509</v>
      </c>
      <c r="AB70" s="67">
        <v>519</v>
      </c>
      <c r="AC70" s="67">
        <v>547</v>
      </c>
      <c r="AD70" s="67">
        <v>538</v>
      </c>
      <c r="AE70" s="151">
        <v>517</v>
      </c>
    </row>
    <row r="71" spans="1:32" s="11" customFormat="1" ht="15" customHeight="1" thickBot="1" x14ac:dyDescent="0.3">
      <c r="A71" s="144" t="s">
        <v>89</v>
      </c>
      <c r="B71" s="9" t="s">
        <v>90</v>
      </c>
      <c r="C71" s="64">
        <v>675</v>
      </c>
      <c r="D71" s="64">
        <v>683</v>
      </c>
      <c r="E71" s="64">
        <v>694</v>
      </c>
      <c r="F71" s="64">
        <v>685</v>
      </c>
      <c r="G71" s="64">
        <v>659</v>
      </c>
      <c r="H71" s="64">
        <v>654</v>
      </c>
      <c r="I71" s="64">
        <v>628</v>
      </c>
      <c r="J71" s="64">
        <v>683</v>
      </c>
      <c r="K71" s="64">
        <v>856</v>
      </c>
      <c r="L71" s="64">
        <v>939</v>
      </c>
      <c r="M71" s="64">
        <v>963</v>
      </c>
      <c r="N71" s="64">
        <v>950</v>
      </c>
      <c r="O71" s="64">
        <v>936</v>
      </c>
      <c r="P71" s="64">
        <v>950</v>
      </c>
      <c r="Q71" s="64">
        <v>948</v>
      </c>
      <c r="R71" s="64">
        <v>938</v>
      </c>
      <c r="S71" s="64">
        <v>921</v>
      </c>
      <c r="T71" s="64">
        <v>911</v>
      </c>
      <c r="U71" s="64">
        <v>925</v>
      </c>
      <c r="V71" s="64">
        <v>920</v>
      </c>
      <c r="W71" s="64">
        <v>904</v>
      </c>
      <c r="X71" s="64">
        <v>881</v>
      </c>
      <c r="Y71" s="64">
        <v>850</v>
      </c>
      <c r="Z71" s="64">
        <v>818</v>
      </c>
      <c r="AA71" s="64">
        <v>758</v>
      </c>
      <c r="AB71" s="64">
        <v>767</v>
      </c>
      <c r="AC71" s="64">
        <v>766</v>
      </c>
      <c r="AD71" s="64">
        <v>746</v>
      </c>
      <c r="AE71" s="145">
        <v>708</v>
      </c>
      <c r="AF71" s="10"/>
    </row>
    <row r="72" spans="1:32" ht="15" customHeight="1" x14ac:dyDescent="0.25">
      <c r="A72" s="146">
        <v>90</v>
      </c>
      <c r="B72" s="12" t="s">
        <v>91</v>
      </c>
      <c r="C72" s="65">
        <v>13</v>
      </c>
      <c r="D72" s="65">
        <v>13</v>
      </c>
      <c r="E72" s="65">
        <v>13</v>
      </c>
      <c r="F72" s="65">
        <v>13</v>
      </c>
      <c r="G72" s="65">
        <v>10</v>
      </c>
      <c r="H72" s="65">
        <v>9</v>
      </c>
      <c r="I72" s="65">
        <v>7</v>
      </c>
      <c r="J72" s="65">
        <v>8</v>
      </c>
      <c r="K72" s="65">
        <v>8</v>
      </c>
      <c r="L72" s="65">
        <v>8</v>
      </c>
      <c r="M72" s="65">
        <v>8</v>
      </c>
      <c r="N72" s="65">
        <v>9</v>
      </c>
      <c r="O72" s="65">
        <v>9</v>
      </c>
      <c r="P72" s="65">
        <v>11</v>
      </c>
      <c r="Q72" s="65">
        <v>11</v>
      </c>
      <c r="R72" s="65">
        <v>11</v>
      </c>
      <c r="S72" s="65">
        <v>10</v>
      </c>
      <c r="T72" s="65">
        <v>10</v>
      </c>
      <c r="U72" s="65">
        <v>12</v>
      </c>
      <c r="V72" s="65">
        <v>12</v>
      </c>
      <c r="W72" s="65">
        <v>12</v>
      </c>
      <c r="X72" s="65">
        <v>10</v>
      </c>
      <c r="Y72" s="65">
        <v>10</v>
      </c>
      <c r="Z72" s="65">
        <v>8</v>
      </c>
      <c r="AA72" s="65">
        <v>11</v>
      </c>
      <c r="AB72" s="65">
        <v>10</v>
      </c>
      <c r="AC72" s="65">
        <v>8</v>
      </c>
      <c r="AD72" s="65">
        <v>11</v>
      </c>
      <c r="AE72" s="147">
        <v>8</v>
      </c>
    </row>
    <row r="73" spans="1:32" ht="15" customHeight="1" x14ac:dyDescent="0.25">
      <c r="A73" s="156">
        <v>91</v>
      </c>
      <c r="B73" s="17" t="s">
        <v>92</v>
      </c>
      <c r="C73" s="70">
        <v>234</v>
      </c>
      <c r="D73" s="70">
        <v>241</v>
      </c>
      <c r="E73" s="70">
        <v>237</v>
      </c>
      <c r="F73" s="70">
        <v>242</v>
      </c>
      <c r="G73" s="70">
        <v>241</v>
      </c>
      <c r="H73" s="70">
        <v>252</v>
      </c>
      <c r="I73" s="70">
        <v>248</v>
      </c>
      <c r="J73" s="70">
        <v>265</v>
      </c>
      <c r="K73" s="70">
        <v>277</v>
      </c>
      <c r="L73" s="70">
        <v>294</v>
      </c>
      <c r="M73" s="70">
        <v>306</v>
      </c>
      <c r="N73" s="70">
        <v>316</v>
      </c>
      <c r="O73" s="70">
        <v>330</v>
      </c>
      <c r="P73" s="70">
        <v>327</v>
      </c>
      <c r="Q73" s="70">
        <v>343</v>
      </c>
      <c r="R73" s="70">
        <v>354</v>
      </c>
      <c r="S73" s="70">
        <v>349</v>
      </c>
      <c r="T73" s="70">
        <v>348</v>
      </c>
      <c r="U73" s="70">
        <v>351</v>
      </c>
      <c r="V73" s="70">
        <v>341</v>
      </c>
      <c r="W73" s="70">
        <v>346</v>
      </c>
      <c r="X73" s="70">
        <v>350</v>
      </c>
      <c r="Y73" s="70">
        <v>340</v>
      </c>
      <c r="Z73" s="70">
        <v>348</v>
      </c>
      <c r="AA73" s="70">
        <v>345</v>
      </c>
      <c r="AB73" s="70">
        <v>342</v>
      </c>
      <c r="AC73" s="70">
        <v>337</v>
      </c>
      <c r="AD73" s="70">
        <v>325</v>
      </c>
      <c r="AE73" s="157">
        <v>321</v>
      </c>
    </row>
    <row r="74" spans="1:32" ht="15" customHeight="1" x14ac:dyDescent="0.25">
      <c r="A74" s="156">
        <v>92</v>
      </c>
      <c r="B74" s="17" t="s">
        <v>93</v>
      </c>
      <c r="C74" s="70">
        <v>113</v>
      </c>
      <c r="D74" s="70">
        <v>113</v>
      </c>
      <c r="E74" s="70">
        <v>111</v>
      </c>
      <c r="F74" s="70">
        <v>126</v>
      </c>
      <c r="G74" s="70">
        <v>117</v>
      </c>
      <c r="H74" s="70">
        <v>113</v>
      </c>
      <c r="I74" s="70">
        <v>107</v>
      </c>
      <c r="J74" s="70">
        <v>107</v>
      </c>
      <c r="K74" s="70">
        <v>124</v>
      </c>
      <c r="L74" s="70">
        <v>136</v>
      </c>
      <c r="M74" s="70">
        <v>146</v>
      </c>
      <c r="N74" s="70">
        <v>150</v>
      </c>
      <c r="O74" s="70">
        <v>169</v>
      </c>
      <c r="P74" s="70">
        <v>187</v>
      </c>
      <c r="Q74" s="70">
        <v>192</v>
      </c>
      <c r="R74" s="70">
        <v>192</v>
      </c>
      <c r="S74" s="70">
        <v>203</v>
      </c>
      <c r="T74" s="70">
        <v>210</v>
      </c>
      <c r="U74" s="70">
        <v>222</v>
      </c>
      <c r="V74" s="70">
        <v>222</v>
      </c>
      <c r="W74" s="70">
        <v>216</v>
      </c>
      <c r="X74" s="70">
        <v>219</v>
      </c>
      <c r="Y74" s="70">
        <v>219</v>
      </c>
      <c r="Z74" s="70">
        <v>199</v>
      </c>
      <c r="AA74" s="70">
        <v>181</v>
      </c>
      <c r="AB74" s="70">
        <v>183</v>
      </c>
      <c r="AC74" s="70">
        <v>191</v>
      </c>
      <c r="AD74" s="70">
        <v>190</v>
      </c>
      <c r="AE74" s="157">
        <v>184</v>
      </c>
    </row>
    <row r="75" spans="1:32" ht="15" customHeight="1" thickBot="1" x14ac:dyDescent="0.3">
      <c r="A75" s="158">
        <v>93</v>
      </c>
      <c r="B75" s="18" t="s">
        <v>94</v>
      </c>
      <c r="C75" s="76">
        <v>315</v>
      </c>
      <c r="D75" s="76">
        <v>316</v>
      </c>
      <c r="E75" s="76">
        <v>333</v>
      </c>
      <c r="F75" s="76">
        <v>304</v>
      </c>
      <c r="G75" s="76">
        <v>291</v>
      </c>
      <c r="H75" s="76">
        <v>280</v>
      </c>
      <c r="I75" s="76">
        <v>266</v>
      </c>
      <c r="J75" s="76">
        <v>303</v>
      </c>
      <c r="K75" s="76">
        <v>447</v>
      </c>
      <c r="L75" s="76">
        <v>501</v>
      </c>
      <c r="M75" s="76">
        <v>503</v>
      </c>
      <c r="N75" s="76">
        <v>475</v>
      </c>
      <c r="O75" s="76">
        <v>428</v>
      </c>
      <c r="P75" s="76">
        <v>425</v>
      </c>
      <c r="Q75" s="76">
        <v>402</v>
      </c>
      <c r="R75" s="76">
        <v>381</v>
      </c>
      <c r="S75" s="76">
        <v>359</v>
      </c>
      <c r="T75" s="76">
        <v>343</v>
      </c>
      <c r="U75" s="76">
        <v>340</v>
      </c>
      <c r="V75" s="76">
        <v>345</v>
      </c>
      <c r="W75" s="76">
        <v>330</v>
      </c>
      <c r="X75" s="76">
        <v>302</v>
      </c>
      <c r="Y75" s="76">
        <v>281</v>
      </c>
      <c r="Z75" s="76">
        <v>263</v>
      </c>
      <c r="AA75" s="76">
        <v>221</v>
      </c>
      <c r="AB75" s="76">
        <v>232</v>
      </c>
      <c r="AC75" s="76">
        <v>230</v>
      </c>
      <c r="AD75" s="76">
        <v>220</v>
      </c>
      <c r="AE75" s="165">
        <v>195</v>
      </c>
    </row>
    <row r="76" spans="1:32" s="23" customFormat="1" ht="15" customHeight="1" thickBot="1" x14ac:dyDescent="0.3">
      <c r="A76" s="166"/>
      <c r="B76" s="167" t="s">
        <v>95</v>
      </c>
      <c r="C76" s="168">
        <v>7578</v>
      </c>
      <c r="D76" s="168">
        <v>7536</v>
      </c>
      <c r="E76" s="168">
        <v>7439</v>
      </c>
      <c r="F76" s="168">
        <v>7513</v>
      </c>
      <c r="G76" s="168">
        <v>7323</v>
      </c>
      <c r="H76" s="168">
        <v>7030</v>
      </c>
      <c r="I76" s="168">
        <v>6749</v>
      </c>
      <c r="J76" s="168">
        <v>7433</v>
      </c>
      <c r="K76" s="168">
        <v>8746</v>
      </c>
      <c r="L76" s="168">
        <v>9498</v>
      </c>
      <c r="M76" s="168">
        <v>10106</v>
      </c>
      <c r="N76" s="168">
        <v>10635</v>
      </c>
      <c r="O76" s="168">
        <v>11141</v>
      </c>
      <c r="P76" s="168">
        <v>11167</v>
      </c>
      <c r="Q76" s="168">
        <v>11162</v>
      </c>
      <c r="R76" s="168">
        <v>11358</v>
      </c>
      <c r="S76" s="168">
        <v>11409</v>
      </c>
      <c r="T76" s="168">
        <v>11562</v>
      </c>
      <c r="U76" s="168">
        <v>11618</v>
      </c>
      <c r="V76" s="168">
        <v>11830</v>
      </c>
      <c r="W76" s="168">
        <v>11906</v>
      </c>
      <c r="X76" s="168">
        <v>11763</v>
      </c>
      <c r="Y76" s="168">
        <v>11473</v>
      </c>
      <c r="Z76" s="168">
        <v>11108</v>
      </c>
      <c r="AA76" s="168">
        <v>10636</v>
      </c>
      <c r="AB76" s="168">
        <v>10770</v>
      </c>
      <c r="AC76" s="168">
        <v>11413</v>
      </c>
      <c r="AD76" s="168">
        <v>11359</v>
      </c>
      <c r="AE76" s="169">
        <v>11098</v>
      </c>
      <c r="AF76" s="22"/>
    </row>
    <row r="77" spans="1:32" ht="12" customHeight="1" x14ac:dyDescent="0.25">
      <c r="A77" s="7"/>
      <c r="B77" s="7"/>
      <c r="C77" s="7"/>
      <c r="D77" s="7"/>
      <c r="E77" s="24"/>
      <c r="F77" s="7"/>
      <c r="G77" s="25"/>
      <c r="H77" s="7"/>
      <c r="I77" s="7"/>
      <c r="J77" s="7"/>
      <c r="K77" s="7"/>
      <c r="L77" s="7"/>
      <c r="M77" s="7"/>
      <c r="N77" s="7"/>
      <c r="O77" s="7"/>
      <c r="P77" s="7"/>
      <c r="Q77" s="7"/>
      <c r="R77" s="7"/>
      <c r="S77" s="7"/>
      <c r="T77" s="7"/>
      <c r="U77" s="7"/>
      <c r="V77" s="7"/>
      <c r="W77" s="7"/>
      <c r="X77" s="7"/>
      <c r="Y77" s="7"/>
      <c r="Z77" s="7"/>
      <c r="AA77" s="7"/>
      <c r="AB77" s="7"/>
      <c r="AC77" s="7"/>
      <c r="AD77" s="7"/>
      <c r="AE77" s="7"/>
    </row>
    <row r="78" spans="1:32" ht="11.25" x14ac:dyDescent="0.25">
      <c r="A78" s="307" t="s">
        <v>96</v>
      </c>
      <c r="B78" s="307"/>
      <c r="C78" s="277"/>
      <c r="D78" s="277"/>
      <c r="E78" s="277"/>
      <c r="F78" s="26"/>
      <c r="G78" s="26"/>
      <c r="H78" s="7"/>
      <c r="I78" s="7"/>
      <c r="J78" s="7"/>
      <c r="K78" s="7"/>
      <c r="L78" s="7"/>
      <c r="M78" s="7"/>
      <c r="N78" s="7"/>
      <c r="O78" s="7"/>
      <c r="P78" s="7"/>
      <c r="Q78" s="7"/>
      <c r="R78" s="7"/>
      <c r="S78" s="7"/>
      <c r="T78" s="7"/>
      <c r="U78" s="7"/>
      <c r="V78" s="7"/>
      <c r="W78" s="7"/>
      <c r="X78" s="7"/>
      <c r="Y78" s="7"/>
      <c r="Z78" s="7"/>
      <c r="AA78" s="7"/>
      <c r="AB78" s="7"/>
      <c r="AC78" s="7"/>
      <c r="AD78" s="7"/>
      <c r="AE78" s="7"/>
    </row>
    <row r="79" spans="1:32" ht="26.45" customHeight="1" x14ac:dyDescent="0.25">
      <c r="A79" s="307" t="s">
        <v>381</v>
      </c>
      <c r="B79" s="307"/>
      <c r="C79" s="307"/>
      <c r="D79" s="277"/>
      <c r="E79" s="277"/>
      <c r="F79" s="277"/>
      <c r="G79" s="277"/>
      <c r="H79" s="27"/>
      <c r="I79" s="27"/>
      <c r="J79" s="27"/>
      <c r="K79" s="27"/>
      <c r="L79" s="7"/>
      <c r="M79" s="7"/>
      <c r="N79" s="7"/>
      <c r="O79" s="7"/>
      <c r="P79" s="7"/>
      <c r="Q79" s="7"/>
      <c r="R79" s="7"/>
      <c r="S79" s="7"/>
      <c r="T79" s="7"/>
      <c r="U79" s="7"/>
      <c r="V79" s="7"/>
      <c r="W79" s="7"/>
      <c r="X79" s="7"/>
      <c r="Y79" s="7"/>
      <c r="Z79" s="7"/>
      <c r="AA79" s="7"/>
      <c r="AB79" s="7"/>
      <c r="AC79" s="7"/>
      <c r="AD79" s="7"/>
      <c r="AE79" s="7"/>
    </row>
    <row r="80" spans="1:32" ht="26.45" customHeight="1" x14ac:dyDescent="0.25">
      <c r="A80" s="307" t="s">
        <v>382</v>
      </c>
      <c r="B80" s="307"/>
      <c r="C80" s="307"/>
      <c r="D80" s="277"/>
      <c r="E80" s="277"/>
      <c r="F80" s="277"/>
      <c r="G80" s="277"/>
      <c r="H80" s="27"/>
      <c r="I80" s="27"/>
      <c r="J80" s="27"/>
      <c r="K80" s="27"/>
      <c r="L80" s="7"/>
      <c r="M80" s="7"/>
      <c r="N80" s="7"/>
      <c r="O80" s="7"/>
      <c r="P80" s="7"/>
      <c r="Q80" s="7"/>
      <c r="R80" s="7"/>
      <c r="S80" s="7"/>
      <c r="T80" s="7"/>
      <c r="U80" s="7"/>
      <c r="V80" s="7"/>
      <c r="W80" s="7"/>
      <c r="X80" s="7"/>
      <c r="Y80" s="7"/>
      <c r="Z80" s="7"/>
      <c r="AA80" s="7"/>
      <c r="AB80" s="7"/>
      <c r="AC80" s="7"/>
      <c r="AD80" s="7"/>
      <c r="AE80" s="7"/>
    </row>
    <row r="81" spans="1:31" ht="26.45" customHeight="1" x14ac:dyDescent="0.25">
      <c r="A81" s="307" t="s">
        <v>151</v>
      </c>
      <c r="B81" s="307"/>
      <c r="C81" s="307"/>
      <c r="D81" s="277"/>
      <c r="E81" s="277"/>
      <c r="F81" s="277"/>
      <c r="G81" s="277"/>
      <c r="H81" s="27"/>
      <c r="I81" s="27"/>
      <c r="J81" s="27"/>
      <c r="K81" s="27"/>
      <c r="L81" s="7"/>
      <c r="M81" s="7"/>
      <c r="N81" s="7"/>
      <c r="O81" s="7"/>
      <c r="P81" s="7"/>
      <c r="Q81" s="7"/>
      <c r="R81" s="7"/>
      <c r="S81" s="7"/>
      <c r="T81" s="7"/>
      <c r="U81" s="7"/>
      <c r="V81" s="7"/>
      <c r="W81" s="7"/>
      <c r="X81" s="7"/>
      <c r="Y81" s="7"/>
      <c r="Z81" s="7"/>
      <c r="AA81" s="7"/>
      <c r="AB81" s="7"/>
      <c r="AC81" s="7"/>
      <c r="AD81" s="7"/>
      <c r="AE81" s="7"/>
    </row>
    <row r="82" spans="1:31" s="29" customFormat="1" ht="46.5" customHeight="1" x14ac:dyDescent="0.25">
      <c r="A82" s="307" t="s">
        <v>384</v>
      </c>
      <c r="B82" s="307"/>
      <c r="C82" s="307"/>
      <c r="D82" s="307"/>
      <c r="E82" s="307"/>
      <c r="F82" s="307"/>
      <c r="G82" s="307"/>
      <c r="H82" s="28"/>
      <c r="I82" s="28"/>
      <c r="J82" s="28"/>
    </row>
    <row r="83" spans="1:31" ht="19.899999999999999" customHeight="1" x14ac:dyDescent="0.25">
      <c r="A83" s="276"/>
      <c r="B83" s="276"/>
      <c r="C83" s="276"/>
      <c r="D83" s="276"/>
      <c r="E83" s="276"/>
      <c r="F83" s="276"/>
      <c r="G83" s="276"/>
      <c r="H83" s="28"/>
      <c r="I83" s="28"/>
      <c r="J83" s="28"/>
      <c r="K83" s="7"/>
      <c r="L83" s="7"/>
      <c r="M83" s="7"/>
      <c r="N83" s="7"/>
      <c r="O83" s="7"/>
      <c r="P83" s="7"/>
      <c r="Q83" s="7"/>
      <c r="R83" s="7"/>
      <c r="S83" s="7"/>
      <c r="T83" s="7"/>
      <c r="U83" s="7"/>
      <c r="V83" s="7"/>
      <c r="W83" s="7"/>
      <c r="X83" s="7"/>
      <c r="Y83" s="7"/>
      <c r="Z83" s="7"/>
      <c r="AA83" s="7"/>
      <c r="AB83" s="7"/>
      <c r="AC83" s="7"/>
      <c r="AD83" s="7"/>
      <c r="AE83" s="7"/>
    </row>
    <row r="84" spans="1:31" ht="6.75" customHeight="1" x14ac:dyDescent="0.25">
      <c r="A84" s="7"/>
      <c r="B84" s="7"/>
      <c r="C84" s="7"/>
      <c r="D84" s="7"/>
      <c r="E84" s="7"/>
      <c r="F84" s="7"/>
      <c r="G84" s="7"/>
      <c r="H84" s="7"/>
      <c r="I84" s="7"/>
      <c r="J84" s="7"/>
      <c r="K84" s="7"/>
      <c r="L84" s="7"/>
      <c r="M84" s="7"/>
      <c r="N84" s="7"/>
      <c r="O84" s="7"/>
      <c r="P84" s="7"/>
      <c r="Q84" s="7"/>
      <c r="R84" s="7"/>
      <c r="S84" s="7"/>
      <c r="T84" s="7"/>
      <c r="U84" s="7"/>
      <c r="V84" s="7"/>
      <c r="W84" s="7"/>
      <c r="X84" s="7"/>
      <c r="Y84" s="7"/>
      <c r="Z84" s="7"/>
      <c r="AA84" s="7"/>
      <c r="AB84" s="7"/>
      <c r="AC84" s="7"/>
      <c r="AD84" s="7"/>
      <c r="AE84" s="7"/>
    </row>
    <row r="85" spans="1:31" ht="0" hidden="1" customHeight="1" x14ac:dyDescent="0.25"/>
    <row r="86" spans="1:31" ht="0" hidden="1" customHeight="1" x14ac:dyDescent="0.25"/>
    <row r="87" spans="1:31" ht="0" hidden="1" customHeight="1" x14ac:dyDescent="0.25"/>
    <row r="88" spans="1:31" ht="0" hidden="1" customHeight="1" x14ac:dyDescent="0.25"/>
    <row r="89" spans="1:31" ht="0" hidden="1" customHeight="1" x14ac:dyDescent="0.25"/>
    <row r="90" spans="1:31" ht="0" hidden="1" customHeight="1" x14ac:dyDescent="0.25"/>
    <row r="91" spans="1:31" ht="0" hidden="1" customHeight="1" x14ac:dyDescent="0.25"/>
    <row r="92" spans="1:31" ht="0" hidden="1" customHeight="1" x14ac:dyDescent="0.25"/>
    <row r="93" spans="1:31" ht="0" hidden="1" customHeight="1" x14ac:dyDescent="0.25"/>
    <row r="94" spans="1:31" ht="0" hidden="1" customHeight="1" x14ac:dyDescent="0.25"/>
  </sheetData>
  <mergeCells count="37">
    <mergeCell ref="Q4:Q5"/>
    <mergeCell ref="F4:F5"/>
    <mergeCell ref="G4:G5"/>
    <mergeCell ref="A82:G82"/>
    <mergeCell ref="W4:W5"/>
    <mergeCell ref="A79:C79"/>
    <mergeCell ref="A80:C80"/>
    <mergeCell ref="A81:C81"/>
    <mergeCell ref="A78:B78"/>
    <mergeCell ref="H4:H5"/>
    <mergeCell ref="X4:X5"/>
    <mergeCell ref="S4:S5"/>
    <mergeCell ref="T4:T5"/>
    <mergeCell ref="U4:U5"/>
    <mergeCell ref="V4:V5"/>
    <mergeCell ref="A2:C2"/>
    <mergeCell ref="B4:B5"/>
    <mergeCell ref="C4:C5"/>
    <mergeCell ref="D4:D5"/>
    <mergeCell ref="E4:E5"/>
    <mergeCell ref="A4:A5"/>
    <mergeCell ref="AB4:AB5"/>
    <mergeCell ref="I4:I5"/>
    <mergeCell ref="O4:O5"/>
    <mergeCell ref="AE4:AE5"/>
    <mergeCell ref="J4:J5"/>
    <mergeCell ref="AA4:AA5"/>
    <mergeCell ref="Z4:Z5"/>
    <mergeCell ref="Y4:Y5"/>
    <mergeCell ref="R4:R5"/>
    <mergeCell ref="K4:K5"/>
    <mergeCell ref="L4:L5"/>
    <mergeCell ref="M4:M5"/>
    <mergeCell ref="N4:N5"/>
    <mergeCell ref="AC4:AC5"/>
    <mergeCell ref="P4:P5"/>
    <mergeCell ref="AD4:AD5"/>
  </mergeCells>
  <pageMargins left="0.74803149606299213" right="0.74803149606299213" top="0.98425196850393704" bottom="0.98425196850393704" header="0" footer="0"/>
  <pageSetup paperSize="9" scale="65" fitToWidth="19" orientation="portrait" r:id="rId1"/>
  <headerFooter alignWithMargins="0"/>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32"/>
  <dimension ref="A1:DW94"/>
  <sheetViews>
    <sheetView zoomScale="115" zoomScaleNormal="115" workbookViewId="0">
      <pane xSplit="2" ySplit="5" topLeftCell="C6" activePane="bottomRight" state="frozen"/>
      <selection activeCell="C6" sqref="C6"/>
      <selection pane="topRight" activeCell="C6" sqref="C6"/>
      <selection pane="bottomLeft" activeCell="C6" sqref="C6"/>
      <selection pane="bottomRight" activeCell="C6" sqref="C6"/>
    </sheetView>
  </sheetViews>
  <sheetFormatPr baseColWidth="10" defaultColWidth="0" defaultRowHeight="0" customHeight="1" zeroHeight="1" x14ac:dyDescent="0.25"/>
  <cols>
    <col min="1" max="1" width="5.7109375" style="8" customWidth="1"/>
    <col min="2" max="2" width="62.7109375" style="8" customWidth="1"/>
    <col min="3" max="4" width="11.140625" style="30" customWidth="1"/>
    <col min="5" max="6" width="11.140625" style="8" customWidth="1"/>
    <col min="7" max="7" width="11.140625" style="31" customWidth="1"/>
    <col min="8" max="31" width="11.140625" style="8" customWidth="1"/>
    <col min="32" max="32" width="5.42578125" style="7" customWidth="1"/>
    <col min="33" max="127" width="0" style="8" hidden="1" customWidth="1"/>
    <col min="128" max="16384" width="5.42578125" style="8" hidden="1"/>
  </cols>
  <sheetData>
    <row r="1" spans="1:32" s="5" customFormat="1" ht="25.5" customHeight="1" thickBot="1" x14ac:dyDescent="0.25">
      <c r="A1" s="1"/>
      <c r="B1" s="2"/>
      <c r="C1" s="3"/>
      <c r="D1" s="172" t="s">
        <v>0</v>
      </c>
      <c r="E1" s="171"/>
      <c r="F1" s="171"/>
      <c r="G1" s="173"/>
      <c r="H1" s="171"/>
      <c r="I1" s="171"/>
      <c r="J1" s="171"/>
      <c r="K1" s="171"/>
      <c r="L1" s="171"/>
      <c r="M1" s="171"/>
      <c r="N1" s="171"/>
      <c r="O1" s="171"/>
      <c r="P1" s="171"/>
      <c r="Q1" s="171"/>
      <c r="R1" s="171"/>
      <c r="S1" s="171"/>
      <c r="T1" s="171"/>
      <c r="U1" s="171"/>
      <c r="V1" s="171"/>
      <c r="W1" s="171"/>
      <c r="X1" s="171"/>
      <c r="Y1" s="171"/>
      <c r="Z1" s="171"/>
      <c r="AA1" s="171"/>
      <c r="AB1" s="171"/>
      <c r="AC1" s="171"/>
      <c r="AD1" s="171"/>
      <c r="AE1" s="171"/>
      <c r="AF1" s="2"/>
    </row>
    <row r="2" spans="1:32" ht="22.5" customHeight="1" thickBot="1" x14ac:dyDescent="0.3">
      <c r="A2" s="303" t="s">
        <v>111</v>
      </c>
      <c r="B2" s="304"/>
      <c r="C2" s="304"/>
      <c r="D2" s="140"/>
      <c r="E2" s="140"/>
      <c r="F2" s="140"/>
      <c r="G2" s="140"/>
      <c r="H2" s="140"/>
      <c r="I2" s="140"/>
      <c r="J2" s="140"/>
      <c r="K2" s="140"/>
      <c r="L2" s="140"/>
      <c r="M2" s="140"/>
      <c r="N2" s="140"/>
      <c r="O2" s="140"/>
      <c r="P2" s="140"/>
      <c r="Q2" s="140"/>
      <c r="R2" s="140"/>
      <c r="S2" s="140"/>
      <c r="T2" s="140"/>
      <c r="U2" s="140"/>
      <c r="V2" s="140"/>
      <c r="W2" s="140"/>
      <c r="X2" s="140"/>
      <c r="Y2" s="140"/>
      <c r="Z2" s="140"/>
      <c r="AA2" s="140"/>
      <c r="AB2" s="140"/>
      <c r="AC2" s="140"/>
      <c r="AD2" s="140"/>
      <c r="AE2" s="141"/>
    </row>
    <row r="3" spans="1:32" ht="16.5" customHeight="1" thickBot="1" x14ac:dyDescent="0.25">
      <c r="A3" s="142" t="s">
        <v>299</v>
      </c>
      <c r="B3" s="57"/>
      <c r="C3" s="57"/>
      <c r="D3" s="58"/>
      <c r="E3" s="58"/>
      <c r="F3" s="58"/>
      <c r="G3" s="58"/>
      <c r="H3" s="59"/>
      <c r="I3" s="59"/>
      <c r="J3" s="59"/>
      <c r="K3" s="59"/>
      <c r="L3" s="59"/>
      <c r="M3" s="59"/>
      <c r="N3" s="59"/>
      <c r="O3" s="59"/>
      <c r="P3" s="59"/>
      <c r="Q3" s="59"/>
      <c r="R3" s="59"/>
      <c r="S3" s="59"/>
      <c r="T3" s="59"/>
      <c r="U3" s="59"/>
      <c r="V3" s="59"/>
      <c r="W3" s="59"/>
      <c r="X3" s="59"/>
      <c r="Y3" s="59"/>
      <c r="Z3" s="59"/>
      <c r="AA3" s="59"/>
      <c r="AB3" s="59"/>
      <c r="AC3" s="59"/>
      <c r="AD3" s="59"/>
      <c r="AE3" s="143"/>
    </row>
    <row r="4" spans="1:32" ht="15.75" customHeight="1" x14ac:dyDescent="0.25">
      <c r="A4" s="310"/>
      <c r="B4" s="308" t="s">
        <v>2</v>
      </c>
      <c r="C4" s="301">
        <v>1996</v>
      </c>
      <c r="D4" s="301">
        <v>1997</v>
      </c>
      <c r="E4" s="301">
        <v>1998</v>
      </c>
      <c r="F4" s="301">
        <v>1999</v>
      </c>
      <c r="G4" s="301">
        <v>2000</v>
      </c>
      <c r="H4" s="301">
        <v>2001</v>
      </c>
      <c r="I4" s="301">
        <v>2002</v>
      </c>
      <c r="J4" s="301">
        <v>2003</v>
      </c>
      <c r="K4" s="301">
        <v>2004</v>
      </c>
      <c r="L4" s="301">
        <v>2005</v>
      </c>
      <c r="M4" s="301">
        <v>2006</v>
      </c>
      <c r="N4" s="301">
        <v>2007</v>
      </c>
      <c r="O4" s="301">
        <v>2008</v>
      </c>
      <c r="P4" s="301">
        <v>2009</v>
      </c>
      <c r="Q4" s="301">
        <v>2010</v>
      </c>
      <c r="R4" s="301">
        <v>2011</v>
      </c>
      <c r="S4" s="301">
        <v>2012</v>
      </c>
      <c r="T4" s="301">
        <v>2013</v>
      </c>
      <c r="U4" s="301">
        <v>2014</v>
      </c>
      <c r="V4" s="301">
        <v>2015</v>
      </c>
      <c r="W4" s="301">
        <v>2016</v>
      </c>
      <c r="X4" s="301">
        <v>2017</v>
      </c>
      <c r="Y4" s="301">
        <v>2018</v>
      </c>
      <c r="Z4" s="301">
        <v>2019</v>
      </c>
      <c r="AA4" s="301">
        <v>2020</v>
      </c>
      <c r="AB4" s="301">
        <v>2021</v>
      </c>
      <c r="AC4" s="301">
        <v>2022</v>
      </c>
      <c r="AD4" s="301">
        <v>2023</v>
      </c>
      <c r="AE4" s="299">
        <v>2024</v>
      </c>
    </row>
    <row r="5" spans="1:32" ht="15.75" customHeight="1" thickBot="1" x14ac:dyDescent="0.3">
      <c r="A5" s="311"/>
      <c r="B5" s="309"/>
      <c r="C5" s="302"/>
      <c r="D5" s="302" t="s">
        <v>3</v>
      </c>
      <c r="E5" s="302"/>
      <c r="F5" s="302" t="s">
        <v>4</v>
      </c>
      <c r="G5" s="302"/>
      <c r="H5" s="302" t="s">
        <v>5</v>
      </c>
      <c r="I5" s="302"/>
      <c r="J5" s="302" t="s">
        <v>6</v>
      </c>
      <c r="K5" s="302"/>
      <c r="L5" s="302" t="s">
        <v>7</v>
      </c>
      <c r="M5" s="302"/>
      <c r="N5" s="302" t="s">
        <v>8</v>
      </c>
      <c r="O5" s="302"/>
      <c r="P5" s="302" t="s">
        <v>9</v>
      </c>
      <c r="Q5" s="302"/>
      <c r="R5" s="302" t="s">
        <v>10</v>
      </c>
      <c r="S5" s="302"/>
      <c r="T5" s="302"/>
      <c r="U5" s="302"/>
      <c r="V5" s="302"/>
      <c r="W5" s="302"/>
      <c r="X5" s="302"/>
      <c r="Y5" s="302"/>
      <c r="Z5" s="302"/>
      <c r="AA5" s="302"/>
      <c r="AB5" s="302"/>
      <c r="AC5" s="302"/>
      <c r="AD5" s="302"/>
      <c r="AE5" s="300"/>
    </row>
    <row r="6" spans="1:32" s="11" customFormat="1" ht="15" customHeight="1" thickBot="1" x14ac:dyDescent="0.3">
      <c r="A6" s="144" t="s">
        <v>11</v>
      </c>
      <c r="B6" s="9" t="s">
        <v>12</v>
      </c>
      <c r="C6" s="64">
        <v>1428</v>
      </c>
      <c r="D6" s="64">
        <v>1474</v>
      </c>
      <c r="E6" s="64">
        <v>1531</v>
      </c>
      <c r="F6" s="64">
        <v>1547</v>
      </c>
      <c r="G6" s="64">
        <v>1520</v>
      </c>
      <c r="H6" s="64">
        <v>1439</v>
      </c>
      <c r="I6" s="64">
        <v>1381</v>
      </c>
      <c r="J6" s="64">
        <v>1373</v>
      </c>
      <c r="K6" s="64">
        <v>1447</v>
      </c>
      <c r="L6" s="64">
        <v>1483</v>
      </c>
      <c r="M6" s="64">
        <v>1526</v>
      </c>
      <c r="N6" s="64">
        <v>1548</v>
      </c>
      <c r="O6" s="64">
        <v>1593</v>
      </c>
      <c r="P6" s="64">
        <v>1594</v>
      </c>
      <c r="Q6" s="64">
        <v>1586</v>
      </c>
      <c r="R6" s="64">
        <v>1577</v>
      </c>
      <c r="S6" s="64">
        <v>1556</v>
      </c>
      <c r="T6" s="64">
        <v>1512</v>
      </c>
      <c r="U6" s="64">
        <v>1457</v>
      </c>
      <c r="V6" s="64">
        <v>1373</v>
      </c>
      <c r="W6" s="64">
        <v>1341</v>
      </c>
      <c r="X6" s="64">
        <v>1290</v>
      </c>
      <c r="Y6" s="64">
        <v>1257</v>
      </c>
      <c r="Z6" s="64">
        <v>1211</v>
      </c>
      <c r="AA6" s="64">
        <v>1162</v>
      </c>
      <c r="AB6" s="64">
        <v>1141</v>
      </c>
      <c r="AC6" s="64">
        <v>1105</v>
      </c>
      <c r="AD6" s="64">
        <v>1047</v>
      </c>
      <c r="AE6" s="145">
        <v>1016</v>
      </c>
      <c r="AF6" s="10"/>
    </row>
    <row r="7" spans="1:32" ht="15" customHeight="1" x14ac:dyDescent="0.25">
      <c r="A7" s="146">
        <v>1</v>
      </c>
      <c r="B7" s="12" t="s">
        <v>13</v>
      </c>
      <c r="C7" s="68">
        <v>1413</v>
      </c>
      <c r="D7" s="68">
        <v>1460</v>
      </c>
      <c r="E7" s="68">
        <v>1516</v>
      </c>
      <c r="F7" s="68">
        <v>1532</v>
      </c>
      <c r="G7" s="68">
        <v>1506</v>
      </c>
      <c r="H7" s="68">
        <v>1425</v>
      </c>
      <c r="I7" s="68">
        <v>1371</v>
      </c>
      <c r="J7" s="68">
        <v>1364</v>
      </c>
      <c r="K7" s="68">
        <v>1438</v>
      </c>
      <c r="L7" s="68">
        <v>1475</v>
      </c>
      <c r="M7" s="68">
        <v>1519</v>
      </c>
      <c r="N7" s="68">
        <v>1543</v>
      </c>
      <c r="O7" s="68">
        <v>1588</v>
      </c>
      <c r="P7" s="68">
        <v>1589</v>
      </c>
      <c r="Q7" s="68">
        <v>1580</v>
      </c>
      <c r="R7" s="68">
        <v>1572</v>
      </c>
      <c r="S7" s="68">
        <v>1551</v>
      </c>
      <c r="T7" s="68">
        <v>1507</v>
      </c>
      <c r="U7" s="68">
        <v>1452</v>
      </c>
      <c r="V7" s="68">
        <v>1369</v>
      </c>
      <c r="W7" s="68">
        <v>1336</v>
      </c>
      <c r="X7" s="68">
        <v>1286</v>
      </c>
      <c r="Y7" s="68">
        <v>1253</v>
      </c>
      <c r="Z7" s="68">
        <v>1207</v>
      </c>
      <c r="AA7" s="68">
        <v>1158</v>
      </c>
      <c r="AB7" s="68">
        <v>1137</v>
      </c>
      <c r="AC7" s="68">
        <v>1101</v>
      </c>
      <c r="AD7" s="68">
        <v>1043</v>
      </c>
      <c r="AE7" s="147">
        <v>1011</v>
      </c>
    </row>
    <row r="8" spans="1:32" ht="15" customHeight="1" thickBot="1" x14ac:dyDescent="0.3">
      <c r="A8" s="148">
        <v>2</v>
      </c>
      <c r="B8" s="13" t="s">
        <v>14</v>
      </c>
      <c r="C8" s="69">
        <v>15</v>
      </c>
      <c r="D8" s="69">
        <v>14</v>
      </c>
      <c r="E8" s="69">
        <v>15</v>
      </c>
      <c r="F8" s="69">
        <v>15</v>
      </c>
      <c r="G8" s="69">
        <v>14</v>
      </c>
      <c r="H8" s="69">
        <v>14</v>
      </c>
      <c r="I8" s="69">
        <v>10</v>
      </c>
      <c r="J8" s="69">
        <v>9</v>
      </c>
      <c r="K8" s="69">
        <v>9</v>
      </c>
      <c r="L8" s="69">
        <v>8</v>
      </c>
      <c r="M8" s="69">
        <v>7</v>
      </c>
      <c r="N8" s="69">
        <v>5</v>
      </c>
      <c r="O8" s="69">
        <v>5</v>
      </c>
      <c r="P8" s="69">
        <v>5</v>
      </c>
      <c r="Q8" s="69">
        <v>6</v>
      </c>
      <c r="R8" s="69">
        <v>5</v>
      </c>
      <c r="S8" s="69">
        <v>5</v>
      </c>
      <c r="T8" s="69">
        <v>5</v>
      </c>
      <c r="U8" s="69">
        <v>5</v>
      </c>
      <c r="V8" s="69">
        <v>4</v>
      </c>
      <c r="W8" s="69">
        <v>5</v>
      </c>
      <c r="X8" s="69">
        <v>4</v>
      </c>
      <c r="Y8" s="69">
        <v>4</v>
      </c>
      <c r="Z8" s="69">
        <v>4</v>
      </c>
      <c r="AA8" s="69">
        <v>4</v>
      </c>
      <c r="AB8" s="69">
        <v>4</v>
      </c>
      <c r="AC8" s="69">
        <v>4</v>
      </c>
      <c r="AD8" s="69">
        <v>4</v>
      </c>
      <c r="AE8" s="149">
        <v>5</v>
      </c>
    </row>
    <row r="9" spans="1:32" s="11" customFormat="1" ht="15" customHeight="1" thickBot="1" x14ac:dyDescent="0.3">
      <c r="A9" s="144" t="s">
        <v>15</v>
      </c>
      <c r="B9" s="9" t="s">
        <v>16</v>
      </c>
      <c r="C9" s="64" t="s">
        <v>383</v>
      </c>
      <c r="D9" s="64" t="s">
        <v>383</v>
      </c>
      <c r="E9" s="64" t="s">
        <v>383</v>
      </c>
      <c r="F9" s="64" t="s">
        <v>383</v>
      </c>
      <c r="G9" s="64" t="s">
        <v>383</v>
      </c>
      <c r="H9" s="64" t="s">
        <v>383</v>
      </c>
      <c r="I9" s="64" t="s">
        <v>383</v>
      </c>
      <c r="J9" s="64" t="s">
        <v>383</v>
      </c>
      <c r="K9" s="64" t="s">
        <v>383</v>
      </c>
      <c r="L9" s="64" t="s">
        <v>383</v>
      </c>
      <c r="M9" s="64" t="s">
        <v>383</v>
      </c>
      <c r="N9" s="64" t="s">
        <v>383</v>
      </c>
      <c r="O9" s="64" t="s">
        <v>383</v>
      </c>
      <c r="P9" s="64" t="s">
        <v>383</v>
      </c>
      <c r="Q9" s="64" t="s">
        <v>383</v>
      </c>
      <c r="R9" s="64" t="s">
        <v>383</v>
      </c>
      <c r="S9" s="64" t="s">
        <v>383</v>
      </c>
      <c r="T9" s="64" t="s">
        <v>383</v>
      </c>
      <c r="U9" s="64" t="s">
        <v>383</v>
      </c>
      <c r="V9" s="64" t="s">
        <v>383</v>
      </c>
      <c r="W9" s="64" t="s">
        <v>383</v>
      </c>
      <c r="X9" s="64" t="s">
        <v>383</v>
      </c>
      <c r="Y9" s="64" t="s">
        <v>383</v>
      </c>
      <c r="Z9" s="64" t="s">
        <v>383</v>
      </c>
      <c r="AA9" s="64" t="s">
        <v>383</v>
      </c>
      <c r="AB9" s="64" t="s">
        <v>383</v>
      </c>
      <c r="AC9" s="64" t="s">
        <v>383</v>
      </c>
      <c r="AD9" s="64" t="s">
        <v>383</v>
      </c>
      <c r="AE9" s="145" t="s">
        <v>383</v>
      </c>
      <c r="AF9" s="10"/>
    </row>
    <row r="10" spans="1:32" ht="15" customHeight="1" thickBot="1" x14ac:dyDescent="0.3">
      <c r="A10" s="150">
        <v>5</v>
      </c>
      <c r="B10" s="14" t="s">
        <v>17</v>
      </c>
      <c r="C10" s="67" t="s">
        <v>383</v>
      </c>
      <c r="D10" s="67" t="s">
        <v>383</v>
      </c>
      <c r="E10" s="67" t="s">
        <v>383</v>
      </c>
      <c r="F10" s="67" t="s">
        <v>383</v>
      </c>
      <c r="G10" s="67" t="s">
        <v>383</v>
      </c>
      <c r="H10" s="67" t="s">
        <v>383</v>
      </c>
      <c r="I10" s="67" t="s">
        <v>383</v>
      </c>
      <c r="J10" s="67" t="s">
        <v>383</v>
      </c>
      <c r="K10" s="67" t="s">
        <v>383</v>
      </c>
      <c r="L10" s="67" t="s">
        <v>383</v>
      </c>
      <c r="M10" s="67" t="s">
        <v>383</v>
      </c>
      <c r="N10" s="67" t="s">
        <v>383</v>
      </c>
      <c r="O10" s="67" t="s">
        <v>383</v>
      </c>
      <c r="P10" s="67" t="s">
        <v>383</v>
      </c>
      <c r="Q10" s="67" t="s">
        <v>383</v>
      </c>
      <c r="R10" s="67" t="s">
        <v>383</v>
      </c>
      <c r="S10" s="67" t="s">
        <v>383</v>
      </c>
      <c r="T10" s="67" t="s">
        <v>383</v>
      </c>
      <c r="U10" s="67" t="s">
        <v>383</v>
      </c>
      <c r="V10" s="67" t="s">
        <v>383</v>
      </c>
      <c r="W10" s="67" t="s">
        <v>383</v>
      </c>
      <c r="X10" s="67" t="s">
        <v>383</v>
      </c>
      <c r="Y10" s="67" t="s">
        <v>383</v>
      </c>
      <c r="Z10" s="67" t="s">
        <v>383</v>
      </c>
      <c r="AA10" s="67" t="s">
        <v>383</v>
      </c>
      <c r="AB10" s="67" t="s">
        <v>383</v>
      </c>
      <c r="AC10" s="67" t="s">
        <v>383</v>
      </c>
      <c r="AD10" s="67" t="s">
        <v>383</v>
      </c>
      <c r="AE10" s="151" t="s">
        <v>383</v>
      </c>
    </row>
    <row r="11" spans="1:32" s="11" customFormat="1" ht="15" customHeight="1" thickBot="1" x14ac:dyDescent="0.3">
      <c r="A11" s="144" t="s">
        <v>18</v>
      </c>
      <c r="B11" s="9" t="s">
        <v>19</v>
      </c>
      <c r="C11" s="64">
        <v>46</v>
      </c>
      <c r="D11" s="64">
        <v>48</v>
      </c>
      <c r="E11" s="64">
        <v>42</v>
      </c>
      <c r="F11" s="64">
        <v>43</v>
      </c>
      <c r="G11" s="64">
        <v>51</v>
      </c>
      <c r="H11" s="64">
        <v>46</v>
      </c>
      <c r="I11" s="64">
        <v>39</v>
      </c>
      <c r="J11" s="64">
        <v>37</v>
      </c>
      <c r="K11" s="64">
        <v>44</v>
      </c>
      <c r="L11" s="64">
        <v>49</v>
      </c>
      <c r="M11" s="64">
        <v>53</v>
      </c>
      <c r="N11" s="64">
        <v>62</v>
      </c>
      <c r="O11" s="64">
        <v>64</v>
      </c>
      <c r="P11" s="64">
        <v>54</v>
      </c>
      <c r="Q11" s="64">
        <v>64</v>
      </c>
      <c r="R11" s="64">
        <v>68</v>
      </c>
      <c r="S11" s="64">
        <v>66</v>
      </c>
      <c r="T11" s="64">
        <v>65</v>
      </c>
      <c r="U11" s="64">
        <v>62</v>
      </c>
      <c r="V11" s="64">
        <v>61</v>
      </c>
      <c r="W11" s="64">
        <v>54</v>
      </c>
      <c r="X11" s="64">
        <v>55</v>
      </c>
      <c r="Y11" s="64">
        <v>59</v>
      </c>
      <c r="Z11" s="64">
        <v>60</v>
      </c>
      <c r="AA11" s="64">
        <v>61</v>
      </c>
      <c r="AB11" s="64">
        <v>59</v>
      </c>
      <c r="AC11" s="64">
        <v>60</v>
      </c>
      <c r="AD11" s="64">
        <v>63</v>
      </c>
      <c r="AE11" s="145">
        <v>60</v>
      </c>
      <c r="AF11" s="10"/>
    </row>
    <row r="12" spans="1:32" ht="15" customHeight="1" x14ac:dyDescent="0.25">
      <c r="A12" s="152">
        <v>11</v>
      </c>
      <c r="B12" s="15" t="s">
        <v>20</v>
      </c>
      <c r="C12" s="68" t="s">
        <v>383</v>
      </c>
      <c r="D12" s="68" t="s">
        <v>383</v>
      </c>
      <c r="E12" s="68" t="s">
        <v>383</v>
      </c>
      <c r="F12" s="68" t="s">
        <v>383</v>
      </c>
      <c r="G12" s="68">
        <v>4</v>
      </c>
      <c r="H12" s="68" t="s">
        <v>383</v>
      </c>
      <c r="I12" s="68" t="s">
        <v>383</v>
      </c>
      <c r="J12" s="68" t="s">
        <v>383</v>
      </c>
      <c r="K12" s="68" t="s">
        <v>383</v>
      </c>
      <c r="L12" s="68" t="s">
        <v>383</v>
      </c>
      <c r="M12" s="68" t="s">
        <v>383</v>
      </c>
      <c r="N12" s="68" t="s">
        <v>383</v>
      </c>
      <c r="O12" s="68" t="s">
        <v>383</v>
      </c>
      <c r="P12" s="68" t="s">
        <v>383</v>
      </c>
      <c r="Q12" s="68" t="s">
        <v>383</v>
      </c>
      <c r="R12" s="68" t="s">
        <v>383</v>
      </c>
      <c r="S12" s="68" t="s">
        <v>383</v>
      </c>
      <c r="T12" s="68" t="s">
        <v>383</v>
      </c>
      <c r="U12" s="68" t="s">
        <v>383</v>
      </c>
      <c r="V12" s="68" t="s">
        <v>383</v>
      </c>
      <c r="W12" s="68" t="s">
        <v>383</v>
      </c>
      <c r="X12" s="68" t="s">
        <v>383</v>
      </c>
      <c r="Y12" s="68" t="s">
        <v>383</v>
      </c>
      <c r="Z12" s="68" t="s">
        <v>383</v>
      </c>
      <c r="AA12" s="68" t="s">
        <v>383</v>
      </c>
      <c r="AB12" s="68" t="s">
        <v>383</v>
      </c>
      <c r="AC12" s="68" t="s">
        <v>383</v>
      </c>
      <c r="AD12" s="68" t="s">
        <v>383</v>
      </c>
      <c r="AE12" s="153" t="s">
        <v>383</v>
      </c>
    </row>
    <row r="13" spans="1:32" ht="15" customHeight="1" x14ac:dyDescent="0.25">
      <c r="A13" s="154">
        <v>13</v>
      </c>
      <c r="B13" s="16" t="s">
        <v>21</v>
      </c>
      <c r="C13" s="69" t="s">
        <v>383</v>
      </c>
      <c r="D13" s="69" t="s">
        <v>383</v>
      </c>
      <c r="E13" s="69" t="s">
        <v>383</v>
      </c>
      <c r="F13" s="69" t="s">
        <v>383</v>
      </c>
      <c r="G13" s="69">
        <v>7</v>
      </c>
      <c r="H13" s="69" t="s">
        <v>383</v>
      </c>
      <c r="I13" s="69" t="s">
        <v>383</v>
      </c>
      <c r="J13" s="69" t="s">
        <v>383</v>
      </c>
      <c r="K13" s="69">
        <v>7</v>
      </c>
      <c r="L13" s="69">
        <v>7</v>
      </c>
      <c r="M13" s="69">
        <v>6</v>
      </c>
      <c r="N13" s="69">
        <v>7</v>
      </c>
      <c r="O13" s="69">
        <v>6</v>
      </c>
      <c r="P13" s="69">
        <v>5</v>
      </c>
      <c r="Q13" s="69">
        <v>7</v>
      </c>
      <c r="R13" s="69">
        <v>8</v>
      </c>
      <c r="S13" s="69">
        <v>9</v>
      </c>
      <c r="T13" s="69">
        <v>9</v>
      </c>
      <c r="U13" s="69">
        <v>9</v>
      </c>
      <c r="V13" s="69">
        <v>8</v>
      </c>
      <c r="W13" s="69">
        <v>7</v>
      </c>
      <c r="X13" s="69">
        <v>8</v>
      </c>
      <c r="Y13" s="69">
        <v>7</v>
      </c>
      <c r="Z13" s="69">
        <v>7</v>
      </c>
      <c r="AA13" s="69">
        <v>8</v>
      </c>
      <c r="AB13" s="69">
        <v>8</v>
      </c>
      <c r="AC13" s="69">
        <v>10</v>
      </c>
      <c r="AD13" s="69">
        <v>11</v>
      </c>
      <c r="AE13" s="155">
        <v>12</v>
      </c>
    </row>
    <row r="14" spans="1:32" ht="15" customHeight="1" thickBot="1" x14ac:dyDescent="0.3">
      <c r="A14" s="152">
        <v>14</v>
      </c>
      <c r="B14" s="15" t="s">
        <v>22</v>
      </c>
      <c r="C14" s="68">
        <v>36</v>
      </c>
      <c r="D14" s="68">
        <v>39</v>
      </c>
      <c r="E14" s="68">
        <v>32</v>
      </c>
      <c r="F14" s="68">
        <v>35</v>
      </c>
      <c r="G14" s="68">
        <v>40</v>
      </c>
      <c r="H14" s="68">
        <v>36</v>
      </c>
      <c r="I14" s="68">
        <v>33</v>
      </c>
      <c r="J14" s="68">
        <v>30</v>
      </c>
      <c r="K14" s="68" t="s">
        <v>383</v>
      </c>
      <c r="L14" s="68" t="s">
        <v>383</v>
      </c>
      <c r="M14" s="68" t="s">
        <v>383</v>
      </c>
      <c r="N14" s="68" t="s">
        <v>383</v>
      </c>
      <c r="O14" s="68" t="s">
        <v>383</v>
      </c>
      <c r="P14" s="68" t="s">
        <v>383</v>
      </c>
      <c r="Q14" s="68" t="s">
        <v>383</v>
      </c>
      <c r="R14" s="68" t="s">
        <v>383</v>
      </c>
      <c r="S14" s="68" t="s">
        <v>383</v>
      </c>
      <c r="T14" s="68" t="s">
        <v>383</v>
      </c>
      <c r="U14" s="68" t="s">
        <v>383</v>
      </c>
      <c r="V14" s="68" t="s">
        <v>383</v>
      </c>
      <c r="W14" s="68" t="s">
        <v>383</v>
      </c>
      <c r="X14" s="68" t="s">
        <v>383</v>
      </c>
      <c r="Y14" s="68" t="s">
        <v>383</v>
      </c>
      <c r="Z14" s="68" t="s">
        <v>383</v>
      </c>
      <c r="AA14" s="68" t="s">
        <v>383</v>
      </c>
      <c r="AB14" s="68" t="s">
        <v>383</v>
      </c>
      <c r="AC14" s="68" t="s">
        <v>383</v>
      </c>
      <c r="AD14" s="68" t="s">
        <v>383</v>
      </c>
      <c r="AE14" s="153" t="s">
        <v>383</v>
      </c>
    </row>
    <row r="15" spans="1:32" s="11" customFormat="1" ht="15" customHeight="1" thickBot="1" x14ac:dyDescent="0.3">
      <c r="A15" s="144" t="s">
        <v>23</v>
      </c>
      <c r="B15" s="9" t="s">
        <v>24</v>
      </c>
      <c r="C15" s="64">
        <v>629</v>
      </c>
      <c r="D15" s="64">
        <v>647</v>
      </c>
      <c r="E15" s="64">
        <v>697</v>
      </c>
      <c r="F15" s="64">
        <v>722</v>
      </c>
      <c r="G15" s="64">
        <v>679</v>
      </c>
      <c r="H15" s="64">
        <v>638</v>
      </c>
      <c r="I15" s="64">
        <v>588</v>
      </c>
      <c r="J15" s="64">
        <v>625</v>
      </c>
      <c r="K15" s="64">
        <v>667</v>
      </c>
      <c r="L15" s="64">
        <v>702</v>
      </c>
      <c r="M15" s="64">
        <v>723</v>
      </c>
      <c r="N15" s="64">
        <v>751</v>
      </c>
      <c r="O15" s="64">
        <v>778</v>
      </c>
      <c r="P15" s="64">
        <v>808</v>
      </c>
      <c r="Q15" s="64">
        <v>812</v>
      </c>
      <c r="R15" s="64">
        <v>840</v>
      </c>
      <c r="S15" s="64">
        <v>830</v>
      </c>
      <c r="T15" s="64">
        <v>830</v>
      </c>
      <c r="U15" s="64">
        <v>833</v>
      </c>
      <c r="V15" s="64">
        <v>847</v>
      </c>
      <c r="W15" s="64">
        <v>853</v>
      </c>
      <c r="X15" s="64">
        <v>841</v>
      </c>
      <c r="Y15" s="64">
        <v>811</v>
      </c>
      <c r="Z15" s="64">
        <v>765</v>
      </c>
      <c r="AA15" s="64">
        <v>741</v>
      </c>
      <c r="AB15" s="64">
        <v>731</v>
      </c>
      <c r="AC15" s="64">
        <v>799</v>
      </c>
      <c r="AD15" s="64">
        <v>801</v>
      </c>
      <c r="AE15" s="145">
        <v>806</v>
      </c>
      <c r="AF15" s="10"/>
    </row>
    <row r="16" spans="1:32" ht="15" customHeight="1" x14ac:dyDescent="0.25">
      <c r="A16" s="152">
        <v>15</v>
      </c>
      <c r="B16" s="15" t="s">
        <v>25</v>
      </c>
      <c r="C16" s="68">
        <v>285</v>
      </c>
      <c r="D16" s="68">
        <v>284</v>
      </c>
      <c r="E16" s="68">
        <v>300</v>
      </c>
      <c r="F16" s="68">
        <v>316</v>
      </c>
      <c r="G16" s="68">
        <v>310</v>
      </c>
      <c r="H16" s="68">
        <v>289</v>
      </c>
      <c r="I16" s="68">
        <v>267</v>
      </c>
      <c r="J16" s="68">
        <v>290</v>
      </c>
      <c r="K16" s="68">
        <v>309</v>
      </c>
      <c r="L16" s="68">
        <v>318</v>
      </c>
      <c r="M16" s="68">
        <v>318</v>
      </c>
      <c r="N16" s="68">
        <v>323</v>
      </c>
      <c r="O16" s="68">
        <v>338</v>
      </c>
      <c r="P16" s="68">
        <v>367</v>
      </c>
      <c r="Q16" s="68">
        <v>363</v>
      </c>
      <c r="R16" s="68">
        <v>374</v>
      </c>
      <c r="S16" s="68">
        <v>368</v>
      </c>
      <c r="T16" s="68">
        <v>367</v>
      </c>
      <c r="U16" s="68">
        <v>364</v>
      </c>
      <c r="V16" s="68">
        <v>367</v>
      </c>
      <c r="W16" s="68">
        <v>377</v>
      </c>
      <c r="X16" s="68">
        <v>371</v>
      </c>
      <c r="Y16" s="68">
        <v>360</v>
      </c>
      <c r="Z16" s="68">
        <v>348</v>
      </c>
      <c r="AA16" s="68">
        <v>340</v>
      </c>
      <c r="AB16" s="68">
        <v>330</v>
      </c>
      <c r="AC16" s="68">
        <v>338</v>
      </c>
      <c r="AD16" s="68">
        <v>342</v>
      </c>
      <c r="AE16" s="153">
        <v>342</v>
      </c>
    </row>
    <row r="17" spans="1:31" ht="15" customHeight="1" x14ac:dyDescent="0.25">
      <c r="A17" s="156">
        <v>16</v>
      </c>
      <c r="B17" s="17" t="s">
        <v>26</v>
      </c>
      <c r="C17" s="70" t="s">
        <v>383</v>
      </c>
      <c r="D17" s="70" t="s">
        <v>383</v>
      </c>
      <c r="E17" s="70" t="s">
        <v>383</v>
      </c>
      <c r="F17" s="70" t="s">
        <v>383</v>
      </c>
      <c r="G17" s="70" t="s">
        <v>383</v>
      </c>
      <c r="H17" s="70" t="s">
        <v>383</v>
      </c>
      <c r="I17" s="70" t="s">
        <v>383</v>
      </c>
      <c r="J17" s="70" t="s">
        <v>383</v>
      </c>
      <c r="K17" s="70" t="s">
        <v>383</v>
      </c>
      <c r="L17" s="70" t="s">
        <v>383</v>
      </c>
      <c r="M17" s="70" t="s">
        <v>383</v>
      </c>
      <c r="N17" s="70" t="s">
        <v>383</v>
      </c>
      <c r="O17" s="70" t="s">
        <v>383</v>
      </c>
      <c r="P17" s="70" t="s">
        <v>383</v>
      </c>
      <c r="Q17" s="70" t="s">
        <v>383</v>
      </c>
      <c r="R17" s="70" t="s">
        <v>383</v>
      </c>
      <c r="S17" s="70" t="s">
        <v>383</v>
      </c>
      <c r="T17" s="70" t="s">
        <v>383</v>
      </c>
      <c r="U17" s="70" t="s">
        <v>383</v>
      </c>
      <c r="V17" s="70" t="s">
        <v>383</v>
      </c>
      <c r="W17" s="70" t="s">
        <v>383</v>
      </c>
      <c r="X17" s="70" t="s">
        <v>383</v>
      </c>
      <c r="Y17" s="70" t="s">
        <v>383</v>
      </c>
      <c r="Z17" s="70" t="s">
        <v>383</v>
      </c>
      <c r="AA17" s="70" t="s">
        <v>383</v>
      </c>
      <c r="AB17" s="70" t="s">
        <v>383</v>
      </c>
      <c r="AC17" s="70" t="s">
        <v>383</v>
      </c>
      <c r="AD17" s="70" t="s">
        <v>383</v>
      </c>
      <c r="AE17" s="157" t="s">
        <v>383</v>
      </c>
    </row>
    <row r="18" spans="1:31" ht="15" customHeight="1" x14ac:dyDescent="0.25">
      <c r="A18" s="156">
        <v>17</v>
      </c>
      <c r="B18" s="17" t="s">
        <v>27</v>
      </c>
      <c r="C18" s="70">
        <v>16</v>
      </c>
      <c r="D18" s="70">
        <v>17</v>
      </c>
      <c r="E18" s="70">
        <v>23</v>
      </c>
      <c r="F18" s="70">
        <v>20</v>
      </c>
      <c r="G18" s="70">
        <v>21</v>
      </c>
      <c r="H18" s="70">
        <v>19</v>
      </c>
      <c r="I18" s="70">
        <v>16</v>
      </c>
      <c r="J18" s="70">
        <v>21</v>
      </c>
      <c r="K18" s="70">
        <v>19</v>
      </c>
      <c r="L18" s="70">
        <v>19</v>
      </c>
      <c r="M18" s="70">
        <v>19</v>
      </c>
      <c r="N18" s="70">
        <v>23</v>
      </c>
      <c r="O18" s="70">
        <v>24</v>
      </c>
      <c r="P18" s="70">
        <v>24</v>
      </c>
      <c r="Q18" s="70">
        <v>24</v>
      </c>
      <c r="R18" s="70">
        <v>23</v>
      </c>
      <c r="S18" s="70">
        <v>21</v>
      </c>
      <c r="T18" s="70">
        <v>21</v>
      </c>
      <c r="U18" s="70">
        <v>25</v>
      </c>
      <c r="V18" s="70">
        <v>22</v>
      </c>
      <c r="W18" s="70">
        <v>22</v>
      </c>
      <c r="X18" s="70">
        <v>22</v>
      </c>
      <c r="Y18" s="70">
        <v>24</v>
      </c>
      <c r="Z18" s="70">
        <v>19</v>
      </c>
      <c r="AA18" s="70">
        <v>19</v>
      </c>
      <c r="AB18" s="70">
        <v>19</v>
      </c>
      <c r="AC18" s="70">
        <v>20</v>
      </c>
      <c r="AD18" s="70">
        <v>22</v>
      </c>
      <c r="AE18" s="157">
        <v>25</v>
      </c>
    </row>
    <row r="19" spans="1:31" ht="15" customHeight="1" x14ac:dyDescent="0.25">
      <c r="A19" s="156">
        <v>18</v>
      </c>
      <c r="B19" s="17" t="s">
        <v>28</v>
      </c>
      <c r="C19" s="70">
        <v>27</v>
      </c>
      <c r="D19" s="70">
        <v>29</v>
      </c>
      <c r="E19" s="70">
        <v>31</v>
      </c>
      <c r="F19" s="70">
        <v>30</v>
      </c>
      <c r="G19" s="70">
        <v>30</v>
      </c>
      <c r="H19" s="70">
        <v>30</v>
      </c>
      <c r="I19" s="70">
        <v>25</v>
      </c>
      <c r="J19" s="70">
        <v>20</v>
      </c>
      <c r="K19" s="70">
        <v>25</v>
      </c>
      <c r="L19" s="70">
        <v>25</v>
      </c>
      <c r="M19" s="70">
        <v>24</v>
      </c>
      <c r="N19" s="70">
        <v>26</v>
      </c>
      <c r="O19" s="70">
        <v>30</v>
      </c>
      <c r="P19" s="70">
        <v>32</v>
      </c>
      <c r="Q19" s="70">
        <v>30</v>
      </c>
      <c r="R19" s="70">
        <v>29</v>
      </c>
      <c r="S19" s="70">
        <v>31</v>
      </c>
      <c r="T19" s="70">
        <v>28</v>
      </c>
      <c r="U19" s="70">
        <v>22</v>
      </c>
      <c r="V19" s="70">
        <v>20</v>
      </c>
      <c r="W19" s="70">
        <v>19</v>
      </c>
      <c r="X19" s="70">
        <v>23</v>
      </c>
      <c r="Y19" s="70">
        <v>22</v>
      </c>
      <c r="Z19" s="70">
        <v>18</v>
      </c>
      <c r="AA19" s="70">
        <v>14</v>
      </c>
      <c r="AB19" s="70">
        <v>16</v>
      </c>
      <c r="AC19" s="70">
        <v>25</v>
      </c>
      <c r="AD19" s="70">
        <v>25</v>
      </c>
      <c r="AE19" s="157">
        <v>22</v>
      </c>
    </row>
    <row r="20" spans="1:31" ht="15" customHeight="1" x14ac:dyDescent="0.25">
      <c r="A20" s="156">
        <v>19</v>
      </c>
      <c r="B20" s="17" t="s">
        <v>105</v>
      </c>
      <c r="C20" s="70">
        <v>6</v>
      </c>
      <c r="D20" s="70">
        <v>8</v>
      </c>
      <c r="E20" s="70">
        <v>7</v>
      </c>
      <c r="F20" s="70">
        <v>7</v>
      </c>
      <c r="G20" s="70">
        <v>7</v>
      </c>
      <c r="H20" s="70">
        <v>6</v>
      </c>
      <c r="I20" s="70">
        <v>6</v>
      </c>
      <c r="J20" s="70">
        <v>6</v>
      </c>
      <c r="K20" s="70">
        <v>5</v>
      </c>
      <c r="L20" s="70">
        <v>6</v>
      </c>
      <c r="M20" s="70">
        <v>7</v>
      </c>
      <c r="N20" s="70">
        <v>6</v>
      </c>
      <c r="O20" s="70">
        <v>6</v>
      </c>
      <c r="P20" s="70">
        <v>7</v>
      </c>
      <c r="Q20" s="70">
        <v>8</v>
      </c>
      <c r="R20" s="70">
        <v>10</v>
      </c>
      <c r="S20" s="70">
        <v>11</v>
      </c>
      <c r="T20" s="70">
        <v>12</v>
      </c>
      <c r="U20" s="70">
        <v>11</v>
      </c>
      <c r="V20" s="70">
        <v>10</v>
      </c>
      <c r="W20" s="70">
        <v>12</v>
      </c>
      <c r="X20" s="70">
        <v>10</v>
      </c>
      <c r="Y20" s="70">
        <v>9</v>
      </c>
      <c r="Z20" s="70">
        <v>7</v>
      </c>
      <c r="AA20" s="70">
        <v>7</v>
      </c>
      <c r="AB20" s="70">
        <v>7</v>
      </c>
      <c r="AC20" s="70">
        <v>8</v>
      </c>
      <c r="AD20" s="70">
        <v>7</v>
      </c>
      <c r="AE20" s="157">
        <v>7</v>
      </c>
    </row>
    <row r="21" spans="1:31" ht="15" customHeight="1" x14ac:dyDescent="0.25">
      <c r="A21" s="156">
        <v>20</v>
      </c>
      <c r="B21" s="17" t="s">
        <v>30</v>
      </c>
      <c r="C21" s="70">
        <v>17</v>
      </c>
      <c r="D21" s="70">
        <v>23</v>
      </c>
      <c r="E21" s="70">
        <v>23</v>
      </c>
      <c r="F21" s="70">
        <v>27</v>
      </c>
      <c r="G21" s="70">
        <v>26</v>
      </c>
      <c r="H21" s="70">
        <v>24</v>
      </c>
      <c r="I21" s="70">
        <v>25</v>
      </c>
      <c r="J21" s="70">
        <v>27</v>
      </c>
      <c r="K21" s="70">
        <v>29</v>
      </c>
      <c r="L21" s="70">
        <v>28</v>
      </c>
      <c r="M21" s="70">
        <v>31</v>
      </c>
      <c r="N21" s="70">
        <v>34</v>
      </c>
      <c r="O21" s="70">
        <v>37</v>
      </c>
      <c r="P21" s="70">
        <v>37</v>
      </c>
      <c r="Q21" s="70">
        <v>35</v>
      </c>
      <c r="R21" s="70">
        <v>33</v>
      </c>
      <c r="S21" s="70">
        <v>30</v>
      </c>
      <c r="T21" s="70">
        <v>32</v>
      </c>
      <c r="U21" s="70">
        <v>32</v>
      </c>
      <c r="V21" s="70">
        <v>32</v>
      </c>
      <c r="W21" s="70">
        <v>35</v>
      </c>
      <c r="X21" s="70">
        <v>31</v>
      </c>
      <c r="Y21" s="70">
        <v>31</v>
      </c>
      <c r="Z21" s="70">
        <v>30</v>
      </c>
      <c r="AA21" s="70">
        <v>32</v>
      </c>
      <c r="AB21" s="70">
        <v>30</v>
      </c>
      <c r="AC21" s="70">
        <v>31</v>
      </c>
      <c r="AD21" s="70">
        <v>27</v>
      </c>
      <c r="AE21" s="157">
        <v>28</v>
      </c>
    </row>
    <row r="22" spans="1:31" ht="15" customHeight="1" x14ac:dyDescent="0.25">
      <c r="A22" s="156">
        <v>21</v>
      </c>
      <c r="B22" s="17" t="s">
        <v>31</v>
      </c>
      <c r="C22" s="70">
        <v>13</v>
      </c>
      <c r="D22" s="70">
        <v>13</v>
      </c>
      <c r="E22" s="70">
        <v>13</v>
      </c>
      <c r="F22" s="70">
        <v>14</v>
      </c>
      <c r="G22" s="70">
        <v>11</v>
      </c>
      <c r="H22" s="70">
        <v>13</v>
      </c>
      <c r="I22" s="70">
        <v>13</v>
      </c>
      <c r="J22" s="70">
        <v>14</v>
      </c>
      <c r="K22" s="70">
        <v>13</v>
      </c>
      <c r="L22" s="70">
        <v>14</v>
      </c>
      <c r="M22" s="70">
        <v>15</v>
      </c>
      <c r="N22" s="70">
        <v>13</v>
      </c>
      <c r="O22" s="70">
        <v>14</v>
      </c>
      <c r="P22" s="70">
        <v>12</v>
      </c>
      <c r="Q22" s="70">
        <v>14</v>
      </c>
      <c r="R22" s="70">
        <v>14</v>
      </c>
      <c r="S22" s="70">
        <v>13</v>
      </c>
      <c r="T22" s="70">
        <v>14</v>
      </c>
      <c r="U22" s="70">
        <v>12</v>
      </c>
      <c r="V22" s="70">
        <v>13</v>
      </c>
      <c r="W22" s="70">
        <v>10</v>
      </c>
      <c r="X22" s="70">
        <v>10</v>
      </c>
      <c r="Y22" s="70">
        <v>7</v>
      </c>
      <c r="Z22" s="70">
        <v>8</v>
      </c>
      <c r="AA22" s="70">
        <v>7</v>
      </c>
      <c r="AB22" s="70">
        <v>6</v>
      </c>
      <c r="AC22" s="70">
        <v>7</v>
      </c>
      <c r="AD22" s="70">
        <v>8</v>
      </c>
      <c r="AE22" s="157">
        <v>8</v>
      </c>
    </row>
    <row r="23" spans="1:31" ht="15" customHeight="1" x14ac:dyDescent="0.25">
      <c r="A23" s="156">
        <v>22</v>
      </c>
      <c r="B23" s="17" t="s">
        <v>98</v>
      </c>
      <c r="C23" s="70">
        <v>28</v>
      </c>
      <c r="D23" s="70">
        <v>28</v>
      </c>
      <c r="E23" s="70">
        <v>32</v>
      </c>
      <c r="F23" s="70">
        <v>37</v>
      </c>
      <c r="G23" s="70">
        <v>31</v>
      </c>
      <c r="H23" s="70">
        <v>24</v>
      </c>
      <c r="I23" s="70">
        <v>25</v>
      </c>
      <c r="J23" s="70">
        <v>26</v>
      </c>
      <c r="K23" s="70">
        <v>26</v>
      </c>
      <c r="L23" s="70">
        <v>34</v>
      </c>
      <c r="M23" s="70">
        <v>36</v>
      </c>
      <c r="N23" s="70">
        <v>42</v>
      </c>
      <c r="O23" s="70">
        <v>41</v>
      </c>
      <c r="P23" s="70">
        <v>41</v>
      </c>
      <c r="Q23" s="70">
        <v>40</v>
      </c>
      <c r="R23" s="70">
        <v>44</v>
      </c>
      <c r="S23" s="70">
        <v>42</v>
      </c>
      <c r="T23" s="70">
        <v>38</v>
      </c>
      <c r="U23" s="70">
        <v>42</v>
      </c>
      <c r="V23" s="70">
        <v>49</v>
      </c>
      <c r="W23" s="70">
        <v>44</v>
      </c>
      <c r="X23" s="70">
        <v>47</v>
      </c>
      <c r="Y23" s="70">
        <v>49</v>
      </c>
      <c r="Z23" s="70">
        <v>40</v>
      </c>
      <c r="AA23" s="70">
        <v>37</v>
      </c>
      <c r="AB23" s="70">
        <v>34</v>
      </c>
      <c r="AC23" s="70">
        <v>37</v>
      </c>
      <c r="AD23" s="70">
        <v>28</v>
      </c>
      <c r="AE23" s="157">
        <v>26</v>
      </c>
    </row>
    <row r="24" spans="1:31" ht="15" customHeight="1" x14ac:dyDescent="0.25">
      <c r="A24" s="156">
        <v>23</v>
      </c>
      <c r="B24" s="17" t="s">
        <v>33</v>
      </c>
      <c r="C24" s="70" t="s">
        <v>383</v>
      </c>
      <c r="D24" s="70" t="s">
        <v>383</v>
      </c>
      <c r="E24" s="70" t="s">
        <v>383</v>
      </c>
      <c r="F24" s="70" t="s">
        <v>383</v>
      </c>
      <c r="G24" s="70" t="s">
        <v>383</v>
      </c>
      <c r="H24" s="70" t="s">
        <v>383</v>
      </c>
      <c r="I24" s="70" t="s">
        <v>383</v>
      </c>
      <c r="J24" s="70" t="s">
        <v>383</v>
      </c>
      <c r="K24" s="70" t="s">
        <v>383</v>
      </c>
      <c r="L24" s="70" t="s">
        <v>383</v>
      </c>
      <c r="M24" s="70" t="s">
        <v>383</v>
      </c>
      <c r="N24" s="70" t="s">
        <v>383</v>
      </c>
      <c r="O24" s="70" t="s">
        <v>383</v>
      </c>
      <c r="P24" s="70" t="s">
        <v>383</v>
      </c>
      <c r="Q24" s="70" t="s">
        <v>383</v>
      </c>
      <c r="R24" s="70" t="s">
        <v>383</v>
      </c>
      <c r="S24" s="70" t="s">
        <v>383</v>
      </c>
      <c r="T24" s="70" t="s">
        <v>383</v>
      </c>
      <c r="U24" s="70" t="s">
        <v>383</v>
      </c>
      <c r="V24" s="70" t="s">
        <v>383</v>
      </c>
      <c r="W24" s="70" t="s">
        <v>383</v>
      </c>
      <c r="X24" s="70" t="s">
        <v>383</v>
      </c>
      <c r="Y24" s="70" t="s">
        <v>383</v>
      </c>
      <c r="Z24" s="70" t="s">
        <v>383</v>
      </c>
      <c r="AA24" s="70" t="s">
        <v>383</v>
      </c>
      <c r="AB24" s="70" t="s">
        <v>383</v>
      </c>
      <c r="AC24" s="70" t="s">
        <v>383</v>
      </c>
      <c r="AD24" s="70" t="s">
        <v>383</v>
      </c>
      <c r="AE24" s="157" t="s">
        <v>383</v>
      </c>
    </row>
    <row r="25" spans="1:31" ht="15" customHeight="1" x14ac:dyDescent="0.25">
      <c r="A25" s="156">
        <v>24</v>
      </c>
      <c r="B25" s="17" t="s">
        <v>34</v>
      </c>
      <c r="C25" s="70">
        <v>56</v>
      </c>
      <c r="D25" s="70">
        <v>56</v>
      </c>
      <c r="E25" s="70">
        <v>59</v>
      </c>
      <c r="F25" s="70">
        <v>64</v>
      </c>
      <c r="G25" s="70">
        <v>62</v>
      </c>
      <c r="H25" s="70">
        <v>61</v>
      </c>
      <c r="I25" s="70">
        <v>54</v>
      </c>
      <c r="J25" s="70">
        <v>53</v>
      </c>
      <c r="K25" s="70">
        <v>55</v>
      </c>
      <c r="L25" s="70">
        <v>53</v>
      </c>
      <c r="M25" s="70">
        <v>51</v>
      </c>
      <c r="N25" s="70">
        <v>47</v>
      </c>
      <c r="O25" s="70">
        <v>46</v>
      </c>
      <c r="P25" s="70">
        <v>47</v>
      </c>
      <c r="Q25" s="70">
        <v>49</v>
      </c>
      <c r="R25" s="70">
        <v>48</v>
      </c>
      <c r="S25" s="70">
        <v>50</v>
      </c>
      <c r="T25" s="70">
        <v>51</v>
      </c>
      <c r="U25" s="70">
        <v>50</v>
      </c>
      <c r="V25" s="70">
        <v>47</v>
      </c>
      <c r="W25" s="70">
        <v>50</v>
      </c>
      <c r="X25" s="70">
        <v>47</v>
      </c>
      <c r="Y25" s="70">
        <v>46</v>
      </c>
      <c r="Z25" s="70">
        <v>43</v>
      </c>
      <c r="AA25" s="70">
        <v>39</v>
      </c>
      <c r="AB25" s="70">
        <v>41</v>
      </c>
      <c r="AC25" s="70">
        <v>39</v>
      </c>
      <c r="AD25" s="70">
        <v>34</v>
      </c>
      <c r="AE25" s="157">
        <v>36</v>
      </c>
    </row>
    <row r="26" spans="1:31" ht="15" customHeight="1" x14ac:dyDescent="0.25">
      <c r="A26" s="156">
        <v>25</v>
      </c>
      <c r="B26" s="17" t="s">
        <v>35</v>
      </c>
      <c r="C26" s="70">
        <v>23</v>
      </c>
      <c r="D26" s="70">
        <v>25</v>
      </c>
      <c r="E26" s="70">
        <v>28</v>
      </c>
      <c r="F26" s="70">
        <v>25</v>
      </c>
      <c r="G26" s="70">
        <v>23</v>
      </c>
      <c r="H26" s="70">
        <v>21</v>
      </c>
      <c r="I26" s="70">
        <v>19</v>
      </c>
      <c r="J26" s="70">
        <v>20</v>
      </c>
      <c r="K26" s="70">
        <v>19</v>
      </c>
      <c r="L26" s="70">
        <v>20</v>
      </c>
      <c r="M26" s="70">
        <v>22</v>
      </c>
      <c r="N26" s="70">
        <v>23</v>
      </c>
      <c r="O26" s="70">
        <v>22</v>
      </c>
      <c r="P26" s="70">
        <v>23</v>
      </c>
      <c r="Q26" s="70">
        <v>24</v>
      </c>
      <c r="R26" s="70">
        <v>25</v>
      </c>
      <c r="S26" s="70">
        <v>26</v>
      </c>
      <c r="T26" s="70">
        <v>23</v>
      </c>
      <c r="U26" s="70">
        <v>23</v>
      </c>
      <c r="V26" s="70">
        <v>22</v>
      </c>
      <c r="W26" s="70">
        <v>24</v>
      </c>
      <c r="X26" s="70">
        <v>24</v>
      </c>
      <c r="Y26" s="70">
        <v>24</v>
      </c>
      <c r="Z26" s="70">
        <v>26</v>
      </c>
      <c r="AA26" s="70">
        <v>23</v>
      </c>
      <c r="AB26" s="70">
        <v>21</v>
      </c>
      <c r="AC26" s="70">
        <v>21</v>
      </c>
      <c r="AD26" s="70">
        <v>22</v>
      </c>
      <c r="AE26" s="157">
        <v>21</v>
      </c>
    </row>
    <row r="27" spans="1:31" ht="15" customHeight="1" x14ac:dyDescent="0.25">
      <c r="A27" s="156">
        <v>26</v>
      </c>
      <c r="B27" s="17" t="s">
        <v>36</v>
      </c>
      <c r="C27" s="70">
        <v>37</v>
      </c>
      <c r="D27" s="70">
        <v>37</v>
      </c>
      <c r="E27" s="70">
        <v>35</v>
      </c>
      <c r="F27" s="70">
        <v>43</v>
      </c>
      <c r="G27" s="70">
        <v>34</v>
      </c>
      <c r="H27" s="70">
        <v>34</v>
      </c>
      <c r="I27" s="70">
        <v>29</v>
      </c>
      <c r="J27" s="70">
        <v>32</v>
      </c>
      <c r="K27" s="70">
        <v>37</v>
      </c>
      <c r="L27" s="70">
        <v>41</v>
      </c>
      <c r="M27" s="70">
        <v>50</v>
      </c>
      <c r="N27" s="70">
        <v>53</v>
      </c>
      <c r="O27" s="70">
        <v>61</v>
      </c>
      <c r="P27" s="70">
        <v>57</v>
      </c>
      <c r="Q27" s="70">
        <v>56</v>
      </c>
      <c r="R27" s="70">
        <v>63</v>
      </c>
      <c r="S27" s="70">
        <v>59</v>
      </c>
      <c r="T27" s="70">
        <v>59</v>
      </c>
      <c r="U27" s="70">
        <v>64</v>
      </c>
      <c r="V27" s="70">
        <v>70</v>
      </c>
      <c r="W27" s="70">
        <v>63</v>
      </c>
      <c r="X27" s="70">
        <v>61</v>
      </c>
      <c r="Y27" s="70">
        <v>58</v>
      </c>
      <c r="Z27" s="70">
        <v>57</v>
      </c>
      <c r="AA27" s="70">
        <v>56</v>
      </c>
      <c r="AB27" s="70">
        <v>56</v>
      </c>
      <c r="AC27" s="70">
        <v>60</v>
      </c>
      <c r="AD27" s="70">
        <v>63</v>
      </c>
      <c r="AE27" s="157">
        <v>62</v>
      </c>
    </row>
    <row r="28" spans="1:31" ht="15" customHeight="1" x14ac:dyDescent="0.25">
      <c r="A28" s="156">
        <v>27</v>
      </c>
      <c r="B28" s="17" t="s">
        <v>37</v>
      </c>
      <c r="C28" s="70">
        <v>5</v>
      </c>
      <c r="D28" s="70">
        <v>5</v>
      </c>
      <c r="E28" s="70">
        <v>7</v>
      </c>
      <c r="F28" s="70">
        <v>6</v>
      </c>
      <c r="G28" s="70">
        <v>4</v>
      </c>
      <c r="H28" s="70" t="s">
        <v>383</v>
      </c>
      <c r="I28" s="70" t="s">
        <v>383</v>
      </c>
      <c r="J28" s="70" t="s">
        <v>383</v>
      </c>
      <c r="K28" s="70">
        <v>4</v>
      </c>
      <c r="L28" s="70">
        <v>9</v>
      </c>
      <c r="M28" s="70">
        <v>7</v>
      </c>
      <c r="N28" s="70">
        <v>8</v>
      </c>
      <c r="O28" s="70">
        <v>7</v>
      </c>
      <c r="P28" s="70">
        <v>7</v>
      </c>
      <c r="Q28" s="70">
        <v>7</v>
      </c>
      <c r="R28" s="70">
        <v>7</v>
      </c>
      <c r="S28" s="70">
        <v>6</v>
      </c>
      <c r="T28" s="70">
        <v>5</v>
      </c>
      <c r="U28" s="70">
        <v>5</v>
      </c>
      <c r="V28" s="70">
        <v>5</v>
      </c>
      <c r="W28" s="70">
        <v>6</v>
      </c>
      <c r="X28" s="70">
        <v>6</v>
      </c>
      <c r="Y28" s="70">
        <v>5</v>
      </c>
      <c r="Z28" s="70">
        <v>4</v>
      </c>
      <c r="AA28" s="70">
        <v>5</v>
      </c>
      <c r="AB28" s="70">
        <v>5</v>
      </c>
      <c r="AC28" s="70">
        <v>6</v>
      </c>
      <c r="AD28" s="70">
        <v>6</v>
      </c>
      <c r="AE28" s="157">
        <v>9</v>
      </c>
    </row>
    <row r="29" spans="1:31" ht="15" customHeight="1" x14ac:dyDescent="0.25">
      <c r="A29" s="156">
        <v>28</v>
      </c>
      <c r="B29" s="17" t="s">
        <v>38</v>
      </c>
      <c r="C29" s="70">
        <v>43</v>
      </c>
      <c r="D29" s="70">
        <v>51</v>
      </c>
      <c r="E29" s="70">
        <v>57</v>
      </c>
      <c r="F29" s="70">
        <v>58</v>
      </c>
      <c r="G29" s="70">
        <v>52</v>
      </c>
      <c r="H29" s="70">
        <v>51</v>
      </c>
      <c r="I29" s="70">
        <v>47</v>
      </c>
      <c r="J29" s="70">
        <v>52</v>
      </c>
      <c r="K29" s="70">
        <v>63</v>
      </c>
      <c r="L29" s="70">
        <v>68</v>
      </c>
      <c r="M29" s="70">
        <v>70</v>
      </c>
      <c r="N29" s="70">
        <v>75</v>
      </c>
      <c r="O29" s="70">
        <v>75</v>
      </c>
      <c r="P29" s="70">
        <v>76</v>
      </c>
      <c r="Q29" s="70">
        <v>85</v>
      </c>
      <c r="R29" s="70">
        <v>86</v>
      </c>
      <c r="S29" s="70">
        <v>86</v>
      </c>
      <c r="T29" s="70">
        <v>89</v>
      </c>
      <c r="U29" s="70">
        <v>93</v>
      </c>
      <c r="V29" s="70">
        <v>98</v>
      </c>
      <c r="W29" s="70">
        <v>94</v>
      </c>
      <c r="X29" s="70">
        <v>95</v>
      </c>
      <c r="Y29" s="70">
        <v>87</v>
      </c>
      <c r="Z29" s="70">
        <v>81</v>
      </c>
      <c r="AA29" s="70">
        <v>77</v>
      </c>
      <c r="AB29" s="70">
        <v>80</v>
      </c>
      <c r="AC29" s="70">
        <v>107</v>
      </c>
      <c r="AD29" s="70">
        <v>103</v>
      </c>
      <c r="AE29" s="157">
        <v>105</v>
      </c>
    </row>
    <row r="30" spans="1:31" ht="15" customHeight="1" x14ac:dyDescent="0.25">
      <c r="A30" s="156">
        <v>29</v>
      </c>
      <c r="B30" s="17" t="s">
        <v>39</v>
      </c>
      <c r="C30" s="70">
        <v>20</v>
      </c>
      <c r="D30" s="70">
        <v>18</v>
      </c>
      <c r="E30" s="70">
        <v>21</v>
      </c>
      <c r="F30" s="70">
        <v>18</v>
      </c>
      <c r="G30" s="70">
        <v>17</v>
      </c>
      <c r="H30" s="70">
        <v>13</v>
      </c>
      <c r="I30" s="70">
        <v>16</v>
      </c>
      <c r="J30" s="70">
        <v>15</v>
      </c>
      <c r="K30" s="70">
        <v>17</v>
      </c>
      <c r="L30" s="70">
        <v>15</v>
      </c>
      <c r="M30" s="70">
        <v>16</v>
      </c>
      <c r="N30" s="70">
        <v>18</v>
      </c>
      <c r="O30" s="70">
        <v>19</v>
      </c>
      <c r="P30" s="70">
        <v>20</v>
      </c>
      <c r="Q30" s="70">
        <v>23</v>
      </c>
      <c r="R30" s="70">
        <v>26</v>
      </c>
      <c r="S30" s="70">
        <v>25</v>
      </c>
      <c r="T30" s="70">
        <v>27</v>
      </c>
      <c r="U30" s="70">
        <v>25</v>
      </c>
      <c r="V30" s="70">
        <v>26</v>
      </c>
      <c r="W30" s="70">
        <v>26</v>
      </c>
      <c r="X30" s="70">
        <v>27</v>
      </c>
      <c r="Y30" s="70">
        <v>25</v>
      </c>
      <c r="Z30" s="70">
        <v>22</v>
      </c>
      <c r="AA30" s="70">
        <v>28</v>
      </c>
      <c r="AB30" s="70">
        <v>30</v>
      </c>
      <c r="AC30" s="70">
        <v>33</v>
      </c>
      <c r="AD30" s="70">
        <v>37</v>
      </c>
      <c r="AE30" s="157">
        <v>33</v>
      </c>
    </row>
    <row r="31" spans="1:31" ht="15" customHeight="1" x14ac:dyDescent="0.25">
      <c r="A31" s="156">
        <v>30</v>
      </c>
      <c r="B31" s="17" t="s">
        <v>40</v>
      </c>
      <c r="C31" s="70" t="s">
        <v>383</v>
      </c>
      <c r="D31" s="70">
        <v>4</v>
      </c>
      <c r="E31" s="70">
        <v>5</v>
      </c>
      <c r="F31" s="70">
        <v>5</v>
      </c>
      <c r="G31" s="70" t="s">
        <v>383</v>
      </c>
      <c r="H31" s="70" t="s">
        <v>383</v>
      </c>
      <c r="I31" s="70" t="s">
        <v>383</v>
      </c>
      <c r="J31" s="70" t="s">
        <v>383</v>
      </c>
      <c r="K31" s="70" t="s">
        <v>383</v>
      </c>
      <c r="L31" s="70" t="s">
        <v>383</v>
      </c>
      <c r="M31" s="70" t="s">
        <v>383</v>
      </c>
      <c r="N31" s="70" t="s">
        <v>383</v>
      </c>
      <c r="O31" s="70" t="s">
        <v>383</v>
      </c>
      <c r="P31" s="70" t="s">
        <v>383</v>
      </c>
      <c r="Q31" s="70" t="s">
        <v>383</v>
      </c>
      <c r="R31" s="70" t="s">
        <v>383</v>
      </c>
      <c r="S31" s="70" t="s">
        <v>383</v>
      </c>
      <c r="T31" s="70" t="s">
        <v>383</v>
      </c>
      <c r="U31" s="70" t="s">
        <v>383</v>
      </c>
      <c r="V31" s="70" t="s">
        <v>383</v>
      </c>
      <c r="W31" s="70" t="s">
        <v>383</v>
      </c>
      <c r="X31" s="70" t="s">
        <v>383</v>
      </c>
      <c r="Y31" s="70" t="s">
        <v>383</v>
      </c>
      <c r="Z31" s="70" t="s">
        <v>383</v>
      </c>
      <c r="AA31" s="70" t="s">
        <v>383</v>
      </c>
      <c r="AB31" s="70" t="s">
        <v>383</v>
      </c>
      <c r="AC31" s="70" t="s">
        <v>383</v>
      </c>
      <c r="AD31" s="70" t="s">
        <v>383</v>
      </c>
      <c r="AE31" s="157" t="s">
        <v>383</v>
      </c>
    </row>
    <row r="32" spans="1:31" ht="15" customHeight="1" x14ac:dyDescent="0.25">
      <c r="A32" s="156">
        <v>31</v>
      </c>
      <c r="B32" s="17" t="s">
        <v>41</v>
      </c>
      <c r="C32" s="70">
        <v>7</v>
      </c>
      <c r="D32" s="70">
        <v>4</v>
      </c>
      <c r="E32" s="70">
        <v>5</v>
      </c>
      <c r="F32" s="70">
        <v>6</v>
      </c>
      <c r="G32" s="70">
        <v>5</v>
      </c>
      <c r="H32" s="70">
        <v>7</v>
      </c>
      <c r="I32" s="70">
        <v>6</v>
      </c>
      <c r="J32" s="70">
        <v>5</v>
      </c>
      <c r="K32" s="70">
        <v>7</v>
      </c>
      <c r="L32" s="70">
        <v>8</v>
      </c>
      <c r="M32" s="70">
        <v>9</v>
      </c>
      <c r="N32" s="70">
        <v>8</v>
      </c>
      <c r="O32" s="70">
        <v>9</v>
      </c>
      <c r="P32" s="70">
        <v>9</v>
      </c>
      <c r="Q32" s="70">
        <v>8</v>
      </c>
      <c r="R32" s="70">
        <v>9</v>
      </c>
      <c r="S32" s="70">
        <v>11</v>
      </c>
      <c r="T32" s="70">
        <v>11</v>
      </c>
      <c r="U32" s="70">
        <v>13</v>
      </c>
      <c r="V32" s="70">
        <v>13</v>
      </c>
      <c r="W32" s="70">
        <v>12</v>
      </c>
      <c r="X32" s="70">
        <v>11</v>
      </c>
      <c r="Y32" s="70">
        <v>11</v>
      </c>
      <c r="Z32" s="70">
        <v>11</v>
      </c>
      <c r="AA32" s="70">
        <v>10</v>
      </c>
      <c r="AB32" s="70">
        <v>11</v>
      </c>
      <c r="AC32" s="70">
        <v>11</v>
      </c>
      <c r="AD32" s="70">
        <v>13</v>
      </c>
      <c r="AE32" s="157">
        <v>15</v>
      </c>
    </row>
    <row r="33" spans="1:32" ht="15" customHeight="1" x14ac:dyDescent="0.25">
      <c r="A33" s="156">
        <v>32</v>
      </c>
      <c r="B33" s="17" t="s">
        <v>42</v>
      </c>
      <c r="C33" s="70" t="s">
        <v>383</v>
      </c>
      <c r="D33" s="70" t="s">
        <v>383</v>
      </c>
      <c r="E33" s="70" t="s">
        <v>383</v>
      </c>
      <c r="F33" s="70" t="s">
        <v>383</v>
      </c>
      <c r="G33" s="70" t="s">
        <v>383</v>
      </c>
      <c r="H33" s="70" t="s">
        <v>383</v>
      </c>
      <c r="I33" s="70" t="s">
        <v>383</v>
      </c>
      <c r="J33" s="70" t="s">
        <v>383</v>
      </c>
      <c r="K33" s="70" t="s">
        <v>383</v>
      </c>
      <c r="L33" s="70" t="s">
        <v>383</v>
      </c>
      <c r="M33" s="70" t="s">
        <v>383</v>
      </c>
      <c r="N33" s="70" t="s">
        <v>383</v>
      </c>
      <c r="O33" s="70" t="s">
        <v>383</v>
      </c>
      <c r="P33" s="70" t="s">
        <v>383</v>
      </c>
      <c r="Q33" s="70" t="s">
        <v>383</v>
      </c>
      <c r="R33" s="70" t="s">
        <v>383</v>
      </c>
      <c r="S33" s="70" t="s">
        <v>383</v>
      </c>
      <c r="T33" s="70" t="s">
        <v>383</v>
      </c>
      <c r="U33" s="70" t="s">
        <v>383</v>
      </c>
      <c r="V33" s="70" t="s">
        <v>383</v>
      </c>
      <c r="W33" s="70" t="s">
        <v>383</v>
      </c>
      <c r="X33" s="70" t="s">
        <v>383</v>
      </c>
      <c r="Y33" s="70" t="s">
        <v>383</v>
      </c>
      <c r="Z33" s="70" t="s">
        <v>383</v>
      </c>
      <c r="AA33" s="70" t="s">
        <v>383</v>
      </c>
      <c r="AB33" s="70" t="s">
        <v>383</v>
      </c>
      <c r="AC33" s="70" t="s">
        <v>383</v>
      </c>
      <c r="AD33" s="70" t="s">
        <v>383</v>
      </c>
      <c r="AE33" s="157" t="s">
        <v>383</v>
      </c>
    </row>
    <row r="34" spans="1:32" ht="15" customHeight="1" x14ac:dyDescent="0.25">
      <c r="A34" s="156">
        <v>33</v>
      </c>
      <c r="B34" s="17" t="s">
        <v>43</v>
      </c>
      <c r="C34" s="70" t="s">
        <v>383</v>
      </c>
      <c r="D34" s="70" t="s">
        <v>383</v>
      </c>
      <c r="E34" s="70" t="s">
        <v>383</v>
      </c>
      <c r="F34" s="70" t="s">
        <v>383</v>
      </c>
      <c r="G34" s="70" t="s">
        <v>383</v>
      </c>
      <c r="H34" s="70" t="s">
        <v>383</v>
      </c>
      <c r="I34" s="70">
        <v>4</v>
      </c>
      <c r="J34" s="70">
        <v>5</v>
      </c>
      <c r="K34" s="70">
        <v>5</v>
      </c>
      <c r="L34" s="70">
        <v>5</v>
      </c>
      <c r="M34" s="70">
        <v>4</v>
      </c>
      <c r="N34" s="70">
        <v>4</v>
      </c>
      <c r="O34" s="70">
        <v>5</v>
      </c>
      <c r="P34" s="70">
        <v>5</v>
      </c>
      <c r="Q34" s="70">
        <v>5</v>
      </c>
      <c r="R34" s="70">
        <v>4</v>
      </c>
      <c r="S34" s="70">
        <v>4</v>
      </c>
      <c r="T34" s="70">
        <v>4</v>
      </c>
      <c r="U34" s="70">
        <v>4</v>
      </c>
      <c r="V34" s="70">
        <v>4</v>
      </c>
      <c r="W34" s="70">
        <v>5</v>
      </c>
      <c r="X34" s="70">
        <v>5</v>
      </c>
      <c r="Y34" s="70">
        <v>4</v>
      </c>
      <c r="Z34" s="70">
        <v>4</v>
      </c>
      <c r="AA34" s="70">
        <v>4</v>
      </c>
      <c r="AB34" s="70">
        <v>4</v>
      </c>
      <c r="AC34" s="70">
        <v>7</v>
      </c>
      <c r="AD34" s="70">
        <v>6</v>
      </c>
      <c r="AE34" s="157">
        <v>7</v>
      </c>
    </row>
    <row r="35" spans="1:32" ht="15" customHeight="1" x14ac:dyDescent="0.25">
      <c r="A35" s="156">
        <v>34</v>
      </c>
      <c r="B35" s="17" t="s">
        <v>44</v>
      </c>
      <c r="C35" s="70">
        <v>9</v>
      </c>
      <c r="D35" s="70">
        <v>9</v>
      </c>
      <c r="E35" s="70">
        <v>12</v>
      </c>
      <c r="F35" s="70">
        <v>11</v>
      </c>
      <c r="G35" s="70">
        <v>9</v>
      </c>
      <c r="H35" s="70">
        <v>8</v>
      </c>
      <c r="I35" s="70">
        <v>9</v>
      </c>
      <c r="J35" s="70">
        <v>9</v>
      </c>
      <c r="K35" s="70">
        <v>10</v>
      </c>
      <c r="L35" s="70">
        <v>9</v>
      </c>
      <c r="M35" s="70">
        <v>10</v>
      </c>
      <c r="N35" s="70">
        <v>10</v>
      </c>
      <c r="O35" s="70">
        <v>9</v>
      </c>
      <c r="P35" s="70">
        <v>8</v>
      </c>
      <c r="Q35" s="70">
        <v>9</v>
      </c>
      <c r="R35" s="70">
        <v>9</v>
      </c>
      <c r="S35" s="70">
        <v>8</v>
      </c>
      <c r="T35" s="70">
        <v>9</v>
      </c>
      <c r="U35" s="70">
        <v>9</v>
      </c>
      <c r="V35" s="70">
        <v>9</v>
      </c>
      <c r="W35" s="70">
        <v>9</v>
      </c>
      <c r="X35" s="70">
        <v>10</v>
      </c>
      <c r="Y35" s="70">
        <v>10</v>
      </c>
      <c r="Z35" s="70">
        <v>11</v>
      </c>
      <c r="AA35" s="70">
        <v>12</v>
      </c>
      <c r="AB35" s="70">
        <v>12</v>
      </c>
      <c r="AC35" s="70">
        <v>14</v>
      </c>
      <c r="AD35" s="70">
        <v>14</v>
      </c>
      <c r="AE35" s="157">
        <v>16</v>
      </c>
    </row>
    <row r="36" spans="1:32" ht="15" customHeight="1" x14ac:dyDescent="0.25">
      <c r="A36" s="156">
        <v>35</v>
      </c>
      <c r="B36" s="17" t="s">
        <v>45</v>
      </c>
      <c r="C36" s="70" t="s">
        <v>383</v>
      </c>
      <c r="D36" s="70" t="s">
        <v>383</v>
      </c>
      <c r="E36" s="70" t="s">
        <v>383</v>
      </c>
      <c r="F36" s="70" t="s">
        <v>383</v>
      </c>
      <c r="G36" s="70" t="s">
        <v>383</v>
      </c>
      <c r="H36" s="70" t="s">
        <v>383</v>
      </c>
      <c r="I36" s="70" t="s">
        <v>383</v>
      </c>
      <c r="J36" s="70" t="s">
        <v>383</v>
      </c>
      <c r="K36" s="70" t="s">
        <v>383</v>
      </c>
      <c r="L36" s="70" t="s">
        <v>383</v>
      </c>
      <c r="M36" s="70">
        <v>4</v>
      </c>
      <c r="N36" s="70">
        <v>5</v>
      </c>
      <c r="O36" s="70">
        <v>5</v>
      </c>
      <c r="P36" s="70" t="s">
        <v>383</v>
      </c>
      <c r="Q36" s="70" t="s">
        <v>383</v>
      </c>
      <c r="R36" s="70">
        <v>4</v>
      </c>
      <c r="S36" s="70">
        <v>5</v>
      </c>
      <c r="T36" s="70">
        <v>4</v>
      </c>
      <c r="U36" s="70" t="s">
        <v>383</v>
      </c>
      <c r="V36" s="70" t="s">
        <v>383</v>
      </c>
      <c r="W36" s="70" t="s">
        <v>383</v>
      </c>
      <c r="X36" s="70" t="s">
        <v>383</v>
      </c>
      <c r="Y36" s="70" t="s">
        <v>383</v>
      </c>
      <c r="Z36" s="70" t="s">
        <v>383</v>
      </c>
      <c r="AA36" s="70" t="s">
        <v>383</v>
      </c>
      <c r="AB36" s="70" t="s">
        <v>383</v>
      </c>
      <c r="AC36" s="70" t="s">
        <v>383</v>
      </c>
      <c r="AD36" s="70" t="s">
        <v>383</v>
      </c>
      <c r="AE36" s="157" t="s">
        <v>383</v>
      </c>
    </row>
    <row r="37" spans="1:32" ht="15" customHeight="1" x14ac:dyDescent="0.25">
      <c r="A37" s="156">
        <v>36</v>
      </c>
      <c r="B37" s="17" t="s">
        <v>46</v>
      </c>
      <c r="C37" s="70">
        <v>27</v>
      </c>
      <c r="D37" s="70">
        <v>26</v>
      </c>
      <c r="E37" s="70">
        <v>30</v>
      </c>
      <c r="F37" s="70">
        <v>26</v>
      </c>
      <c r="G37" s="70">
        <v>26</v>
      </c>
      <c r="H37" s="70">
        <v>23</v>
      </c>
      <c r="I37" s="70">
        <v>18</v>
      </c>
      <c r="J37" s="70">
        <v>16</v>
      </c>
      <c r="K37" s="70">
        <v>18</v>
      </c>
      <c r="L37" s="70">
        <v>22</v>
      </c>
      <c r="M37" s="70">
        <v>23</v>
      </c>
      <c r="N37" s="70">
        <v>27</v>
      </c>
      <c r="O37" s="70">
        <v>24</v>
      </c>
      <c r="P37" s="70">
        <v>26</v>
      </c>
      <c r="Q37" s="70">
        <v>24</v>
      </c>
      <c r="R37" s="70">
        <v>27</v>
      </c>
      <c r="S37" s="70">
        <v>29</v>
      </c>
      <c r="T37" s="70">
        <v>29</v>
      </c>
      <c r="U37" s="70">
        <v>31</v>
      </c>
      <c r="V37" s="70">
        <v>33</v>
      </c>
      <c r="W37" s="70">
        <v>38</v>
      </c>
      <c r="X37" s="70">
        <v>34</v>
      </c>
      <c r="Y37" s="70">
        <v>32</v>
      </c>
      <c r="Z37" s="70">
        <v>31</v>
      </c>
      <c r="AA37" s="70">
        <v>25</v>
      </c>
      <c r="AB37" s="70">
        <v>23</v>
      </c>
      <c r="AC37" s="70">
        <v>28</v>
      </c>
      <c r="AD37" s="70">
        <v>33</v>
      </c>
      <c r="AE37" s="157">
        <v>33</v>
      </c>
    </row>
    <row r="38" spans="1:32" ht="15" customHeight="1" thickBot="1" x14ac:dyDescent="0.3">
      <c r="A38" s="152">
        <v>37</v>
      </c>
      <c r="B38" s="15" t="s">
        <v>47</v>
      </c>
      <c r="C38" s="68" t="s">
        <v>383</v>
      </c>
      <c r="D38" s="68" t="s">
        <v>383</v>
      </c>
      <c r="E38" s="68" t="s">
        <v>383</v>
      </c>
      <c r="F38" s="68" t="s">
        <v>383</v>
      </c>
      <c r="G38" s="68" t="s">
        <v>383</v>
      </c>
      <c r="H38" s="68" t="s">
        <v>383</v>
      </c>
      <c r="I38" s="68" t="s">
        <v>383</v>
      </c>
      <c r="J38" s="68" t="s">
        <v>383</v>
      </c>
      <c r="K38" s="68" t="s">
        <v>383</v>
      </c>
      <c r="L38" s="68" t="s">
        <v>383</v>
      </c>
      <c r="M38" s="68">
        <v>4</v>
      </c>
      <c r="N38" s="68" t="s">
        <v>383</v>
      </c>
      <c r="O38" s="68">
        <v>4</v>
      </c>
      <c r="P38" s="68">
        <v>4</v>
      </c>
      <c r="Q38" s="68" t="s">
        <v>383</v>
      </c>
      <c r="R38" s="68" t="s">
        <v>383</v>
      </c>
      <c r="S38" s="68" t="s">
        <v>383</v>
      </c>
      <c r="T38" s="68" t="s">
        <v>383</v>
      </c>
      <c r="U38" s="68" t="s">
        <v>383</v>
      </c>
      <c r="V38" s="68" t="s">
        <v>383</v>
      </c>
      <c r="W38" s="68" t="s">
        <v>383</v>
      </c>
      <c r="X38" s="68" t="s">
        <v>383</v>
      </c>
      <c r="Y38" s="68" t="s">
        <v>383</v>
      </c>
      <c r="Z38" s="68" t="s">
        <v>383</v>
      </c>
      <c r="AA38" s="68" t="s">
        <v>383</v>
      </c>
      <c r="AB38" s="68" t="s">
        <v>383</v>
      </c>
      <c r="AC38" s="68">
        <v>4</v>
      </c>
      <c r="AD38" s="68">
        <v>6</v>
      </c>
      <c r="AE38" s="153">
        <v>5</v>
      </c>
    </row>
    <row r="39" spans="1:32" s="11" customFormat="1" ht="15" customHeight="1" thickBot="1" x14ac:dyDescent="0.3">
      <c r="A39" s="144" t="s">
        <v>48</v>
      </c>
      <c r="B39" s="9" t="s">
        <v>49</v>
      </c>
      <c r="C39" s="64">
        <v>6</v>
      </c>
      <c r="D39" s="64">
        <v>8</v>
      </c>
      <c r="E39" s="64">
        <v>8</v>
      </c>
      <c r="F39" s="64">
        <v>9</v>
      </c>
      <c r="G39" s="64">
        <v>8</v>
      </c>
      <c r="H39" s="64">
        <v>8</v>
      </c>
      <c r="I39" s="64">
        <v>8</v>
      </c>
      <c r="J39" s="64">
        <v>8</v>
      </c>
      <c r="K39" s="64">
        <v>9</v>
      </c>
      <c r="L39" s="64">
        <v>8</v>
      </c>
      <c r="M39" s="64">
        <v>8</v>
      </c>
      <c r="N39" s="64">
        <v>10</v>
      </c>
      <c r="O39" s="64">
        <v>9</v>
      </c>
      <c r="P39" s="64">
        <v>9</v>
      </c>
      <c r="Q39" s="64">
        <v>11</v>
      </c>
      <c r="R39" s="64">
        <v>12</v>
      </c>
      <c r="S39" s="64">
        <v>12</v>
      </c>
      <c r="T39" s="64">
        <v>13</v>
      </c>
      <c r="U39" s="64">
        <v>13</v>
      </c>
      <c r="V39" s="64">
        <v>12</v>
      </c>
      <c r="W39" s="64">
        <v>14</v>
      </c>
      <c r="X39" s="64">
        <v>13</v>
      </c>
      <c r="Y39" s="64">
        <v>14</v>
      </c>
      <c r="Z39" s="64">
        <v>16</v>
      </c>
      <c r="AA39" s="64">
        <v>18</v>
      </c>
      <c r="AB39" s="64">
        <v>20</v>
      </c>
      <c r="AC39" s="64">
        <v>21</v>
      </c>
      <c r="AD39" s="64">
        <v>21</v>
      </c>
      <c r="AE39" s="145">
        <v>23</v>
      </c>
      <c r="AF39" s="10"/>
    </row>
    <row r="40" spans="1:32" ht="15" customHeight="1" x14ac:dyDescent="0.25">
      <c r="A40" s="146">
        <v>40</v>
      </c>
      <c r="B40" s="12" t="s">
        <v>50</v>
      </c>
      <c r="C40" s="65" t="s">
        <v>383</v>
      </c>
      <c r="D40" s="65" t="s">
        <v>383</v>
      </c>
      <c r="E40" s="65" t="s">
        <v>383</v>
      </c>
      <c r="F40" s="65" t="s">
        <v>383</v>
      </c>
      <c r="G40" s="65" t="s">
        <v>383</v>
      </c>
      <c r="H40" s="65" t="s">
        <v>383</v>
      </c>
      <c r="I40" s="65" t="s">
        <v>383</v>
      </c>
      <c r="J40" s="65" t="s">
        <v>383</v>
      </c>
      <c r="K40" s="65" t="s">
        <v>383</v>
      </c>
      <c r="L40" s="65" t="s">
        <v>383</v>
      </c>
      <c r="M40" s="65" t="s">
        <v>383</v>
      </c>
      <c r="N40" s="65" t="s">
        <v>383</v>
      </c>
      <c r="O40" s="65" t="s">
        <v>383</v>
      </c>
      <c r="P40" s="65" t="s">
        <v>383</v>
      </c>
      <c r="Q40" s="65" t="s">
        <v>383</v>
      </c>
      <c r="R40" s="65">
        <v>8</v>
      </c>
      <c r="S40" s="65">
        <v>8</v>
      </c>
      <c r="T40" s="65">
        <v>9</v>
      </c>
      <c r="U40" s="65">
        <v>9</v>
      </c>
      <c r="V40" s="65" t="s">
        <v>383</v>
      </c>
      <c r="W40" s="65" t="s">
        <v>383</v>
      </c>
      <c r="X40" s="65" t="s">
        <v>383</v>
      </c>
      <c r="Y40" s="65">
        <v>10</v>
      </c>
      <c r="Z40" s="65">
        <v>12</v>
      </c>
      <c r="AA40" s="65" t="s">
        <v>383</v>
      </c>
      <c r="AB40" s="65" t="s">
        <v>383</v>
      </c>
      <c r="AC40" s="65">
        <v>17</v>
      </c>
      <c r="AD40" s="65" t="s">
        <v>383</v>
      </c>
      <c r="AE40" s="147" t="s">
        <v>383</v>
      </c>
    </row>
    <row r="41" spans="1:32" ht="15" customHeight="1" thickBot="1" x14ac:dyDescent="0.3">
      <c r="A41" s="158">
        <v>41</v>
      </c>
      <c r="B41" s="18" t="s">
        <v>51</v>
      </c>
      <c r="C41" s="71" t="s">
        <v>383</v>
      </c>
      <c r="D41" s="71" t="s">
        <v>383</v>
      </c>
      <c r="E41" s="71" t="s">
        <v>383</v>
      </c>
      <c r="F41" s="71" t="s">
        <v>383</v>
      </c>
      <c r="G41" s="71" t="s">
        <v>383</v>
      </c>
      <c r="H41" s="71" t="s">
        <v>383</v>
      </c>
      <c r="I41" s="71" t="s">
        <v>383</v>
      </c>
      <c r="J41" s="71" t="s">
        <v>383</v>
      </c>
      <c r="K41" s="71" t="s">
        <v>383</v>
      </c>
      <c r="L41" s="71" t="s">
        <v>383</v>
      </c>
      <c r="M41" s="71" t="s">
        <v>383</v>
      </c>
      <c r="N41" s="71" t="s">
        <v>383</v>
      </c>
      <c r="O41" s="71" t="s">
        <v>383</v>
      </c>
      <c r="P41" s="71" t="s">
        <v>383</v>
      </c>
      <c r="Q41" s="71" t="s">
        <v>383</v>
      </c>
      <c r="R41" s="71">
        <v>4</v>
      </c>
      <c r="S41" s="71">
        <v>4</v>
      </c>
      <c r="T41" s="71">
        <v>4</v>
      </c>
      <c r="U41" s="71">
        <v>4</v>
      </c>
      <c r="V41" s="71" t="s">
        <v>383</v>
      </c>
      <c r="W41" s="71" t="s">
        <v>383</v>
      </c>
      <c r="X41" s="71" t="s">
        <v>383</v>
      </c>
      <c r="Y41" s="71">
        <v>4</v>
      </c>
      <c r="Z41" s="71">
        <v>4</v>
      </c>
      <c r="AA41" s="71" t="s">
        <v>383</v>
      </c>
      <c r="AB41" s="71" t="s">
        <v>383</v>
      </c>
      <c r="AC41" s="71">
        <v>4</v>
      </c>
      <c r="AD41" s="71" t="s">
        <v>383</v>
      </c>
      <c r="AE41" s="159" t="s">
        <v>383</v>
      </c>
    </row>
    <row r="42" spans="1:32" s="11" customFormat="1" ht="15" customHeight="1" thickBot="1" x14ac:dyDescent="0.3">
      <c r="A42" s="160" t="s">
        <v>52</v>
      </c>
      <c r="B42" s="19" t="s">
        <v>53</v>
      </c>
      <c r="C42" s="64">
        <v>146</v>
      </c>
      <c r="D42" s="64">
        <v>175</v>
      </c>
      <c r="E42" s="64">
        <v>192</v>
      </c>
      <c r="F42" s="64">
        <v>192</v>
      </c>
      <c r="G42" s="64">
        <v>176</v>
      </c>
      <c r="H42" s="64">
        <v>174</v>
      </c>
      <c r="I42" s="64">
        <v>132</v>
      </c>
      <c r="J42" s="64">
        <v>149</v>
      </c>
      <c r="K42" s="64">
        <v>171</v>
      </c>
      <c r="L42" s="64">
        <v>202</v>
      </c>
      <c r="M42" s="64">
        <v>243</v>
      </c>
      <c r="N42" s="64">
        <v>288</v>
      </c>
      <c r="O42" s="64">
        <v>300</v>
      </c>
      <c r="P42" s="64">
        <v>328</v>
      </c>
      <c r="Q42" s="64">
        <v>368</v>
      </c>
      <c r="R42" s="64">
        <v>388</v>
      </c>
      <c r="S42" s="64">
        <v>404</v>
      </c>
      <c r="T42" s="64">
        <v>426</v>
      </c>
      <c r="U42" s="64">
        <v>462</v>
      </c>
      <c r="V42" s="64">
        <v>444</v>
      </c>
      <c r="W42" s="64">
        <v>453</v>
      </c>
      <c r="X42" s="64">
        <v>475</v>
      </c>
      <c r="Y42" s="64">
        <v>458</v>
      </c>
      <c r="Z42" s="64">
        <v>450</v>
      </c>
      <c r="AA42" s="64">
        <v>428</v>
      </c>
      <c r="AB42" s="64">
        <v>455</v>
      </c>
      <c r="AC42" s="64">
        <v>473</v>
      </c>
      <c r="AD42" s="64">
        <v>481</v>
      </c>
      <c r="AE42" s="145">
        <v>475</v>
      </c>
      <c r="AF42" s="10"/>
    </row>
    <row r="43" spans="1:32" ht="15" customHeight="1" thickBot="1" x14ac:dyDescent="0.3">
      <c r="A43" s="150">
        <v>45</v>
      </c>
      <c r="B43" s="14" t="s">
        <v>54</v>
      </c>
      <c r="C43" s="67">
        <v>146</v>
      </c>
      <c r="D43" s="67">
        <v>175</v>
      </c>
      <c r="E43" s="67">
        <v>192</v>
      </c>
      <c r="F43" s="67">
        <v>192</v>
      </c>
      <c r="G43" s="67">
        <v>176</v>
      </c>
      <c r="H43" s="67">
        <v>174</v>
      </c>
      <c r="I43" s="67">
        <v>132</v>
      </c>
      <c r="J43" s="67">
        <v>149</v>
      </c>
      <c r="K43" s="67">
        <v>171</v>
      </c>
      <c r="L43" s="67">
        <v>202</v>
      </c>
      <c r="M43" s="67">
        <v>243</v>
      </c>
      <c r="N43" s="67">
        <v>288</v>
      </c>
      <c r="O43" s="67">
        <v>300</v>
      </c>
      <c r="P43" s="67">
        <v>328</v>
      </c>
      <c r="Q43" s="67">
        <v>368</v>
      </c>
      <c r="R43" s="67">
        <v>388</v>
      </c>
      <c r="S43" s="67">
        <v>404</v>
      </c>
      <c r="T43" s="67">
        <v>426</v>
      </c>
      <c r="U43" s="67">
        <v>462</v>
      </c>
      <c r="V43" s="67">
        <v>444</v>
      </c>
      <c r="W43" s="67">
        <v>453</v>
      </c>
      <c r="X43" s="67">
        <v>475</v>
      </c>
      <c r="Y43" s="67">
        <v>458</v>
      </c>
      <c r="Z43" s="67">
        <v>450</v>
      </c>
      <c r="AA43" s="67">
        <v>428</v>
      </c>
      <c r="AB43" s="67">
        <v>455</v>
      </c>
      <c r="AC43" s="67">
        <v>473</v>
      </c>
      <c r="AD43" s="67">
        <v>481</v>
      </c>
      <c r="AE43" s="151">
        <v>475</v>
      </c>
    </row>
    <row r="44" spans="1:32" s="11" customFormat="1" ht="15" customHeight="1" thickBot="1" x14ac:dyDescent="0.3">
      <c r="A44" s="144" t="s">
        <v>55</v>
      </c>
      <c r="B44" s="9" t="s">
        <v>56</v>
      </c>
      <c r="C44" s="64">
        <v>1062</v>
      </c>
      <c r="D44" s="64">
        <v>1075</v>
      </c>
      <c r="E44" s="64">
        <v>1145</v>
      </c>
      <c r="F44" s="64">
        <v>1206</v>
      </c>
      <c r="G44" s="64">
        <v>1199</v>
      </c>
      <c r="H44" s="64">
        <v>1155</v>
      </c>
      <c r="I44" s="64">
        <v>1058</v>
      </c>
      <c r="J44" s="64">
        <v>1154</v>
      </c>
      <c r="K44" s="64">
        <v>1308</v>
      </c>
      <c r="L44" s="64">
        <v>1405</v>
      </c>
      <c r="M44" s="64">
        <v>1559</v>
      </c>
      <c r="N44" s="64">
        <v>1673</v>
      </c>
      <c r="O44" s="64">
        <v>1835</v>
      </c>
      <c r="P44" s="64">
        <v>1918</v>
      </c>
      <c r="Q44" s="64">
        <v>2030</v>
      </c>
      <c r="R44" s="64">
        <v>2028</v>
      </c>
      <c r="S44" s="64">
        <v>2083</v>
      </c>
      <c r="T44" s="64">
        <v>2093</v>
      </c>
      <c r="U44" s="64">
        <v>2091</v>
      </c>
      <c r="V44" s="64">
        <v>2162</v>
      </c>
      <c r="W44" s="64">
        <v>2197</v>
      </c>
      <c r="X44" s="64">
        <v>2233</v>
      </c>
      <c r="Y44" s="64">
        <v>2199</v>
      </c>
      <c r="Z44" s="64">
        <v>2145</v>
      </c>
      <c r="AA44" s="64">
        <v>2005</v>
      </c>
      <c r="AB44" s="64">
        <v>2038</v>
      </c>
      <c r="AC44" s="64">
        <v>2257</v>
      </c>
      <c r="AD44" s="64">
        <v>2279</v>
      </c>
      <c r="AE44" s="145">
        <v>2286</v>
      </c>
      <c r="AF44" s="10"/>
    </row>
    <row r="45" spans="1:32" ht="15" customHeight="1" x14ac:dyDescent="0.25">
      <c r="A45" s="146">
        <v>50</v>
      </c>
      <c r="B45" s="12" t="s">
        <v>57</v>
      </c>
      <c r="C45" s="65">
        <v>167</v>
      </c>
      <c r="D45" s="65">
        <v>179</v>
      </c>
      <c r="E45" s="65">
        <v>198</v>
      </c>
      <c r="F45" s="65">
        <v>202</v>
      </c>
      <c r="G45" s="65">
        <v>193</v>
      </c>
      <c r="H45" s="65">
        <v>190</v>
      </c>
      <c r="I45" s="65">
        <v>169</v>
      </c>
      <c r="J45" s="65">
        <v>185</v>
      </c>
      <c r="K45" s="65">
        <v>200</v>
      </c>
      <c r="L45" s="65">
        <v>214</v>
      </c>
      <c r="M45" s="65">
        <v>233</v>
      </c>
      <c r="N45" s="65">
        <v>242</v>
      </c>
      <c r="O45" s="65">
        <v>265</v>
      </c>
      <c r="P45" s="65">
        <v>281</v>
      </c>
      <c r="Q45" s="65">
        <v>286</v>
      </c>
      <c r="R45" s="65">
        <v>299</v>
      </c>
      <c r="S45" s="65">
        <v>287</v>
      </c>
      <c r="T45" s="65">
        <v>296</v>
      </c>
      <c r="U45" s="65">
        <v>298</v>
      </c>
      <c r="V45" s="65">
        <v>306</v>
      </c>
      <c r="W45" s="65">
        <v>315</v>
      </c>
      <c r="X45" s="65">
        <v>314</v>
      </c>
      <c r="Y45" s="65">
        <v>309</v>
      </c>
      <c r="Z45" s="65">
        <v>303</v>
      </c>
      <c r="AA45" s="65">
        <v>298</v>
      </c>
      <c r="AB45" s="65">
        <v>296</v>
      </c>
      <c r="AC45" s="65">
        <v>309</v>
      </c>
      <c r="AD45" s="65">
        <v>323</v>
      </c>
      <c r="AE45" s="147">
        <v>334</v>
      </c>
    </row>
    <row r="46" spans="1:32" ht="15" customHeight="1" x14ac:dyDescent="0.25">
      <c r="A46" s="156">
        <v>51</v>
      </c>
      <c r="B46" s="17" t="s">
        <v>58</v>
      </c>
      <c r="C46" s="70">
        <v>222</v>
      </c>
      <c r="D46" s="70">
        <v>229</v>
      </c>
      <c r="E46" s="70">
        <v>236</v>
      </c>
      <c r="F46" s="70">
        <v>254</v>
      </c>
      <c r="G46" s="70">
        <v>264</v>
      </c>
      <c r="H46" s="70">
        <v>253</v>
      </c>
      <c r="I46" s="70">
        <v>220</v>
      </c>
      <c r="J46" s="70">
        <v>234</v>
      </c>
      <c r="K46" s="70">
        <v>262</v>
      </c>
      <c r="L46" s="70">
        <v>285</v>
      </c>
      <c r="M46" s="70">
        <v>310</v>
      </c>
      <c r="N46" s="70">
        <v>338</v>
      </c>
      <c r="O46" s="70">
        <v>367</v>
      </c>
      <c r="P46" s="70">
        <v>357</v>
      </c>
      <c r="Q46" s="70">
        <v>386</v>
      </c>
      <c r="R46" s="70">
        <v>380</v>
      </c>
      <c r="S46" s="70">
        <v>402</v>
      </c>
      <c r="T46" s="70">
        <v>397</v>
      </c>
      <c r="U46" s="70">
        <v>379</v>
      </c>
      <c r="V46" s="70">
        <v>383</v>
      </c>
      <c r="W46" s="70">
        <v>385</v>
      </c>
      <c r="X46" s="70">
        <v>393</v>
      </c>
      <c r="Y46" s="70">
        <v>380</v>
      </c>
      <c r="Z46" s="70">
        <v>372</v>
      </c>
      <c r="AA46" s="70">
        <v>361</v>
      </c>
      <c r="AB46" s="70">
        <v>385</v>
      </c>
      <c r="AC46" s="70">
        <v>419</v>
      </c>
      <c r="AD46" s="70">
        <v>433</v>
      </c>
      <c r="AE46" s="157">
        <v>442</v>
      </c>
    </row>
    <row r="47" spans="1:32" ht="15" customHeight="1" thickBot="1" x14ac:dyDescent="0.3">
      <c r="A47" s="158">
        <v>52</v>
      </c>
      <c r="B47" s="18" t="s">
        <v>59</v>
      </c>
      <c r="C47" s="71">
        <v>673</v>
      </c>
      <c r="D47" s="71">
        <v>667</v>
      </c>
      <c r="E47" s="71">
        <v>711</v>
      </c>
      <c r="F47" s="71">
        <v>750</v>
      </c>
      <c r="G47" s="71">
        <v>742</v>
      </c>
      <c r="H47" s="71">
        <v>712</v>
      </c>
      <c r="I47" s="71">
        <v>669</v>
      </c>
      <c r="J47" s="71">
        <v>735</v>
      </c>
      <c r="K47" s="71">
        <v>846</v>
      </c>
      <c r="L47" s="71">
        <v>906</v>
      </c>
      <c r="M47" s="71">
        <v>1016</v>
      </c>
      <c r="N47" s="71">
        <v>1093</v>
      </c>
      <c r="O47" s="71">
        <v>1203</v>
      </c>
      <c r="P47" s="71">
        <v>1280</v>
      </c>
      <c r="Q47" s="71">
        <v>1358</v>
      </c>
      <c r="R47" s="71">
        <v>1349</v>
      </c>
      <c r="S47" s="71">
        <v>1394</v>
      </c>
      <c r="T47" s="71">
        <v>1400</v>
      </c>
      <c r="U47" s="71">
        <v>1414</v>
      </c>
      <c r="V47" s="71">
        <v>1473</v>
      </c>
      <c r="W47" s="71">
        <v>1497</v>
      </c>
      <c r="X47" s="71">
        <v>1526</v>
      </c>
      <c r="Y47" s="71">
        <v>1510</v>
      </c>
      <c r="Z47" s="71">
        <v>1470</v>
      </c>
      <c r="AA47" s="71">
        <v>1346</v>
      </c>
      <c r="AB47" s="71">
        <v>1357</v>
      </c>
      <c r="AC47" s="71">
        <v>1529</v>
      </c>
      <c r="AD47" s="71">
        <v>1523</v>
      </c>
      <c r="AE47" s="159">
        <v>1510</v>
      </c>
    </row>
    <row r="48" spans="1:32" s="11" customFormat="1" ht="15" customHeight="1" thickBot="1" x14ac:dyDescent="0.3">
      <c r="A48" s="160" t="s">
        <v>60</v>
      </c>
      <c r="B48" s="19" t="s">
        <v>61</v>
      </c>
      <c r="C48" s="64">
        <v>106</v>
      </c>
      <c r="D48" s="64">
        <v>109</v>
      </c>
      <c r="E48" s="64">
        <v>115</v>
      </c>
      <c r="F48" s="64">
        <v>123</v>
      </c>
      <c r="G48" s="64">
        <v>123</v>
      </c>
      <c r="H48" s="64">
        <v>117</v>
      </c>
      <c r="I48" s="64">
        <v>115</v>
      </c>
      <c r="J48" s="64">
        <v>126</v>
      </c>
      <c r="K48" s="64">
        <v>139</v>
      </c>
      <c r="L48" s="64">
        <v>169</v>
      </c>
      <c r="M48" s="64">
        <v>187</v>
      </c>
      <c r="N48" s="64">
        <v>205</v>
      </c>
      <c r="O48" s="64">
        <v>237</v>
      </c>
      <c r="P48" s="64">
        <v>265</v>
      </c>
      <c r="Q48" s="64">
        <v>272</v>
      </c>
      <c r="R48" s="64">
        <v>283</v>
      </c>
      <c r="S48" s="64">
        <v>303</v>
      </c>
      <c r="T48" s="64">
        <v>325</v>
      </c>
      <c r="U48" s="64">
        <v>326</v>
      </c>
      <c r="V48" s="64">
        <v>322</v>
      </c>
      <c r="W48" s="64">
        <v>336</v>
      </c>
      <c r="X48" s="64">
        <v>345</v>
      </c>
      <c r="Y48" s="64">
        <v>365</v>
      </c>
      <c r="Z48" s="64">
        <v>347</v>
      </c>
      <c r="AA48" s="64">
        <v>311</v>
      </c>
      <c r="AB48" s="64">
        <v>316</v>
      </c>
      <c r="AC48" s="64">
        <v>363</v>
      </c>
      <c r="AD48" s="64">
        <v>365</v>
      </c>
      <c r="AE48" s="145">
        <v>339</v>
      </c>
      <c r="AF48" s="10"/>
    </row>
    <row r="49" spans="1:32" ht="15" customHeight="1" thickBot="1" x14ac:dyDescent="0.3">
      <c r="A49" s="150">
        <v>55</v>
      </c>
      <c r="B49" s="14" t="s">
        <v>62</v>
      </c>
      <c r="C49" s="67">
        <v>106</v>
      </c>
      <c r="D49" s="67">
        <v>109</v>
      </c>
      <c r="E49" s="67">
        <v>115</v>
      </c>
      <c r="F49" s="67">
        <v>123</v>
      </c>
      <c r="G49" s="67">
        <v>123</v>
      </c>
      <c r="H49" s="67">
        <v>117</v>
      </c>
      <c r="I49" s="67">
        <v>115</v>
      </c>
      <c r="J49" s="67">
        <v>126</v>
      </c>
      <c r="K49" s="67">
        <v>139</v>
      </c>
      <c r="L49" s="67">
        <v>169</v>
      </c>
      <c r="M49" s="67">
        <v>187</v>
      </c>
      <c r="N49" s="67">
        <v>205</v>
      </c>
      <c r="O49" s="67">
        <v>237</v>
      </c>
      <c r="P49" s="67">
        <v>265</v>
      </c>
      <c r="Q49" s="67">
        <v>272</v>
      </c>
      <c r="R49" s="67">
        <v>283</v>
      </c>
      <c r="S49" s="67">
        <v>303</v>
      </c>
      <c r="T49" s="67">
        <v>325</v>
      </c>
      <c r="U49" s="67">
        <v>326</v>
      </c>
      <c r="V49" s="67">
        <v>322</v>
      </c>
      <c r="W49" s="67">
        <v>336</v>
      </c>
      <c r="X49" s="67">
        <v>345</v>
      </c>
      <c r="Y49" s="67">
        <v>365</v>
      </c>
      <c r="Z49" s="67">
        <v>347</v>
      </c>
      <c r="AA49" s="67">
        <v>311</v>
      </c>
      <c r="AB49" s="67">
        <v>316</v>
      </c>
      <c r="AC49" s="67">
        <v>363</v>
      </c>
      <c r="AD49" s="67">
        <v>365</v>
      </c>
      <c r="AE49" s="151">
        <v>339</v>
      </c>
    </row>
    <row r="50" spans="1:32" s="11" customFormat="1" ht="15" customHeight="1" thickBot="1" x14ac:dyDescent="0.3">
      <c r="A50" s="144" t="s">
        <v>63</v>
      </c>
      <c r="B50" s="9" t="s">
        <v>64</v>
      </c>
      <c r="C50" s="64">
        <v>221</v>
      </c>
      <c r="D50" s="64">
        <v>246</v>
      </c>
      <c r="E50" s="64">
        <v>261</v>
      </c>
      <c r="F50" s="64">
        <v>294</v>
      </c>
      <c r="G50" s="64">
        <v>280</v>
      </c>
      <c r="H50" s="64">
        <v>277</v>
      </c>
      <c r="I50" s="64">
        <v>259</v>
      </c>
      <c r="J50" s="64">
        <v>281</v>
      </c>
      <c r="K50" s="64">
        <v>312</v>
      </c>
      <c r="L50" s="64">
        <v>355</v>
      </c>
      <c r="M50" s="64">
        <v>387</v>
      </c>
      <c r="N50" s="64">
        <v>426</v>
      </c>
      <c r="O50" s="64">
        <v>438</v>
      </c>
      <c r="P50" s="64">
        <v>478</v>
      </c>
      <c r="Q50" s="64">
        <v>461</v>
      </c>
      <c r="R50" s="64">
        <v>473</v>
      </c>
      <c r="S50" s="64">
        <v>496</v>
      </c>
      <c r="T50" s="64">
        <v>496</v>
      </c>
      <c r="U50" s="64">
        <v>498</v>
      </c>
      <c r="V50" s="64">
        <v>507</v>
      </c>
      <c r="W50" s="64">
        <v>487</v>
      </c>
      <c r="X50" s="64">
        <v>488</v>
      </c>
      <c r="Y50" s="64">
        <v>476</v>
      </c>
      <c r="Z50" s="64">
        <v>467</v>
      </c>
      <c r="AA50" s="64">
        <v>436</v>
      </c>
      <c r="AB50" s="64">
        <v>435</v>
      </c>
      <c r="AC50" s="64">
        <v>446</v>
      </c>
      <c r="AD50" s="64">
        <v>461</v>
      </c>
      <c r="AE50" s="145">
        <v>468</v>
      </c>
      <c r="AF50" s="10"/>
    </row>
    <row r="51" spans="1:32" ht="15" customHeight="1" x14ac:dyDescent="0.25">
      <c r="A51" s="152">
        <v>60</v>
      </c>
      <c r="B51" s="15" t="s">
        <v>65</v>
      </c>
      <c r="C51" s="68">
        <v>168</v>
      </c>
      <c r="D51" s="68">
        <v>182</v>
      </c>
      <c r="E51" s="68">
        <v>191</v>
      </c>
      <c r="F51" s="68">
        <v>210</v>
      </c>
      <c r="G51" s="68">
        <v>197</v>
      </c>
      <c r="H51" s="68">
        <v>196</v>
      </c>
      <c r="I51" s="68">
        <v>186</v>
      </c>
      <c r="J51" s="68">
        <v>201</v>
      </c>
      <c r="K51" s="68">
        <v>220</v>
      </c>
      <c r="L51" s="68">
        <v>248</v>
      </c>
      <c r="M51" s="68">
        <v>273</v>
      </c>
      <c r="N51" s="68">
        <v>305</v>
      </c>
      <c r="O51" s="68">
        <v>318</v>
      </c>
      <c r="P51" s="68">
        <v>351</v>
      </c>
      <c r="Q51" s="68">
        <v>332</v>
      </c>
      <c r="R51" s="68">
        <v>340</v>
      </c>
      <c r="S51" s="68">
        <v>355</v>
      </c>
      <c r="T51" s="68">
        <v>351</v>
      </c>
      <c r="U51" s="68">
        <v>360</v>
      </c>
      <c r="V51" s="68">
        <v>367</v>
      </c>
      <c r="W51" s="68">
        <v>354</v>
      </c>
      <c r="X51" s="68">
        <v>357</v>
      </c>
      <c r="Y51" s="68">
        <v>348</v>
      </c>
      <c r="Z51" s="68">
        <v>344</v>
      </c>
      <c r="AA51" s="68">
        <v>324</v>
      </c>
      <c r="AB51" s="68">
        <v>321</v>
      </c>
      <c r="AC51" s="68">
        <v>320</v>
      </c>
      <c r="AD51" s="68">
        <v>326</v>
      </c>
      <c r="AE51" s="153">
        <v>330</v>
      </c>
    </row>
    <row r="52" spans="1:32" ht="15" customHeight="1" x14ac:dyDescent="0.25">
      <c r="A52" s="161">
        <v>61</v>
      </c>
      <c r="B52" s="20" t="s">
        <v>66</v>
      </c>
      <c r="C52" s="73" t="s">
        <v>383</v>
      </c>
      <c r="D52" s="73" t="s">
        <v>383</v>
      </c>
      <c r="E52" s="73" t="s">
        <v>383</v>
      </c>
      <c r="F52" s="73" t="s">
        <v>383</v>
      </c>
      <c r="G52" s="73" t="s">
        <v>383</v>
      </c>
      <c r="H52" s="73" t="s">
        <v>383</v>
      </c>
      <c r="I52" s="73" t="s">
        <v>383</v>
      </c>
      <c r="J52" s="73" t="s">
        <v>383</v>
      </c>
      <c r="K52" s="73" t="s">
        <v>383</v>
      </c>
      <c r="L52" s="73" t="s">
        <v>383</v>
      </c>
      <c r="M52" s="73" t="s">
        <v>383</v>
      </c>
      <c r="N52" s="73" t="s">
        <v>383</v>
      </c>
      <c r="O52" s="73" t="s">
        <v>383</v>
      </c>
      <c r="P52" s="73" t="s">
        <v>383</v>
      </c>
      <c r="Q52" s="73" t="s">
        <v>383</v>
      </c>
      <c r="R52" s="73" t="s">
        <v>383</v>
      </c>
      <c r="S52" s="73" t="s">
        <v>383</v>
      </c>
      <c r="T52" s="73" t="s">
        <v>383</v>
      </c>
      <c r="U52" s="73" t="s">
        <v>383</v>
      </c>
      <c r="V52" s="73" t="s">
        <v>383</v>
      </c>
      <c r="W52" s="73" t="s">
        <v>383</v>
      </c>
      <c r="X52" s="73" t="s">
        <v>383</v>
      </c>
      <c r="Y52" s="73" t="s">
        <v>383</v>
      </c>
      <c r="Z52" s="73" t="s">
        <v>383</v>
      </c>
      <c r="AA52" s="73" t="s">
        <v>383</v>
      </c>
      <c r="AB52" s="73" t="s">
        <v>383</v>
      </c>
      <c r="AC52" s="73" t="s">
        <v>383</v>
      </c>
      <c r="AD52" s="73" t="s">
        <v>383</v>
      </c>
      <c r="AE52" s="162" t="s">
        <v>383</v>
      </c>
    </row>
    <row r="53" spans="1:32" ht="15" customHeight="1" x14ac:dyDescent="0.25">
      <c r="A53" s="152">
        <v>62</v>
      </c>
      <c r="B53" s="15" t="s">
        <v>67</v>
      </c>
      <c r="C53" s="68" t="s">
        <v>383</v>
      </c>
      <c r="D53" s="68" t="s">
        <v>383</v>
      </c>
      <c r="E53" s="68" t="s">
        <v>383</v>
      </c>
      <c r="F53" s="68" t="s">
        <v>383</v>
      </c>
      <c r="G53" s="68" t="s">
        <v>383</v>
      </c>
      <c r="H53" s="68" t="s">
        <v>383</v>
      </c>
      <c r="I53" s="68" t="s">
        <v>383</v>
      </c>
      <c r="J53" s="68" t="s">
        <v>383</v>
      </c>
      <c r="K53" s="68" t="s">
        <v>383</v>
      </c>
      <c r="L53" s="68" t="s">
        <v>383</v>
      </c>
      <c r="M53" s="68" t="s">
        <v>383</v>
      </c>
      <c r="N53" s="68" t="s">
        <v>383</v>
      </c>
      <c r="O53" s="68" t="s">
        <v>383</v>
      </c>
      <c r="P53" s="68" t="s">
        <v>383</v>
      </c>
      <c r="Q53" s="68" t="s">
        <v>383</v>
      </c>
      <c r="R53" s="68" t="s">
        <v>383</v>
      </c>
      <c r="S53" s="68" t="s">
        <v>383</v>
      </c>
      <c r="T53" s="68" t="s">
        <v>383</v>
      </c>
      <c r="U53" s="68" t="s">
        <v>383</v>
      </c>
      <c r="V53" s="68" t="s">
        <v>383</v>
      </c>
      <c r="W53" s="68" t="s">
        <v>383</v>
      </c>
      <c r="X53" s="68" t="s">
        <v>383</v>
      </c>
      <c r="Y53" s="68" t="s">
        <v>383</v>
      </c>
      <c r="Z53" s="68" t="s">
        <v>383</v>
      </c>
      <c r="AA53" s="68" t="s">
        <v>383</v>
      </c>
      <c r="AB53" s="68" t="s">
        <v>383</v>
      </c>
      <c r="AC53" s="68" t="s">
        <v>383</v>
      </c>
      <c r="AD53" s="68" t="s">
        <v>383</v>
      </c>
      <c r="AE53" s="153" t="s">
        <v>383</v>
      </c>
    </row>
    <row r="54" spans="1:32" ht="15" customHeight="1" x14ac:dyDescent="0.25">
      <c r="A54" s="163">
        <v>63</v>
      </c>
      <c r="B54" s="21" t="s">
        <v>68</v>
      </c>
      <c r="C54" s="74">
        <v>27</v>
      </c>
      <c r="D54" s="74">
        <v>34</v>
      </c>
      <c r="E54" s="74">
        <v>37</v>
      </c>
      <c r="F54" s="74">
        <v>37</v>
      </c>
      <c r="G54" s="74">
        <v>39</v>
      </c>
      <c r="H54" s="74">
        <v>40</v>
      </c>
      <c r="I54" s="74">
        <v>37</v>
      </c>
      <c r="J54" s="74">
        <v>44</v>
      </c>
      <c r="K54" s="74">
        <v>48</v>
      </c>
      <c r="L54" s="74">
        <v>59</v>
      </c>
      <c r="M54" s="74">
        <v>67</v>
      </c>
      <c r="N54" s="74">
        <v>72</v>
      </c>
      <c r="O54" s="74">
        <v>71</v>
      </c>
      <c r="P54" s="74">
        <v>79</v>
      </c>
      <c r="Q54" s="74">
        <v>84</v>
      </c>
      <c r="R54" s="74">
        <v>88</v>
      </c>
      <c r="S54" s="74">
        <v>94</v>
      </c>
      <c r="T54" s="74">
        <v>98</v>
      </c>
      <c r="U54" s="74">
        <v>94</v>
      </c>
      <c r="V54" s="74">
        <v>93</v>
      </c>
      <c r="W54" s="74">
        <v>86</v>
      </c>
      <c r="X54" s="74">
        <v>84</v>
      </c>
      <c r="Y54" s="74">
        <v>84</v>
      </c>
      <c r="Z54" s="74">
        <v>83</v>
      </c>
      <c r="AA54" s="74">
        <v>74</v>
      </c>
      <c r="AB54" s="74">
        <v>67</v>
      </c>
      <c r="AC54" s="74">
        <v>82</v>
      </c>
      <c r="AD54" s="74">
        <v>89</v>
      </c>
      <c r="AE54" s="164">
        <v>93</v>
      </c>
    </row>
    <row r="55" spans="1:32" ht="15" customHeight="1" thickBot="1" x14ac:dyDescent="0.3">
      <c r="A55" s="152">
        <v>64</v>
      </c>
      <c r="B55" s="15" t="s">
        <v>99</v>
      </c>
      <c r="C55" s="68">
        <v>23</v>
      </c>
      <c r="D55" s="68">
        <v>27</v>
      </c>
      <c r="E55" s="68">
        <v>28</v>
      </c>
      <c r="F55" s="68">
        <v>42</v>
      </c>
      <c r="G55" s="68">
        <v>41</v>
      </c>
      <c r="H55" s="68">
        <v>38</v>
      </c>
      <c r="I55" s="68">
        <v>33</v>
      </c>
      <c r="J55" s="68">
        <v>35</v>
      </c>
      <c r="K55" s="68">
        <v>42</v>
      </c>
      <c r="L55" s="68">
        <v>44</v>
      </c>
      <c r="M55" s="68">
        <v>45</v>
      </c>
      <c r="N55" s="68">
        <v>48</v>
      </c>
      <c r="O55" s="68">
        <v>47</v>
      </c>
      <c r="P55" s="68">
        <v>46</v>
      </c>
      <c r="Q55" s="68">
        <v>42</v>
      </c>
      <c r="R55" s="68">
        <v>42</v>
      </c>
      <c r="S55" s="68">
        <v>44</v>
      </c>
      <c r="T55" s="68">
        <v>43</v>
      </c>
      <c r="U55" s="68">
        <v>41</v>
      </c>
      <c r="V55" s="68">
        <v>43</v>
      </c>
      <c r="W55" s="68">
        <v>43</v>
      </c>
      <c r="X55" s="68">
        <v>42</v>
      </c>
      <c r="Y55" s="68">
        <v>41</v>
      </c>
      <c r="Z55" s="68">
        <v>38</v>
      </c>
      <c r="AA55" s="68">
        <v>36</v>
      </c>
      <c r="AB55" s="68">
        <v>45</v>
      </c>
      <c r="AC55" s="68">
        <v>42</v>
      </c>
      <c r="AD55" s="68">
        <v>44</v>
      </c>
      <c r="AE55" s="153">
        <v>43</v>
      </c>
    </row>
    <row r="56" spans="1:32" s="11" customFormat="1" ht="15" customHeight="1" thickBot="1" x14ac:dyDescent="0.3">
      <c r="A56" s="144" t="s">
        <v>70</v>
      </c>
      <c r="B56" s="9" t="s">
        <v>71</v>
      </c>
      <c r="C56" s="64">
        <v>63</v>
      </c>
      <c r="D56" s="64">
        <v>75</v>
      </c>
      <c r="E56" s="64">
        <v>87</v>
      </c>
      <c r="F56" s="64">
        <v>95</v>
      </c>
      <c r="G56" s="64">
        <v>99</v>
      </c>
      <c r="H56" s="64">
        <v>103</v>
      </c>
      <c r="I56" s="64">
        <v>91</v>
      </c>
      <c r="J56" s="64">
        <v>103</v>
      </c>
      <c r="K56" s="64">
        <v>93</v>
      </c>
      <c r="L56" s="64">
        <v>104</v>
      </c>
      <c r="M56" s="64">
        <v>102</v>
      </c>
      <c r="N56" s="64">
        <v>106</v>
      </c>
      <c r="O56" s="64">
        <v>110</v>
      </c>
      <c r="P56" s="64">
        <v>103</v>
      </c>
      <c r="Q56" s="64">
        <v>113</v>
      </c>
      <c r="R56" s="64">
        <v>112</v>
      </c>
      <c r="S56" s="64">
        <v>112</v>
      </c>
      <c r="T56" s="64">
        <v>118</v>
      </c>
      <c r="U56" s="64">
        <v>116</v>
      </c>
      <c r="V56" s="64">
        <v>120</v>
      </c>
      <c r="W56" s="64">
        <v>119</v>
      </c>
      <c r="X56" s="64">
        <v>112</v>
      </c>
      <c r="Y56" s="64">
        <v>113</v>
      </c>
      <c r="Z56" s="64">
        <v>105</v>
      </c>
      <c r="AA56" s="64">
        <v>104</v>
      </c>
      <c r="AB56" s="64">
        <v>106</v>
      </c>
      <c r="AC56" s="64">
        <v>104</v>
      </c>
      <c r="AD56" s="64">
        <v>101</v>
      </c>
      <c r="AE56" s="145">
        <v>101</v>
      </c>
      <c r="AF56" s="10"/>
    </row>
    <row r="57" spans="1:32" ht="15" customHeight="1" x14ac:dyDescent="0.25">
      <c r="A57" s="152">
        <v>65</v>
      </c>
      <c r="B57" s="15" t="s">
        <v>72</v>
      </c>
      <c r="C57" s="68">
        <v>30</v>
      </c>
      <c r="D57" s="68">
        <v>35</v>
      </c>
      <c r="E57" s="68">
        <v>41</v>
      </c>
      <c r="F57" s="68">
        <v>38</v>
      </c>
      <c r="G57" s="68">
        <v>43</v>
      </c>
      <c r="H57" s="68">
        <v>47</v>
      </c>
      <c r="I57" s="68">
        <v>41</v>
      </c>
      <c r="J57" s="68">
        <v>41</v>
      </c>
      <c r="K57" s="68">
        <v>38</v>
      </c>
      <c r="L57" s="68">
        <v>41</v>
      </c>
      <c r="M57" s="68">
        <v>41</v>
      </c>
      <c r="N57" s="68">
        <v>40</v>
      </c>
      <c r="O57" s="68">
        <v>44</v>
      </c>
      <c r="P57" s="68">
        <v>45</v>
      </c>
      <c r="Q57" s="68">
        <v>52</v>
      </c>
      <c r="R57" s="68">
        <v>48</v>
      </c>
      <c r="S57" s="68">
        <v>47</v>
      </c>
      <c r="T57" s="68">
        <v>53</v>
      </c>
      <c r="U57" s="68">
        <v>49</v>
      </c>
      <c r="V57" s="68">
        <v>53</v>
      </c>
      <c r="W57" s="68">
        <v>52</v>
      </c>
      <c r="X57" s="68">
        <v>51</v>
      </c>
      <c r="Y57" s="68">
        <v>49</v>
      </c>
      <c r="Z57" s="68">
        <v>44</v>
      </c>
      <c r="AA57" s="68">
        <v>42</v>
      </c>
      <c r="AB57" s="68">
        <v>43</v>
      </c>
      <c r="AC57" s="68">
        <v>43</v>
      </c>
      <c r="AD57" s="68">
        <v>42</v>
      </c>
      <c r="AE57" s="153">
        <v>41</v>
      </c>
    </row>
    <row r="58" spans="1:32" ht="15" customHeight="1" x14ac:dyDescent="0.25">
      <c r="A58" s="156">
        <v>66</v>
      </c>
      <c r="B58" s="17" t="s">
        <v>100</v>
      </c>
      <c r="C58" s="70">
        <v>21</v>
      </c>
      <c r="D58" s="70">
        <v>28</v>
      </c>
      <c r="E58" s="70">
        <v>32</v>
      </c>
      <c r="F58" s="70">
        <v>42</v>
      </c>
      <c r="G58" s="70">
        <v>40</v>
      </c>
      <c r="H58" s="70">
        <v>40</v>
      </c>
      <c r="I58" s="70">
        <v>36</v>
      </c>
      <c r="J58" s="70">
        <v>43</v>
      </c>
      <c r="K58" s="70">
        <v>42</v>
      </c>
      <c r="L58" s="70">
        <v>47</v>
      </c>
      <c r="M58" s="70">
        <v>45</v>
      </c>
      <c r="N58" s="70">
        <v>48</v>
      </c>
      <c r="O58" s="70">
        <v>43</v>
      </c>
      <c r="P58" s="70">
        <v>33</v>
      </c>
      <c r="Q58" s="70">
        <v>34</v>
      </c>
      <c r="R58" s="70">
        <v>35</v>
      </c>
      <c r="S58" s="70">
        <v>35</v>
      </c>
      <c r="T58" s="70">
        <v>35</v>
      </c>
      <c r="U58" s="70">
        <v>33</v>
      </c>
      <c r="V58" s="70">
        <v>37</v>
      </c>
      <c r="W58" s="70">
        <v>37</v>
      </c>
      <c r="X58" s="70">
        <v>31</v>
      </c>
      <c r="Y58" s="70">
        <v>32</v>
      </c>
      <c r="Z58" s="70">
        <v>32</v>
      </c>
      <c r="AA58" s="70">
        <v>31</v>
      </c>
      <c r="AB58" s="70">
        <v>32</v>
      </c>
      <c r="AC58" s="70">
        <v>29</v>
      </c>
      <c r="AD58" s="70">
        <v>29</v>
      </c>
      <c r="AE58" s="157">
        <v>29</v>
      </c>
    </row>
    <row r="59" spans="1:32" ht="15" customHeight="1" thickBot="1" x14ac:dyDescent="0.3">
      <c r="A59" s="152">
        <v>67</v>
      </c>
      <c r="B59" s="15" t="s">
        <v>74</v>
      </c>
      <c r="C59" s="68">
        <v>12</v>
      </c>
      <c r="D59" s="68">
        <v>12</v>
      </c>
      <c r="E59" s="68">
        <v>14</v>
      </c>
      <c r="F59" s="68">
        <v>15</v>
      </c>
      <c r="G59" s="68">
        <v>16</v>
      </c>
      <c r="H59" s="68">
        <v>16</v>
      </c>
      <c r="I59" s="68">
        <v>14</v>
      </c>
      <c r="J59" s="68">
        <v>19</v>
      </c>
      <c r="K59" s="68">
        <v>13</v>
      </c>
      <c r="L59" s="68">
        <v>16</v>
      </c>
      <c r="M59" s="68">
        <v>16</v>
      </c>
      <c r="N59" s="68">
        <v>18</v>
      </c>
      <c r="O59" s="68">
        <v>23</v>
      </c>
      <c r="P59" s="68">
        <v>25</v>
      </c>
      <c r="Q59" s="68">
        <v>27</v>
      </c>
      <c r="R59" s="68">
        <v>29</v>
      </c>
      <c r="S59" s="68">
        <v>30</v>
      </c>
      <c r="T59" s="68">
        <v>30</v>
      </c>
      <c r="U59" s="68">
        <v>34</v>
      </c>
      <c r="V59" s="68">
        <v>30</v>
      </c>
      <c r="W59" s="68">
        <v>30</v>
      </c>
      <c r="X59" s="68">
        <v>30</v>
      </c>
      <c r="Y59" s="68">
        <v>32</v>
      </c>
      <c r="Z59" s="68">
        <v>29</v>
      </c>
      <c r="AA59" s="68">
        <v>31</v>
      </c>
      <c r="AB59" s="68">
        <v>31</v>
      </c>
      <c r="AC59" s="68">
        <v>32</v>
      </c>
      <c r="AD59" s="68">
        <v>30</v>
      </c>
      <c r="AE59" s="153">
        <v>31</v>
      </c>
    </row>
    <row r="60" spans="1:32" s="11" customFormat="1" ht="15" customHeight="1" thickBot="1" x14ac:dyDescent="0.3">
      <c r="A60" s="144" t="s">
        <v>75</v>
      </c>
      <c r="B60" s="9" t="s">
        <v>76</v>
      </c>
      <c r="C60" s="64">
        <v>521</v>
      </c>
      <c r="D60" s="64">
        <v>562</v>
      </c>
      <c r="E60" s="64">
        <v>621</v>
      </c>
      <c r="F60" s="64">
        <v>643</v>
      </c>
      <c r="G60" s="64">
        <v>645</v>
      </c>
      <c r="H60" s="64">
        <v>647</v>
      </c>
      <c r="I60" s="64">
        <v>595</v>
      </c>
      <c r="J60" s="64">
        <v>643</v>
      </c>
      <c r="K60" s="64">
        <v>696</v>
      </c>
      <c r="L60" s="64">
        <v>766</v>
      </c>
      <c r="M60" s="64">
        <v>848</v>
      </c>
      <c r="N60" s="64">
        <v>883</v>
      </c>
      <c r="O60" s="64">
        <v>887</v>
      </c>
      <c r="P60" s="64">
        <v>909</v>
      </c>
      <c r="Q60" s="64">
        <v>967</v>
      </c>
      <c r="R60" s="64">
        <v>990</v>
      </c>
      <c r="S60" s="64">
        <v>1004</v>
      </c>
      <c r="T60" s="64">
        <v>1025</v>
      </c>
      <c r="U60" s="64">
        <v>1007</v>
      </c>
      <c r="V60" s="64">
        <v>991</v>
      </c>
      <c r="W60" s="64">
        <v>945</v>
      </c>
      <c r="X60" s="64">
        <v>942</v>
      </c>
      <c r="Y60" s="64">
        <v>938</v>
      </c>
      <c r="Z60" s="64">
        <v>899</v>
      </c>
      <c r="AA60" s="64">
        <v>833</v>
      </c>
      <c r="AB60" s="64">
        <v>853</v>
      </c>
      <c r="AC60" s="64">
        <v>897</v>
      </c>
      <c r="AD60" s="64">
        <v>862</v>
      </c>
      <c r="AE60" s="145">
        <v>857</v>
      </c>
      <c r="AF60" s="10"/>
    </row>
    <row r="61" spans="1:32" ht="15" customHeight="1" x14ac:dyDescent="0.25">
      <c r="A61" s="146">
        <v>70</v>
      </c>
      <c r="B61" s="12" t="s">
        <v>77</v>
      </c>
      <c r="C61" s="65">
        <v>213</v>
      </c>
      <c r="D61" s="65">
        <v>227</v>
      </c>
      <c r="E61" s="65">
        <v>239</v>
      </c>
      <c r="F61" s="65">
        <v>235</v>
      </c>
      <c r="G61" s="65">
        <v>233</v>
      </c>
      <c r="H61" s="65">
        <v>232</v>
      </c>
      <c r="I61" s="65">
        <v>214</v>
      </c>
      <c r="J61" s="65">
        <v>229</v>
      </c>
      <c r="K61" s="65">
        <v>250</v>
      </c>
      <c r="L61" s="65">
        <v>264</v>
      </c>
      <c r="M61" s="65">
        <v>283</v>
      </c>
      <c r="N61" s="65">
        <v>270</v>
      </c>
      <c r="O61" s="65">
        <v>257</v>
      </c>
      <c r="P61" s="65">
        <v>258</v>
      </c>
      <c r="Q61" s="65">
        <v>260</v>
      </c>
      <c r="R61" s="65">
        <v>254</v>
      </c>
      <c r="S61" s="65">
        <v>254</v>
      </c>
      <c r="T61" s="65">
        <v>257</v>
      </c>
      <c r="U61" s="65">
        <v>252</v>
      </c>
      <c r="V61" s="65">
        <v>245</v>
      </c>
      <c r="W61" s="65">
        <v>226</v>
      </c>
      <c r="X61" s="65">
        <v>213</v>
      </c>
      <c r="Y61" s="65">
        <v>209</v>
      </c>
      <c r="Z61" s="65">
        <v>200</v>
      </c>
      <c r="AA61" s="65">
        <v>183</v>
      </c>
      <c r="AB61" s="65">
        <v>177</v>
      </c>
      <c r="AC61" s="65">
        <v>176</v>
      </c>
      <c r="AD61" s="65">
        <v>158</v>
      </c>
      <c r="AE61" s="147">
        <v>159</v>
      </c>
    </row>
    <row r="62" spans="1:32" ht="15" customHeight="1" x14ac:dyDescent="0.25">
      <c r="A62" s="156">
        <v>71</v>
      </c>
      <c r="B62" s="17" t="s">
        <v>78</v>
      </c>
      <c r="C62" s="70">
        <v>10</v>
      </c>
      <c r="D62" s="70">
        <v>12</v>
      </c>
      <c r="E62" s="70">
        <v>10</v>
      </c>
      <c r="F62" s="70">
        <v>14</v>
      </c>
      <c r="G62" s="70">
        <v>12</v>
      </c>
      <c r="H62" s="70">
        <v>13</v>
      </c>
      <c r="I62" s="70">
        <v>8</v>
      </c>
      <c r="J62" s="70">
        <v>12</v>
      </c>
      <c r="K62" s="70">
        <v>13</v>
      </c>
      <c r="L62" s="70">
        <v>16</v>
      </c>
      <c r="M62" s="70">
        <v>25</v>
      </c>
      <c r="N62" s="70">
        <v>31</v>
      </c>
      <c r="O62" s="70">
        <v>35</v>
      </c>
      <c r="P62" s="70">
        <v>31</v>
      </c>
      <c r="Q62" s="70">
        <v>34</v>
      </c>
      <c r="R62" s="70">
        <v>35</v>
      </c>
      <c r="S62" s="70" t="s">
        <v>383</v>
      </c>
      <c r="T62" s="70">
        <v>42</v>
      </c>
      <c r="U62" s="70">
        <v>40</v>
      </c>
      <c r="V62" s="70">
        <v>42</v>
      </c>
      <c r="W62" s="70">
        <v>40</v>
      </c>
      <c r="X62" s="70">
        <v>40</v>
      </c>
      <c r="Y62" s="70">
        <v>41</v>
      </c>
      <c r="Z62" s="70">
        <v>39</v>
      </c>
      <c r="AA62" s="70">
        <v>37</v>
      </c>
      <c r="AB62" s="70">
        <v>42</v>
      </c>
      <c r="AC62" s="70">
        <v>38</v>
      </c>
      <c r="AD62" s="70">
        <v>42</v>
      </c>
      <c r="AE62" s="157">
        <v>47</v>
      </c>
    </row>
    <row r="63" spans="1:32" ht="15" customHeight="1" x14ac:dyDescent="0.25">
      <c r="A63" s="156">
        <v>72</v>
      </c>
      <c r="B63" s="17" t="s">
        <v>79</v>
      </c>
      <c r="C63" s="70" t="s">
        <v>383</v>
      </c>
      <c r="D63" s="70" t="s">
        <v>383</v>
      </c>
      <c r="E63" s="70">
        <v>8</v>
      </c>
      <c r="F63" s="70">
        <v>11</v>
      </c>
      <c r="G63" s="70">
        <v>10</v>
      </c>
      <c r="H63" s="70" t="s">
        <v>383</v>
      </c>
      <c r="I63" s="70" t="s">
        <v>383</v>
      </c>
      <c r="J63" s="70">
        <v>9</v>
      </c>
      <c r="K63" s="70" t="s">
        <v>383</v>
      </c>
      <c r="L63" s="70" t="s">
        <v>383</v>
      </c>
      <c r="M63" s="70" t="s">
        <v>383</v>
      </c>
      <c r="N63" s="70" t="s">
        <v>383</v>
      </c>
      <c r="O63" s="70" t="s">
        <v>383</v>
      </c>
      <c r="P63" s="70">
        <v>25</v>
      </c>
      <c r="Q63" s="70">
        <v>28</v>
      </c>
      <c r="R63" s="70">
        <v>37</v>
      </c>
      <c r="S63" s="70">
        <v>36</v>
      </c>
      <c r="T63" s="70">
        <v>39</v>
      </c>
      <c r="U63" s="70">
        <v>32</v>
      </c>
      <c r="V63" s="70">
        <v>33</v>
      </c>
      <c r="W63" s="70">
        <v>36</v>
      </c>
      <c r="X63" s="70">
        <v>35</v>
      </c>
      <c r="Y63" s="70">
        <v>40</v>
      </c>
      <c r="Z63" s="70">
        <v>37</v>
      </c>
      <c r="AA63" s="70">
        <v>41</v>
      </c>
      <c r="AB63" s="70">
        <v>52</v>
      </c>
      <c r="AC63" s="70">
        <v>62</v>
      </c>
      <c r="AD63" s="70">
        <v>57</v>
      </c>
      <c r="AE63" s="157">
        <v>63</v>
      </c>
    </row>
    <row r="64" spans="1:32" ht="15" customHeight="1" x14ac:dyDescent="0.25">
      <c r="A64" s="156">
        <v>73</v>
      </c>
      <c r="B64" s="17" t="s">
        <v>80</v>
      </c>
      <c r="C64" s="70">
        <v>8</v>
      </c>
      <c r="D64" s="70">
        <v>9</v>
      </c>
      <c r="E64" s="70">
        <v>8</v>
      </c>
      <c r="F64" s="70">
        <v>4</v>
      </c>
      <c r="G64" s="70">
        <v>4</v>
      </c>
      <c r="H64" s="70" t="s">
        <v>383</v>
      </c>
      <c r="I64" s="70" t="s">
        <v>383</v>
      </c>
      <c r="J64" s="70">
        <v>4</v>
      </c>
      <c r="K64" s="70" t="s">
        <v>383</v>
      </c>
      <c r="L64" s="70" t="s">
        <v>383</v>
      </c>
      <c r="M64" s="70" t="s">
        <v>383</v>
      </c>
      <c r="N64" s="70" t="s">
        <v>383</v>
      </c>
      <c r="O64" s="70" t="s">
        <v>383</v>
      </c>
      <c r="P64" s="70">
        <v>4</v>
      </c>
      <c r="Q64" s="70">
        <v>5</v>
      </c>
      <c r="R64" s="70">
        <v>6</v>
      </c>
      <c r="S64" s="70" t="s">
        <v>383</v>
      </c>
      <c r="T64" s="70">
        <v>4</v>
      </c>
      <c r="U64" s="70">
        <v>4</v>
      </c>
      <c r="V64" s="70">
        <v>5</v>
      </c>
      <c r="W64" s="70">
        <v>5</v>
      </c>
      <c r="X64" s="70">
        <v>5</v>
      </c>
      <c r="Y64" s="70">
        <v>6</v>
      </c>
      <c r="Z64" s="70">
        <v>7</v>
      </c>
      <c r="AA64" s="70">
        <v>7</v>
      </c>
      <c r="AB64" s="70">
        <v>7</v>
      </c>
      <c r="AC64" s="70">
        <v>7</v>
      </c>
      <c r="AD64" s="70">
        <v>6</v>
      </c>
      <c r="AE64" s="157">
        <v>8</v>
      </c>
    </row>
    <row r="65" spans="1:32" ht="15" customHeight="1" x14ac:dyDescent="0.25">
      <c r="A65" s="156">
        <v>74</v>
      </c>
      <c r="B65" s="17" t="s">
        <v>81</v>
      </c>
      <c r="C65" s="70">
        <v>284</v>
      </c>
      <c r="D65" s="70">
        <v>307</v>
      </c>
      <c r="E65" s="70">
        <v>350</v>
      </c>
      <c r="F65" s="70">
        <v>370</v>
      </c>
      <c r="G65" s="70">
        <v>375</v>
      </c>
      <c r="H65" s="70">
        <v>376</v>
      </c>
      <c r="I65" s="70">
        <v>349</v>
      </c>
      <c r="J65" s="70">
        <v>381</v>
      </c>
      <c r="K65" s="70">
        <v>409</v>
      </c>
      <c r="L65" s="70">
        <v>462</v>
      </c>
      <c r="M65" s="70">
        <v>511</v>
      </c>
      <c r="N65" s="70">
        <v>550</v>
      </c>
      <c r="O65" s="70">
        <v>556</v>
      </c>
      <c r="P65" s="70">
        <v>573</v>
      </c>
      <c r="Q65" s="70">
        <v>622</v>
      </c>
      <c r="R65" s="70">
        <v>639</v>
      </c>
      <c r="S65" s="70">
        <v>652</v>
      </c>
      <c r="T65" s="70">
        <v>666</v>
      </c>
      <c r="U65" s="70">
        <v>663</v>
      </c>
      <c r="V65" s="70">
        <v>649</v>
      </c>
      <c r="W65" s="70">
        <v>625</v>
      </c>
      <c r="X65" s="70">
        <v>637</v>
      </c>
      <c r="Y65" s="70">
        <v>631</v>
      </c>
      <c r="Z65" s="70">
        <v>606</v>
      </c>
      <c r="AA65" s="70">
        <v>556</v>
      </c>
      <c r="AB65" s="70">
        <v>567</v>
      </c>
      <c r="AC65" s="70">
        <v>607</v>
      </c>
      <c r="AD65" s="70">
        <v>591</v>
      </c>
      <c r="AE65" s="157">
        <v>571</v>
      </c>
    </row>
    <row r="66" spans="1:32" ht="15" customHeight="1" thickBot="1" x14ac:dyDescent="0.3">
      <c r="A66" s="158">
        <v>75</v>
      </c>
      <c r="B66" s="18" t="s">
        <v>185</v>
      </c>
      <c r="C66" s="71" t="s">
        <v>383</v>
      </c>
      <c r="D66" s="71" t="s">
        <v>383</v>
      </c>
      <c r="E66" s="71">
        <v>6</v>
      </c>
      <c r="F66" s="71">
        <v>9</v>
      </c>
      <c r="G66" s="71">
        <v>11</v>
      </c>
      <c r="H66" s="71">
        <v>11</v>
      </c>
      <c r="I66" s="71">
        <v>12</v>
      </c>
      <c r="J66" s="71">
        <v>8</v>
      </c>
      <c r="K66" s="71">
        <v>10</v>
      </c>
      <c r="L66" s="71">
        <v>12</v>
      </c>
      <c r="M66" s="71">
        <v>11</v>
      </c>
      <c r="N66" s="71">
        <v>11</v>
      </c>
      <c r="O66" s="71">
        <v>14</v>
      </c>
      <c r="P66" s="71">
        <v>18</v>
      </c>
      <c r="Q66" s="71">
        <v>18</v>
      </c>
      <c r="R66" s="71">
        <v>19</v>
      </c>
      <c r="S66" s="71">
        <v>18</v>
      </c>
      <c r="T66" s="71">
        <v>17</v>
      </c>
      <c r="U66" s="71">
        <v>16</v>
      </c>
      <c r="V66" s="71">
        <v>17</v>
      </c>
      <c r="W66" s="71">
        <v>13</v>
      </c>
      <c r="X66" s="71">
        <v>12</v>
      </c>
      <c r="Y66" s="71">
        <v>11</v>
      </c>
      <c r="Z66" s="71">
        <v>10</v>
      </c>
      <c r="AA66" s="71">
        <v>9</v>
      </c>
      <c r="AB66" s="71">
        <v>8</v>
      </c>
      <c r="AC66" s="71">
        <v>7</v>
      </c>
      <c r="AD66" s="71">
        <v>8</v>
      </c>
      <c r="AE66" s="159">
        <v>9</v>
      </c>
    </row>
    <row r="67" spans="1:32" s="11" customFormat="1" ht="15" customHeight="1" thickBot="1" x14ac:dyDescent="0.3">
      <c r="A67" s="160" t="s">
        <v>83</v>
      </c>
      <c r="B67" s="19" t="s">
        <v>84</v>
      </c>
      <c r="C67" s="64">
        <v>57</v>
      </c>
      <c r="D67" s="64">
        <v>60</v>
      </c>
      <c r="E67" s="64">
        <v>65</v>
      </c>
      <c r="F67" s="64">
        <v>65</v>
      </c>
      <c r="G67" s="64">
        <v>69</v>
      </c>
      <c r="H67" s="64">
        <v>70</v>
      </c>
      <c r="I67" s="64">
        <v>68</v>
      </c>
      <c r="J67" s="64">
        <v>75</v>
      </c>
      <c r="K67" s="64">
        <v>84</v>
      </c>
      <c r="L67" s="64">
        <v>83</v>
      </c>
      <c r="M67" s="64">
        <v>90</v>
      </c>
      <c r="N67" s="64">
        <v>97</v>
      </c>
      <c r="O67" s="64">
        <v>104</v>
      </c>
      <c r="P67" s="64">
        <v>112</v>
      </c>
      <c r="Q67" s="64">
        <v>118</v>
      </c>
      <c r="R67" s="64">
        <v>123</v>
      </c>
      <c r="S67" s="64">
        <v>128</v>
      </c>
      <c r="T67" s="64">
        <v>136</v>
      </c>
      <c r="U67" s="64">
        <v>134</v>
      </c>
      <c r="V67" s="64">
        <v>133</v>
      </c>
      <c r="W67" s="64">
        <v>135</v>
      </c>
      <c r="X67" s="64">
        <v>135</v>
      </c>
      <c r="Y67" s="64">
        <v>128</v>
      </c>
      <c r="Z67" s="64">
        <v>119</v>
      </c>
      <c r="AA67" s="64">
        <v>110</v>
      </c>
      <c r="AB67" s="64">
        <v>106</v>
      </c>
      <c r="AC67" s="64">
        <v>119</v>
      </c>
      <c r="AD67" s="64">
        <v>115</v>
      </c>
      <c r="AE67" s="145">
        <v>109</v>
      </c>
      <c r="AF67" s="10"/>
    </row>
    <row r="68" spans="1:32" ht="15" customHeight="1" thickBot="1" x14ac:dyDescent="0.3">
      <c r="A68" s="150">
        <v>80</v>
      </c>
      <c r="B68" s="14" t="s">
        <v>85</v>
      </c>
      <c r="C68" s="70">
        <v>57</v>
      </c>
      <c r="D68" s="67">
        <v>60</v>
      </c>
      <c r="E68" s="67">
        <v>65</v>
      </c>
      <c r="F68" s="67">
        <v>65</v>
      </c>
      <c r="G68" s="67">
        <v>69</v>
      </c>
      <c r="H68" s="67">
        <v>70</v>
      </c>
      <c r="I68" s="67">
        <v>68</v>
      </c>
      <c r="J68" s="67">
        <v>75</v>
      </c>
      <c r="K68" s="67">
        <v>84</v>
      </c>
      <c r="L68" s="67">
        <v>83</v>
      </c>
      <c r="M68" s="67">
        <v>90</v>
      </c>
      <c r="N68" s="67">
        <v>97</v>
      </c>
      <c r="O68" s="67">
        <v>104</v>
      </c>
      <c r="P68" s="67">
        <v>112</v>
      </c>
      <c r="Q68" s="67">
        <v>118</v>
      </c>
      <c r="R68" s="67">
        <v>123</v>
      </c>
      <c r="S68" s="67">
        <v>128</v>
      </c>
      <c r="T68" s="67">
        <v>136</v>
      </c>
      <c r="U68" s="67">
        <v>134</v>
      </c>
      <c r="V68" s="67">
        <v>133</v>
      </c>
      <c r="W68" s="67">
        <v>135</v>
      </c>
      <c r="X68" s="67">
        <v>135</v>
      </c>
      <c r="Y68" s="67">
        <v>128</v>
      </c>
      <c r="Z68" s="67">
        <v>119</v>
      </c>
      <c r="AA68" s="67">
        <v>110</v>
      </c>
      <c r="AB68" s="67">
        <v>106</v>
      </c>
      <c r="AC68" s="67">
        <v>119</v>
      </c>
      <c r="AD68" s="67">
        <v>115</v>
      </c>
      <c r="AE68" s="151">
        <v>109</v>
      </c>
    </row>
    <row r="69" spans="1:32" s="11" customFormat="1" ht="15" customHeight="1" thickBot="1" x14ac:dyDescent="0.3">
      <c r="A69" s="144" t="s">
        <v>86</v>
      </c>
      <c r="B69" s="9" t="s">
        <v>87</v>
      </c>
      <c r="C69" s="64">
        <v>270</v>
      </c>
      <c r="D69" s="64">
        <v>288</v>
      </c>
      <c r="E69" s="64">
        <v>299</v>
      </c>
      <c r="F69" s="64">
        <v>301</v>
      </c>
      <c r="G69" s="64">
        <v>319</v>
      </c>
      <c r="H69" s="64">
        <v>325</v>
      </c>
      <c r="I69" s="64">
        <v>307</v>
      </c>
      <c r="J69" s="64">
        <v>313</v>
      </c>
      <c r="K69" s="64">
        <v>335</v>
      </c>
      <c r="L69" s="64">
        <v>344</v>
      </c>
      <c r="M69" s="64">
        <v>374</v>
      </c>
      <c r="N69" s="64">
        <v>399</v>
      </c>
      <c r="O69" s="64">
        <v>420</v>
      </c>
      <c r="P69" s="64">
        <v>445</v>
      </c>
      <c r="Q69" s="64">
        <v>470</v>
      </c>
      <c r="R69" s="64">
        <v>488</v>
      </c>
      <c r="S69" s="64">
        <v>492</v>
      </c>
      <c r="T69" s="64">
        <v>518</v>
      </c>
      <c r="U69" s="64">
        <v>522</v>
      </c>
      <c r="V69" s="64">
        <v>536</v>
      </c>
      <c r="W69" s="64">
        <v>545</v>
      </c>
      <c r="X69" s="64">
        <v>555</v>
      </c>
      <c r="Y69" s="64">
        <v>562</v>
      </c>
      <c r="Z69" s="64">
        <v>557</v>
      </c>
      <c r="AA69" s="64">
        <v>523</v>
      </c>
      <c r="AB69" s="64">
        <v>520</v>
      </c>
      <c r="AC69" s="64">
        <v>531</v>
      </c>
      <c r="AD69" s="64">
        <v>518</v>
      </c>
      <c r="AE69" s="145">
        <v>486</v>
      </c>
      <c r="AF69" s="10"/>
    </row>
    <row r="70" spans="1:32" ht="15" customHeight="1" thickBot="1" x14ac:dyDescent="0.3">
      <c r="A70" s="150">
        <v>85</v>
      </c>
      <c r="B70" s="14" t="s">
        <v>88</v>
      </c>
      <c r="C70" s="67">
        <v>270</v>
      </c>
      <c r="D70" s="67">
        <v>288</v>
      </c>
      <c r="E70" s="67">
        <v>299</v>
      </c>
      <c r="F70" s="67">
        <v>301</v>
      </c>
      <c r="G70" s="67">
        <v>319</v>
      </c>
      <c r="H70" s="67">
        <v>325</v>
      </c>
      <c r="I70" s="67">
        <v>307</v>
      </c>
      <c r="J70" s="67">
        <v>313</v>
      </c>
      <c r="K70" s="67">
        <v>335</v>
      </c>
      <c r="L70" s="67">
        <v>344</v>
      </c>
      <c r="M70" s="67">
        <v>374</v>
      </c>
      <c r="N70" s="67">
        <v>399</v>
      </c>
      <c r="O70" s="67">
        <v>420</v>
      </c>
      <c r="P70" s="67">
        <v>445</v>
      </c>
      <c r="Q70" s="67">
        <v>470</v>
      </c>
      <c r="R70" s="67">
        <v>488</v>
      </c>
      <c r="S70" s="67">
        <v>492</v>
      </c>
      <c r="T70" s="67">
        <v>518</v>
      </c>
      <c r="U70" s="67">
        <v>522</v>
      </c>
      <c r="V70" s="67">
        <v>536</v>
      </c>
      <c r="W70" s="67">
        <v>545</v>
      </c>
      <c r="X70" s="67">
        <v>555</v>
      </c>
      <c r="Y70" s="67">
        <v>562</v>
      </c>
      <c r="Z70" s="67">
        <v>557</v>
      </c>
      <c r="AA70" s="67">
        <v>523</v>
      </c>
      <c r="AB70" s="67">
        <v>520</v>
      </c>
      <c r="AC70" s="67">
        <v>531</v>
      </c>
      <c r="AD70" s="67">
        <v>518</v>
      </c>
      <c r="AE70" s="151">
        <v>486</v>
      </c>
    </row>
    <row r="71" spans="1:32" s="11" customFormat="1" ht="15" customHeight="1" thickBot="1" x14ac:dyDescent="0.3">
      <c r="A71" s="144" t="s">
        <v>89</v>
      </c>
      <c r="B71" s="9" t="s">
        <v>90</v>
      </c>
      <c r="C71" s="64">
        <v>372</v>
      </c>
      <c r="D71" s="64">
        <v>391</v>
      </c>
      <c r="E71" s="64">
        <v>414</v>
      </c>
      <c r="F71" s="64">
        <v>410</v>
      </c>
      <c r="G71" s="64">
        <v>401</v>
      </c>
      <c r="H71" s="64">
        <v>395</v>
      </c>
      <c r="I71" s="64">
        <v>377</v>
      </c>
      <c r="J71" s="64">
        <v>407</v>
      </c>
      <c r="K71" s="64">
        <v>440</v>
      </c>
      <c r="L71" s="64">
        <v>466</v>
      </c>
      <c r="M71" s="64">
        <v>493</v>
      </c>
      <c r="N71" s="64">
        <v>506</v>
      </c>
      <c r="O71" s="64">
        <v>506</v>
      </c>
      <c r="P71" s="64">
        <v>515</v>
      </c>
      <c r="Q71" s="64">
        <v>545</v>
      </c>
      <c r="R71" s="64">
        <v>550</v>
      </c>
      <c r="S71" s="64">
        <v>563</v>
      </c>
      <c r="T71" s="64">
        <v>556</v>
      </c>
      <c r="U71" s="64">
        <v>549</v>
      </c>
      <c r="V71" s="64">
        <v>547</v>
      </c>
      <c r="W71" s="64">
        <v>538</v>
      </c>
      <c r="X71" s="64">
        <v>538</v>
      </c>
      <c r="Y71" s="64">
        <v>520</v>
      </c>
      <c r="Z71" s="64">
        <v>510</v>
      </c>
      <c r="AA71" s="64">
        <v>462</v>
      </c>
      <c r="AB71" s="64">
        <v>449</v>
      </c>
      <c r="AC71" s="64">
        <v>478</v>
      </c>
      <c r="AD71" s="64">
        <v>463</v>
      </c>
      <c r="AE71" s="145">
        <v>440</v>
      </c>
      <c r="AF71" s="10"/>
    </row>
    <row r="72" spans="1:32" ht="15" customHeight="1" x14ac:dyDescent="0.25">
      <c r="A72" s="146">
        <v>90</v>
      </c>
      <c r="B72" s="12" t="s">
        <v>91</v>
      </c>
      <c r="C72" s="65" t="s">
        <v>383</v>
      </c>
      <c r="D72" s="65" t="s">
        <v>383</v>
      </c>
      <c r="E72" s="65">
        <v>6</v>
      </c>
      <c r="F72" s="65">
        <v>5</v>
      </c>
      <c r="G72" s="65">
        <v>4</v>
      </c>
      <c r="H72" s="65">
        <v>5</v>
      </c>
      <c r="I72" s="65" t="s">
        <v>383</v>
      </c>
      <c r="J72" s="65">
        <v>4</v>
      </c>
      <c r="K72" s="65">
        <v>9</v>
      </c>
      <c r="L72" s="65">
        <v>9</v>
      </c>
      <c r="M72" s="65">
        <v>11</v>
      </c>
      <c r="N72" s="65">
        <v>11</v>
      </c>
      <c r="O72" s="65">
        <v>8</v>
      </c>
      <c r="P72" s="65">
        <v>9</v>
      </c>
      <c r="Q72" s="65">
        <v>12</v>
      </c>
      <c r="R72" s="65">
        <v>10</v>
      </c>
      <c r="S72" s="65">
        <v>13</v>
      </c>
      <c r="T72" s="65">
        <v>12</v>
      </c>
      <c r="U72" s="65">
        <v>13</v>
      </c>
      <c r="V72" s="65">
        <v>14</v>
      </c>
      <c r="W72" s="65">
        <v>12</v>
      </c>
      <c r="X72" s="65">
        <v>11</v>
      </c>
      <c r="Y72" s="65">
        <v>12</v>
      </c>
      <c r="Z72" s="65">
        <v>13</v>
      </c>
      <c r="AA72" s="65">
        <v>13</v>
      </c>
      <c r="AB72" s="65">
        <v>15</v>
      </c>
      <c r="AC72" s="65">
        <v>16</v>
      </c>
      <c r="AD72" s="65">
        <v>19</v>
      </c>
      <c r="AE72" s="147">
        <v>19</v>
      </c>
    </row>
    <row r="73" spans="1:32" ht="15" customHeight="1" x14ac:dyDescent="0.25">
      <c r="A73" s="156">
        <v>91</v>
      </c>
      <c r="B73" s="17" t="s">
        <v>92</v>
      </c>
      <c r="C73" s="70">
        <v>184</v>
      </c>
      <c r="D73" s="70">
        <v>196</v>
      </c>
      <c r="E73" s="70">
        <v>203</v>
      </c>
      <c r="F73" s="70">
        <v>205</v>
      </c>
      <c r="G73" s="70">
        <v>204</v>
      </c>
      <c r="H73" s="70">
        <v>203</v>
      </c>
      <c r="I73" s="70">
        <v>203</v>
      </c>
      <c r="J73" s="70">
        <v>209</v>
      </c>
      <c r="K73" s="70">
        <v>217</v>
      </c>
      <c r="L73" s="70">
        <v>225</v>
      </c>
      <c r="M73" s="70">
        <v>227</v>
      </c>
      <c r="N73" s="70">
        <v>233</v>
      </c>
      <c r="O73" s="70">
        <v>232</v>
      </c>
      <c r="P73" s="70">
        <v>235</v>
      </c>
      <c r="Q73" s="70">
        <v>242</v>
      </c>
      <c r="R73" s="70">
        <v>255</v>
      </c>
      <c r="S73" s="70">
        <v>253</v>
      </c>
      <c r="T73" s="70">
        <v>259</v>
      </c>
      <c r="U73" s="70">
        <v>262</v>
      </c>
      <c r="V73" s="70">
        <v>263</v>
      </c>
      <c r="W73" s="70">
        <v>265</v>
      </c>
      <c r="X73" s="70">
        <v>262</v>
      </c>
      <c r="Y73" s="70">
        <v>258</v>
      </c>
      <c r="Z73" s="70">
        <v>266</v>
      </c>
      <c r="AA73" s="70">
        <v>249</v>
      </c>
      <c r="AB73" s="70">
        <v>252</v>
      </c>
      <c r="AC73" s="70">
        <v>252</v>
      </c>
      <c r="AD73" s="70">
        <v>242</v>
      </c>
      <c r="AE73" s="157">
        <v>235</v>
      </c>
    </row>
    <row r="74" spans="1:32" ht="15" customHeight="1" x14ac:dyDescent="0.25">
      <c r="A74" s="156">
        <v>92</v>
      </c>
      <c r="B74" s="17" t="s">
        <v>93</v>
      </c>
      <c r="C74" s="70" t="s">
        <v>383</v>
      </c>
      <c r="D74" s="70" t="s">
        <v>383</v>
      </c>
      <c r="E74" s="70">
        <v>56</v>
      </c>
      <c r="F74" s="70">
        <v>51</v>
      </c>
      <c r="G74" s="70">
        <v>49</v>
      </c>
      <c r="H74" s="70">
        <v>53</v>
      </c>
      <c r="I74" s="70" t="s">
        <v>383</v>
      </c>
      <c r="J74" s="70">
        <v>60</v>
      </c>
      <c r="K74" s="70">
        <v>64</v>
      </c>
      <c r="L74" s="70">
        <v>70</v>
      </c>
      <c r="M74" s="70">
        <v>81</v>
      </c>
      <c r="N74" s="70">
        <v>78</v>
      </c>
      <c r="O74" s="70">
        <v>83</v>
      </c>
      <c r="P74" s="70">
        <v>88</v>
      </c>
      <c r="Q74" s="70">
        <v>95</v>
      </c>
      <c r="R74" s="70">
        <v>100</v>
      </c>
      <c r="S74" s="70">
        <v>102</v>
      </c>
      <c r="T74" s="70">
        <v>101</v>
      </c>
      <c r="U74" s="70">
        <v>99</v>
      </c>
      <c r="V74" s="70">
        <v>99</v>
      </c>
      <c r="W74" s="70">
        <v>101</v>
      </c>
      <c r="X74" s="70">
        <v>115</v>
      </c>
      <c r="Y74" s="70">
        <v>103</v>
      </c>
      <c r="Z74" s="70">
        <v>102</v>
      </c>
      <c r="AA74" s="70">
        <v>94</v>
      </c>
      <c r="AB74" s="70">
        <v>84</v>
      </c>
      <c r="AC74" s="70">
        <v>102</v>
      </c>
      <c r="AD74" s="70">
        <v>90</v>
      </c>
      <c r="AE74" s="157">
        <v>94</v>
      </c>
    </row>
    <row r="75" spans="1:32" ht="15" customHeight="1" thickBot="1" x14ac:dyDescent="0.3">
      <c r="A75" s="158">
        <v>93</v>
      </c>
      <c r="B75" s="18" t="s">
        <v>94</v>
      </c>
      <c r="C75" s="76">
        <v>137</v>
      </c>
      <c r="D75" s="76">
        <v>138</v>
      </c>
      <c r="E75" s="76">
        <v>149</v>
      </c>
      <c r="F75" s="76">
        <v>149</v>
      </c>
      <c r="G75" s="76">
        <v>144</v>
      </c>
      <c r="H75" s="76">
        <v>134</v>
      </c>
      <c r="I75" s="76">
        <v>120</v>
      </c>
      <c r="J75" s="76">
        <v>134</v>
      </c>
      <c r="K75" s="76">
        <v>150</v>
      </c>
      <c r="L75" s="76">
        <v>162</v>
      </c>
      <c r="M75" s="76">
        <v>174</v>
      </c>
      <c r="N75" s="76">
        <v>184</v>
      </c>
      <c r="O75" s="76">
        <v>183</v>
      </c>
      <c r="P75" s="76">
        <v>183</v>
      </c>
      <c r="Q75" s="76">
        <v>196</v>
      </c>
      <c r="R75" s="76">
        <v>185</v>
      </c>
      <c r="S75" s="76">
        <v>195</v>
      </c>
      <c r="T75" s="76">
        <v>184</v>
      </c>
      <c r="U75" s="76">
        <v>175</v>
      </c>
      <c r="V75" s="76">
        <v>171</v>
      </c>
      <c r="W75" s="76">
        <v>160</v>
      </c>
      <c r="X75" s="76">
        <v>150</v>
      </c>
      <c r="Y75" s="76">
        <v>147</v>
      </c>
      <c r="Z75" s="76">
        <v>129</v>
      </c>
      <c r="AA75" s="76">
        <v>106</v>
      </c>
      <c r="AB75" s="76">
        <v>98</v>
      </c>
      <c r="AC75" s="76">
        <v>108</v>
      </c>
      <c r="AD75" s="76">
        <v>112</v>
      </c>
      <c r="AE75" s="165">
        <v>92</v>
      </c>
    </row>
    <row r="76" spans="1:32" s="23" customFormat="1" ht="15" customHeight="1" thickBot="1" x14ac:dyDescent="0.3">
      <c r="A76" s="166"/>
      <c r="B76" s="167" t="s">
        <v>95</v>
      </c>
      <c r="C76" s="168">
        <v>4927</v>
      </c>
      <c r="D76" s="168">
        <v>5158</v>
      </c>
      <c r="E76" s="168">
        <v>5477</v>
      </c>
      <c r="F76" s="168">
        <v>5650</v>
      </c>
      <c r="G76" s="168">
        <v>5569</v>
      </c>
      <c r="H76" s="168">
        <v>5394</v>
      </c>
      <c r="I76" s="168">
        <v>5018</v>
      </c>
      <c r="J76" s="168">
        <v>5294</v>
      </c>
      <c r="K76" s="168">
        <v>5745</v>
      </c>
      <c r="L76" s="168">
        <v>6136</v>
      </c>
      <c r="M76" s="168">
        <v>6593</v>
      </c>
      <c r="N76" s="168">
        <v>6954</v>
      </c>
      <c r="O76" s="168">
        <v>7281</v>
      </c>
      <c r="P76" s="168">
        <v>7538</v>
      </c>
      <c r="Q76" s="168">
        <v>7817</v>
      </c>
      <c r="R76" s="168">
        <v>7932</v>
      </c>
      <c r="S76" s="168">
        <v>8049</v>
      </c>
      <c r="T76" s="168">
        <v>8113</v>
      </c>
      <c r="U76" s="168">
        <v>8070</v>
      </c>
      <c r="V76" s="168">
        <v>8055</v>
      </c>
      <c r="W76" s="168">
        <v>8017</v>
      </c>
      <c r="X76" s="168">
        <v>8022</v>
      </c>
      <c r="Y76" s="168">
        <v>7900</v>
      </c>
      <c r="Z76" s="168">
        <v>7651</v>
      </c>
      <c r="AA76" s="168">
        <v>7194</v>
      </c>
      <c r="AB76" s="168">
        <v>7229</v>
      </c>
      <c r="AC76" s="168">
        <v>7653</v>
      </c>
      <c r="AD76" s="168">
        <v>7577</v>
      </c>
      <c r="AE76" s="169">
        <v>7466</v>
      </c>
      <c r="AF76" s="22"/>
    </row>
    <row r="77" spans="1:32" ht="12" customHeight="1" x14ac:dyDescent="0.25">
      <c r="A77" s="7"/>
      <c r="B77" s="7"/>
      <c r="C77" s="7"/>
      <c r="D77" s="7"/>
      <c r="E77" s="24"/>
      <c r="F77" s="7"/>
      <c r="G77" s="25"/>
      <c r="H77" s="7"/>
      <c r="I77" s="7"/>
      <c r="J77" s="7"/>
      <c r="K77" s="7"/>
      <c r="L77" s="7"/>
      <c r="M77" s="7"/>
      <c r="N77" s="7"/>
      <c r="O77" s="7"/>
      <c r="P77" s="7"/>
      <c r="Q77" s="7"/>
      <c r="R77" s="7"/>
      <c r="S77" s="7"/>
      <c r="T77" s="7"/>
      <c r="U77" s="7"/>
      <c r="V77" s="7"/>
      <c r="W77" s="7"/>
      <c r="X77" s="7"/>
      <c r="Y77" s="7"/>
      <c r="Z77" s="7"/>
      <c r="AA77" s="7"/>
      <c r="AB77" s="7"/>
      <c r="AC77" s="7"/>
      <c r="AD77" s="7"/>
      <c r="AE77" s="7"/>
    </row>
    <row r="78" spans="1:32" ht="11.25" x14ac:dyDescent="0.25">
      <c r="A78" s="307" t="s">
        <v>96</v>
      </c>
      <c r="B78" s="307"/>
      <c r="C78" s="277"/>
      <c r="D78" s="277"/>
      <c r="E78" s="277"/>
      <c r="F78" s="26"/>
      <c r="G78" s="26"/>
      <c r="H78" s="7"/>
      <c r="I78" s="7"/>
      <c r="J78" s="7"/>
      <c r="K78" s="7"/>
      <c r="L78" s="7"/>
      <c r="M78" s="7"/>
      <c r="N78" s="7"/>
      <c r="O78" s="7"/>
      <c r="P78" s="7"/>
      <c r="Q78" s="7"/>
      <c r="R78" s="7"/>
      <c r="S78" s="7"/>
      <c r="T78" s="7"/>
      <c r="U78" s="7"/>
      <c r="V78" s="7"/>
      <c r="W78" s="7"/>
      <c r="X78" s="7"/>
      <c r="Y78" s="7"/>
      <c r="Z78" s="7"/>
      <c r="AA78" s="7"/>
      <c r="AB78" s="7"/>
      <c r="AC78" s="7"/>
      <c r="AD78" s="7"/>
      <c r="AE78" s="7"/>
    </row>
    <row r="79" spans="1:32" ht="26.45" customHeight="1" x14ac:dyDescent="0.25">
      <c r="A79" s="307" t="s">
        <v>381</v>
      </c>
      <c r="B79" s="307"/>
      <c r="C79" s="307"/>
      <c r="D79" s="277"/>
      <c r="E79" s="277"/>
      <c r="F79" s="277"/>
      <c r="G79" s="277"/>
      <c r="H79" s="27"/>
      <c r="I79" s="27"/>
      <c r="J79" s="27"/>
      <c r="K79" s="27"/>
      <c r="L79" s="7"/>
      <c r="M79" s="7"/>
      <c r="N79" s="7"/>
      <c r="O79" s="7"/>
      <c r="P79" s="7"/>
      <c r="Q79" s="7"/>
      <c r="R79" s="7"/>
      <c r="S79" s="7"/>
      <c r="T79" s="7"/>
      <c r="U79" s="7"/>
      <c r="V79" s="7"/>
      <c r="W79" s="7"/>
      <c r="X79" s="7"/>
      <c r="Y79" s="7"/>
      <c r="Z79" s="7"/>
      <c r="AA79" s="7"/>
      <c r="AB79" s="7"/>
      <c r="AC79" s="7"/>
      <c r="AD79" s="7"/>
      <c r="AE79" s="7"/>
    </row>
    <row r="80" spans="1:32" ht="26.45" customHeight="1" x14ac:dyDescent="0.25">
      <c r="A80" s="307" t="s">
        <v>382</v>
      </c>
      <c r="B80" s="307"/>
      <c r="C80" s="307"/>
      <c r="D80" s="277"/>
      <c r="E80" s="277"/>
      <c r="F80" s="277"/>
      <c r="G80" s="277"/>
      <c r="H80" s="27"/>
      <c r="I80" s="27"/>
      <c r="J80" s="27"/>
      <c r="K80" s="27"/>
      <c r="L80" s="7"/>
      <c r="M80" s="7"/>
      <c r="N80" s="7"/>
      <c r="O80" s="7"/>
      <c r="P80" s="7"/>
      <c r="Q80" s="7"/>
      <c r="R80" s="7"/>
      <c r="S80" s="7"/>
      <c r="T80" s="7"/>
      <c r="U80" s="7"/>
      <c r="V80" s="7"/>
      <c r="W80" s="7"/>
      <c r="X80" s="7"/>
      <c r="Y80" s="7"/>
      <c r="Z80" s="7"/>
      <c r="AA80" s="7"/>
      <c r="AB80" s="7"/>
      <c r="AC80" s="7"/>
      <c r="AD80" s="7"/>
      <c r="AE80" s="7"/>
    </row>
    <row r="81" spans="1:32" ht="26.45" customHeight="1" x14ac:dyDescent="0.25">
      <c r="A81" s="307" t="s">
        <v>151</v>
      </c>
      <c r="B81" s="307"/>
      <c r="C81" s="307"/>
      <c r="D81" s="277"/>
      <c r="E81" s="277"/>
      <c r="F81" s="277"/>
      <c r="G81" s="277"/>
      <c r="H81" s="27"/>
      <c r="I81" s="27"/>
      <c r="J81" s="27"/>
      <c r="K81" s="27"/>
      <c r="L81" s="7"/>
      <c r="M81" s="7"/>
      <c r="N81" s="7"/>
      <c r="O81" s="7"/>
      <c r="P81" s="7"/>
      <c r="Q81" s="7"/>
      <c r="R81" s="7"/>
      <c r="S81" s="7"/>
      <c r="T81" s="7"/>
      <c r="U81" s="7"/>
      <c r="V81" s="7"/>
      <c r="W81" s="7"/>
      <c r="X81" s="7"/>
      <c r="Y81" s="7"/>
      <c r="Z81" s="7"/>
      <c r="AA81" s="7"/>
      <c r="AB81" s="7"/>
      <c r="AC81" s="7"/>
      <c r="AD81" s="7"/>
      <c r="AE81" s="7"/>
    </row>
    <row r="82" spans="1:32" ht="46.5" customHeight="1" x14ac:dyDescent="0.25">
      <c r="A82" s="307" t="s">
        <v>384</v>
      </c>
      <c r="B82" s="307"/>
      <c r="C82" s="307"/>
      <c r="D82" s="307"/>
      <c r="E82" s="307"/>
      <c r="F82" s="307"/>
      <c r="G82" s="307"/>
      <c r="H82" s="28"/>
      <c r="I82" s="28"/>
      <c r="J82" s="28"/>
      <c r="K82" s="29"/>
      <c r="L82" s="29"/>
      <c r="M82" s="29"/>
      <c r="N82" s="29"/>
      <c r="O82" s="29"/>
      <c r="P82" s="29"/>
      <c r="Q82" s="29"/>
      <c r="R82" s="29"/>
      <c r="S82" s="29"/>
      <c r="T82" s="29"/>
      <c r="U82" s="29"/>
      <c r="V82" s="29"/>
      <c r="W82" s="29"/>
      <c r="X82" s="29"/>
      <c r="Y82" s="29"/>
      <c r="Z82" s="29"/>
      <c r="AA82" s="29"/>
      <c r="AB82" s="29"/>
      <c r="AC82" s="29"/>
      <c r="AD82" s="29"/>
      <c r="AE82" s="29"/>
      <c r="AF82" s="29"/>
    </row>
    <row r="83" spans="1:32" ht="19.899999999999999" customHeight="1" x14ac:dyDescent="0.25">
      <c r="A83" s="276"/>
      <c r="B83" s="276"/>
      <c r="C83" s="276"/>
      <c r="D83" s="276"/>
      <c r="E83" s="276"/>
      <c r="F83" s="276"/>
      <c r="G83" s="276"/>
      <c r="H83" s="28"/>
      <c r="I83" s="28"/>
      <c r="J83" s="28"/>
      <c r="K83" s="7"/>
      <c r="L83" s="7"/>
      <c r="M83" s="7"/>
      <c r="N83" s="7"/>
      <c r="O83" s="7"/>
      <c r="P83" s="7"/>
      <c r="Q83" s="7"/>
      <c r="R83" s="7"/>
      <c r="S83" s="7"/>
      <c r="T83" s="7"/>
      <c r="U83" s="7"/>
      <c r="V83" s="7"/>
      <c r="W83" s="7"/>
      <c r="X83" s="7"/>
      <c r="Y83" s="7"/>
      <c r="Z83" s="7"/>
      <c r="AA83" s="7"/>
      <c r="AB83" s="7"/>
      <c r="AC83" s="7"/>
      <c r="AD83" s="7"/>
      <c r="AE83" s="7"/>
    </row>
    <row r="84" spans="1:32" ht="6.75" customHeight="1" x14ac:dyDescent="0.25">
      <c r="A84" s="7"/>
      <c r="B84" s="7"/>
      <c r="C84" s="7"/>
      <c r="D84" s="7"/>
      <c r="E84" s="7"/>
      <c r="F84" s="7"/>
      <c r="G84" s="7"/>
      <c r="H84" s="7"/>
      <c r="I84" s="7"/>
      <c r="J84" s="7"/>
      <c r="K84" s="7"/>
      <c r="L84" s="7"/>
      <c r="M84" s="7"/>
      <c r="N84" s="7"/>
      <c r="O84" s="7"/>
      <c r="P84" s="7"/>
      <c r="Q84" s="7"/>
      <c r="R84" s="7"/>
      <c r="S84" s="7"/>
      <c r="T84" s="7"/>
      <c r="U84" s="7"/>
      <c r="V84" s="7"/>
      <c r="W84" s="7"/>
      <c r="X84" s="7"/>
      <c r="Y84" s="7"/>
      <c r="Z84" s="7"/>
      <c r="AA84" s="7"/>
      <c r="AB84" s="7"/>
      <c r="AC84" s="7"/>
      <c r="AD84" s="7"/>
      <c r="AE84" s="7"/>
    </row>
    <row r="85" spans="1:32" ht="0" hidden="1" customHeight="1" x14ac:dyDescent="0.25"/>
    <row r="86" spans="1:32" ht="0" hidden="1" customHeight="1" x14ac:dyDescent="0.25"/>
    <row r="87" spans="1:32" ht="0" hidden="1" customHeight="1" x14ac:dyDescent="0.25"/>
    <row r="88" spans="1:32" ht="0" hidden="1" customHeight="1" x14ac:dyDescent="0.25"/>
    <row r="89" spans="1:32" ht="0" hidden="1" customHeight="1" x14ac:dyDescent="0.25"/>
    <row r="90" spans="1:32" ht="0" hidden="1" customHeight="1" x14ac:dyDescent="0.25"/>
    <row r="91" spans="1:32" ht="0" hidden="1" customHeight="1" x14ac:dyDescent="0.25"/>
    <row r="92" spans="1:32" ht="0" hidden="1" customHeight="1" x14ac:dyDescent="0.25"/>
    <row r="93" spans="1:32" ht="0" hidden="1" customHeight="1" x14ac:dyDescent="0.25"/>
    <row r="94" spans="1:32" ht="0" hidden="1" customHeight="1" x14ac:dyDescent="0.25"/>
  </sheetData>
  <mergeCells count="37">
    <mergeCell ref="Q4:Q5"/>
    <mergeCell ref="F4:F5"/>
    <mergeCell ref="G4:G5"/>
    <mergeCell ref="A82:G82"/>
    <mergeCell ref="W4:W5"/>
    <mergeCell ref="A79:C79"/>
    <mergeCell ref="A80:C80"/>
    <mergeCell ref="A81:C81"/>
    <mergeCell ref="A78:B78"/>
    <mergeCell ref="H4:H5"/>
    <mergeCell ref="X4:X5"/>
    <mergeCell ref="S4:S5"/>
    <mergeCell ref="T4:T5"/>
    <mergeCell ref="U4:U5"/>
    <mergeCell ref="V4:V5"/>
    <mergeCell ref="A2:C2"/>
    <mergeCell ref="B4:B5"/>
    <mergeCell ref="C4:C5"/>
    <mergeCell ref="D4:D5"/>
    <mergeCell ref="E4:E5"/>
    <mergeCell ref="A4:A5"/>
    <mergeCell ref="AB4:AB5"/>
    <mergeCell ref="I4:I5"/>
    <mergeCell ref="O4:O5"/>
    <mergeCell ref="AE4:AE5"/>
    <mergeCell ref="J4:J5"/>
    <mergeCell ref="AA4:AA5"/>
    <mergeCell ref="Z4:Z5"/>
    <mergeCell ref="Y4:Y5"/>
    <mergeCell ref="R4:R5"/>
    <mergeCell ref="K4:K5"/>
    <mergeCell ref="L4:L5"/>
    <mergeCell ref="M4:M5"/>
    <mergeCell ref="N4:N5"/>
    <mergeCell ref="AC4:AC5"/>
    <mergeCell ref="P4:P5"/>
    <mergeCell ref="AD4:AD5"/>
  </mergeCells>
  <pageMargins left="0.74803149606299213" right="0.74803149606299213" top="0.98425196850393704" bottom="0.98425196850393704" header="0" footer="0"/>
  <pageSetup paperSize="9" scale="65" fitToWidth="19" orientation="portrait" r:id="rId1"/>
  <headerFooter alignWithMargins="0"/>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31"/>
  <dimension ref="A1:DW94"/>
  <sheetViews>
    <sheetView zoomScale="115" zoomScaleNormal="115" workbookViewId="0">
      <pane xSplit="2" ySplit="5" topLeftCell="C6" activePane="bottomRight" state="frozen"/>
      <selection activeCell="C6" sqref="C6"/>
      <selection pane="topRight" activeCell="C6" sqref="C6"/>
      <selection pane="bottomLeft" activeCell="C6" sqref="C6"/>
      <selection pane="bottomRight" activeCell="C6" sqref="C6"/>
    </sheetView>
  </sheetViews>
  <sheetFormatPr baseColWidth="10" defaultColWidth="0" defaultRowHeight="0" customHeight="1" zeroHeight="1" x14ac:dyDescent="0.25"/>
  <cols>
    <col min="1" max="1" width="5.7109375" style="8" customWidth="1"/>
    <col min="2" max="2" width="62.7109375" style="8" customWidth="1"/>
    <col min="3" max="4" width="11.140625" style="30" customWidth="1"/>
    <col min="5" max="6" width="11.140625" style="8" customWidth="1"/>
    <col min="7" max="7" width="11.140625" style="31" customWidth="1"/>
    <col min="8" max="31" width="11.140625" style="8" customWidth="1"/>
    <col min="32" max="32" width="5.42578125" style="7" customWidth="1"/>
    <col min="33" max="127" width="0" style="8" hidden="1" customWidth="1"/>
    <col min="128" max="16384" width="5.42578125" style="8" hidden="1"/>
  </cols>
  <sheetData>
    <row r="1" spans="1:32" s="5" customFormat="1" ht="25.5" customHeight="1" thickBot="1" x14ac:dyDescent="0.25">
      <c r="A1" s="1"/>
      <c r="B1" s="2"/>
      <c r="C1" s="3"/>
      <c r="D1" s="172" t="s">
        <v>0</v>
      </c>
      <c r="E1" s="171"/>
      <c r="F1" s="171"/>
      <c r="G1" s="173"/>
      <c r="H1" s="171"/>
      <c r="I1" s="171"/>
      <c r="J1" s="171"/>
      <c r="K1" s="171"/>
      <c r="L1" s="171"/>
      <c r="M1" s="171"/>
      <c r="N1" s="171"/>
      <c r="O1" s="171"/>
      <c r="P1" s="171"/>
      <c r="Q1" s="171"/>
      <c r="R1" s="171"/>
      <c r="S1" s="171"/>
      <c r="T1" s="171"/>
      <c r="U1" s="171"/>
      <c r="V1" s="171"/>
      <c r="W1" s="171"/>
      <c r="X1" s="171"/>
      <c r="Y1" s="171"/>
      <c r="Z1" s="171"/>
      <c r="AA1" s="171"/>
      <c r="AB1" s="171"/>
      <c r="AC1" s="171"/>
      <c r="AD1" s="171"/>
      <c r="AE1" s="171"/>
      <c r="AF1" s="2"/>
    </row>
    <row r="2" spans="1:32" ht="22.5" customHeight="1" thickBot="1" x14ac:dyDescent="0.3">
      <c r="A2" s="303" t="s">
        <v>123</v>
      </c>
      <c r="B2" s="304"/>
      <c r="C2" s="304"/>
      <c r="D2" s="140"/>
      <c r="E2" s="140"/>
      <c r="F2" s="140"/>
      <c r="G2" s="140"/>
      <c r="H2" s="140"/>
      <c r="I2" s="140"/>
      <c r="J2" s="140"/>
      <c r="K2" s="140"/>
      <c r="L2" s="140"/>
      <c r="M2" s="140"/>
      <c r="N2" s="140"/>
      <c r="O2" s="140"/>
      <c r="P2" s="140"/>
      <c r="Q2" s="140"/>
      <c r="R2" s="140"/>
      <c r="S2" s="140"/>
      <c r="T2" s="140"/>
      <c r="U2" s="140"/>
      <c r="V2" s="140"/>
      <c r="W2" s="140"/>
      <c r="X2" s="140"/>
      <c r="Y2" s="140"/>
      <c r="Z2" s="140"/>
      <c r="AA2" s="140"/>
      <c r="AB2" s="140"/>
      <c r="AC2" s="140"/>
      <c r="AD2" s="140"/>
      <c r="AE2" s="141"/>
    </row>
    <row r="3" spans="1:32" ht="16.5" customHeight="1" thickBot="1" x14ac:dyDescent="0.25">
      <c r="A3" s="142" t="s">
        <v>299</v>
      </c>
      <c r="B3" s="57"/>
      <c r="C3" s="57"/>
      <c r="D3" s="58"/>
      <c r="E3" s="58"/>
      <c r="F3" s="58"/>
      <c r="G3" s="58"/>
      <c r="H3" s="59"/>
      <c r="I3" s="59"/>
      <c r="J3" s="59"/>
      <c r="K3" s="59"/>
      <c r="L3" s="59"/>
      <c r="M3" s="59"/>
      <c r="N3" s="59"/>
      <c r="O3" s="59"/>
      <c r="P3" s="59"/>
      <c r="Q3" s="59"/>
      <c r="R3" s="59"/>
      <c r="S3" s="59"/>
      <c r="T3" s="59"/>
      <c r="U3" s="59"/>
      <c r="V3" s="59"/>
      <c r="W3" s="59"/>
      <c r="X3" s="59"/>
      <c r="Y3" s="59"/>
      <c r="Z3" s="59"/>
      <c r="AA3" s="59"/>
      <c r="AB3" s="59"/>
      <c r="AC3" s="59"/>
      <c r="AD3" s="59"/>
      <c r="AE3" s="143"/>
    </row>
    <row r="4" spans="1:32" ht="15.75" customHeight="1" x14ac:dyDescent="0.25">
      <c r="A4" s="310"/>
      <c r="B4" s="308" t="s">
        <v>2</v>
      </c>
      <c r="C4" s="301">
        <v>1996</v>
      </c>
      <c r="D4" s="301">
        <v>1997</v>
      </c>
      <c r="E4" s="301">
        <v>1998</v>
      </c>
      <c r="F4" s="301">
        <v>1999</v>
      </c>
      <c r="G4" s="301">
        <v>2000</v>
      </c>
      <c r="H4" s="301">
        <v>2001</v>
      </c>
      <c r="I4" s="301">
        <v>2002</v>
      </c>
      <c r="J4" s="301">
        <v>2003</v>
      </c>
      <c r="K4" s="301">
        <v>2004</v>
      </c>
      <c r="L4" s="301">
        <v>2005</v>
      </c>
      <c r="M4" s="301">
        <v>2006</v>
      </c>
      <c r="N4" s="301">
        <v>2007</v>
      </c>
      <c r="O4" s="301">
        <v>2008</v>
      </c>
      <c r="P4" s="301">
        <v>2009</v>
      </c>
      <c r="Q4" s="301">
        <v>2010</v>
      </c>
      <c r="R4" s="301">
        <v>2011</v>
      </c>
      <c r="S4" s="301">
        <v>2012</v>
      </c>
      <c r="T4" s="301">
        <v>2013</v>
      </c>
      <c r="U4" s="301">
        <v>2014</v>
      </c>
      <c r="V4" s="301">
        <v>2015</v>
      </c>
      <c r="W4" s="301">
        <v>2016</v>
      </c>
      <c r="X4" s="301">
        <v>2017</v>
      </c>
      <c r="Y4" s="301">
        <v>2018</v>
      </c>
      <c r="Z4" s="301">
        <v>2019</v>
      </c>
      <c r="AA4" s="301">
        <v>2020</v>
      </c>
      <c r="AB4" s="301">
        <v>2021</v>
      </c>
      <c r="AC4" s="301">
        <v>2022</v>
      </c>
      <c r="AD4" s="301">
        <v>2023</v>
      </c>
      <c r="AE4" s="299">
        <v>2024</v>
      </c>
    </row>
    <row r="5" spans="1:32" ht="15.75" customHeight="1" thickBot="1" x14ac:dyDescent="0.3">
      <c r="A5" s="311"/>
      <c r="B5" s="309"/>
      <c r="C5" s="302"/>
      <c r="D5" s="302" t="s">
        <v>3</v>
      </c>
      <c r="E5" s="302"/>
      <c r="F5" s="302" t="s">
        <v>4</v>
      </c>
      <c r="G5" s="302"/>
      <c r="H5" s="302" t="s">
        <v>5</v>
      </c>
      <c r="I5" s="302"/>
      <c r="J5" s="302" t="s">
        <v>6</v>
      </c>
      <c r="K5" s="302"/>
      <c r="L5" s="302" t="s">
        <v>7</v>
      </c>
      <c r="M5" s="302"/>
      <c r="N5" s="302" t="s">
        <v>8</v>
      </c>
      <c r="O5" s="302"/>
      <c r="P5" s="302" t="s">
        <v>9</v>
      </c>
      <c r="Q5" s="302"/>
      <c r="R5" s="302" t="s">
        <v>10</v>
      </c>
      <c r="S5" s="302"/>
      <c r="T5" s="302"/>
      <c r="U5" s="302"/>
      <c r="V5" s="302"/>
      <c r="W5" s="302"/>
      <c r="X5" s="302"/>
      <c r="Y5" s="302"/>
      <c r="Z5" s="302"/>
      <c r="AA5" s="302"/>
      <c r="AB5" s="302"/>
      <c r="AC5" s="302"/>
      <c r="AD5" s="302"/>
      <c r="AE5" s="300"/>
    </row>
    <row r="6" spans="1:32" s="11" customFormat="1" ht="15" customHeight="1" thickBot="1" x14ac:dyDescent="0.3">
      <c r="A6" s="144" t="s">
        <v>11</v>
      </c>
      <c r="B6" s="9" t="s">
        <v>12</v>
      </c>
      <c r="C6" s="64">
        <v>1119</v>
      </c>
      <c r="D6" s="64">
        <v>1108</v>
      </c>
      <c r="E6" s="64">
        <v>1046</v>
      </c>
      <c r="F6" s="64">
        <v>1100</v>
      </c>
      <c r="G6" s="64">
        <v>1172</v>
      </c>
      <c r="H6" s="64">
        <v>1158</v>
      </c>
      <c r="I6" s="64">
        <v>1116</v>
      </c>
      <c r="J6" s="64">
        <v>1183</v>
      </c>
      <c r="K6" s="64">
        <v>1278</v>
      </c>
      <c r="L6" s="64">
        <v>1326</v>
      </c>
      <c r="M6" s="64">
        <v>1429</v>
      </c>
      <c r="N6" s="64">
        <v>1544</v>
      </c>
      <c r="O6" s="64">
        <v>1606</v>
      </c>
      <c r="P6" s="64">
        <v>1698</v>
      </c>
      <c r="Q6" s="64">
        <v>1781</v>
      </c>
      <c r="R6" s="64">
        <v>1836</v>
      </c>
      <c r="S6" s="64">
        <v>1800</v>
      </c>
      <c r="T6" s="64">
        <v>1884</v>
      </c>
      <c r="U6" s="64">
        <v>1848</v>
      </c>
      <c r="V6" s="64">
        <v>1752</v>
      </c>
      <c r="W6" s="64">
        <v>1779</v>
      </c>
      <c r="X6" s="64">
        <v>1816</v>
      </c>
      <c r="Y6" s="64">
        <v>1806</v>
      </c>
      <c r="Z6" s="64">
        <v>1801</v>
      </c>
      <c r="AA6" s="64">
        <v>1794</v>
      </c>
      <c r="AB6" s="64">
        <v>1874</v>
      </c>
      <c r="AC6" s="64">
        <v>1820</v>
      </c>
      <c r="AD6" s="64">
        <v>1741</v>
      </c>
      <c r="AE6" s="145">
        <v>1707</v>
      </c>
      <c r="AF6" s="10"/>
    </row>
    <row r="7" spans="1:32" ht="15" customHeight="1" x14ac:dyDescent="0.25">
      <c r="A7" s="146">
        <v>1</v>
      </c>
      <c r="B7" s="12" t="s">
        <v>13</v>
      </c>
      <c r="C7" s="68">
        <v>1098</v>
      </c>
      <c r="D7" s="68">
        <v>1087</v>
      </c>
      <c r="E7" s="68">
        <v>1029</v>
      </c>
      <c r="F7" s="68">
        <v>1080</v>
      </c>
      <c r="G7" s="68">
        <v>1150</v>
      </c>
      <c r="H7" s="68">
        <v>1140</v>
      </c>
      <c r="I7" s="68">
        <v>1101</v>
      </c>
      <c r="J7" s="68">
        <v>1167</v>
      </c>
      <c r="K7" s="68">
        <v>1258</v>
      </c>
      <c r="L7" s="68">
        <v>1306</v>
      </c>
      <c r="M7" s="68">
        <v>1406</v>
      </c>
      <c r="N7" s="68">
        <v>1518</v>
      </c>
      <c r="O7" s="68">
        <v>1586</v>
      </c>
      <c r="P7" s="68">
        <v>1672</v>
      </c>
      <c r="Q7" s="68">
        <v>1752</v>
      </c>
      <c r="R7" s="68">
        <v>1807</v>
      </c>
      <c r="S7" s="68">
        <v>1774</v>
      </c>
      <c r="T7" s="68">
        <v>1862</v>
      </c>
      <c r="U7" s="68">
        <v>1827</v>
      </c>
      <c r="V7" s="68">
        <v>1730</v>
      </c>
      <c r="W7" s="68">
        <v>1761</v>
      </c>
      <c r="X7" s="68">
        <v>1797</v>
      </c>
      <c r="Y7" s="68">
        <v>1785</v>
      </c>
      <c r="Z7" s="68">
        <v>1783</v>
      </c>
      <c r="AA7" s="68">
        <v>1778</v>
      </c>
      <c r="AB7" s="68">
        <v>1858</v>
      </c>
      <c r="AC7" s="68">
        <v>1804</v>
      </c>
      <c r="AD7" s="68">
        <v>1727</v>
      </c>
      <c r="AE7" s="147">
        <v>1690</v>
      </c>
    </row>
    <row r="8" spans="1:32" ht="15" customHeight="1" thickBot="1" x14ac:dyDescent="0.3">
      <c r="A8" s="148">
        <v>2</v>
      </c>
      <c r="B8" s="13" t="s">
        <v>14</v>
      </c>
      <c r="C8" s="69">
        <v>21</v>
      </c>
      <c r="D8" s="69">
        <v>21</v>
      </c>
      <c r="E8" s="69">
        <v>17</v>
      </c>
      <c r="F8" s="69">
        <v>20</v>
      </c>
      <c r="G8" s="69">
        <v>22</v>
      </c>
      <c r="H8" s="69">
        <v>18</v>
      </c>
      <c r="I8" s="69">
        <v>15</v>
      </c>
      <c r="J8" s="69">
        <v>16</v>
      </c>
      <c r="K8" s="69">
        <v>20</v>
      </c>
      <c r="L8" s="69">
        <v>20</v>
      </c>
      <c r="M8" s="69">
        <v>23</v>
      </c>
      <c r="N8" s="69">
        <v>26</v>
      </c>
      <c r="O8" s="69">
        <v>20</v>
      </c>
      <c r="P8" s="69">
        <v>26</v>
      </c>
      <c r="Q8" s="69">
        <v>29</v>
      </c>
      <c r="R8" s="69">
        <v>29</v>
      </c>
      <c r="S8" s="69">
        <v>26</v>
      </c>
      <c r="T8" s="69">
        <v>22</v>
      </c>
      <c r="U8" s="69">
        <v>21</v>
      </c>
      <c r="V8" s="69">
        <v>22</v>
      </c>
      <c r="W8" s="69">
        <v>18</v>
      </c>
      <c r="X8" s="69">
        <v>19</v>
      </c>
      <c r="Y8" s="69">
        <v>21</v>
      </c>
      <c r="Z8" s="69">
        <v>18</v>
      </c>
      <c r="AA8" s="69">
        <v>16</v>
      </c>
      <c r="AB8" s="69">
        <v>16</v>
      </c>
      <c r="AC8" s="69">
        <v>16</v>
      </c>
      <c r="AD8" s="69">
        <v>14</v>
      </c>
      <c r="AE8" s="149">
        <v>17</v>
      </c>
    </row>
    <row r="9" spans="1:32" s="11" customFormat="1" ht="15" customHeight="1" thickBot="1" x14ac:dyDescent="0.3">
      <c r="A9" s="144" t="s">
        <v>15</v>
      </c>
      <c r="B9" s="9" t="s">
        <v>16</v>
      </c>
      <c r="C9" s="64" t="s">
        <v>383</v>
      </c>
      <c r="D9" s="64" t="s">
        <v>383</v>
      </c>
      <c r="E9" s="64" t="s">
        <v>383</v>
      </c>
      <c r="F9" s="64" t="s">
        <v>383</v>
      </c>
      <c r="G9" s="64" t="s">
        <v>383</v>
      </c>
      <c r="H9" s="64" t="s">
        <v>383</v>
      </c>
      <c r="I9" s="64" t="s">
        <v>383</v>
      </c>
      <c r="J9" s="64" t="s">
        <v>383</v>
      </c>
      <c r="K9" s="64" t="s">
        <v>383</v>
      </c>
      <c r="L9" s="64" t="s">
        <v>383</v>
      </c>
      <c r="M9" s="64" t="s">
        <v>383</v>
      </c>
      <c r="N9" s="64" t="s">
        <v>383</v>
      </c>
      <c r="O9" s="64" t="s">
        <v>383</v>
      </c>
      <c r="P9" s="64" t="s">
        <v>383</v>
      </c>
      <c r="Q9" s="64" t="s">
        <v>383</v>
      </c>
      <c r="R9" s="64" t="s">
        <v>383</v>
      </c>
      <c r="S9" s="64" t="s">
        <v>383</v>
      </c>
      <c r="T9" s="64" t="s">
        <v>383</v>
      </c>
      <c r="U9" s="64" t="s">
        <v>383</v>
      </c>
      <c r="V9" s="64" t="s">
        <v>383</v>
      </c>
      <c r="W9" s="64" t="s">
        <v>383</v>
      </c>
      <c r="X9" s="64" t="s">
        <v>383</v>
      </c>
      <c r="Y9" s="64" t="s">
        <v>383</v>
      </c>
      <c r="Z9" s="64" t="s">
        <v>383</v>
      </c>
      <c r="AA9" s="64" t="s">
        <v>383</v>
      </c>
      <c r="AB9" s="64" t="s">
        <v>383</v>
      </c>
      <c r="AC9" s="64" t="s">
        <v>383</v>
      </c>
      <c r="AD9" s="64" t="s">
        <v>383</v>
      </c>
      <c r="AE9" s="145" t="s">
        <v>383</v>
      </c>
      <c r="AF9" s="10"/>
    </row>
    <row r="10" spans="1:32" ht="15" customHeight="1" thickBot="1" x14ac:dyDescent="0.3">
      <c r="A10" s="150">
        <v>5</v>
      </c>
      <c r="B10" s="14" t="s">
        <v>17</v>
      </c>
      <c r="C10" s="67" t="s">
        <v>383</v>
      </c>
      <c r="D10" s="67" t="s">
        <v>383</v>
      </c>
      <c r="E10" s="67" t="s">
        <v>383</v>
      </c>
      <c r="F10" s="67" t="s">
        <v>383</v>
      </c>
      <c r="G10" s="67" t="s">
        <v>383</v>
      </c>
      <c r="H10" s="67" t="s">
        <v>383</v>
      </c>
      <c r="I10" s="67" t="s">
        <v>383</v>
      </c>
      <c r="J10" s="67" t="s">
        <v>383</v>
      </c>
      <c r="K10" s="67" t="s">
        <v>383</v>
      </c>
      <c r="L10" s="67" t="s">
        <v>383</v>
      </c>
      <c r="M10" s="67" t="s">
        <v>383</v>
      </c>
      <c r="N10" s="67" t="s">
        <v>383</v>
      </c>
      <c r="O10" s="67" t="s">
        <v>383</v>
      </c>
      <c r="P10" s="67" t="s">
        <v>383</v>
      </c>
      <c r="Q10" s="67" t="s">
        <v>383</v>
      </c>
      <c r="R10" s="67" t="s">
        <v>383</v>
      </c>
      <c r="S10" s="67" t="s">
        <v>383</v>
      </c>
      <c r="T10" s="67" t="s">
        <v>383</v>
      </c>
      <c r="U10" s="67" t="s">
        <v>383</v>
      </c>
      <c r="V10" s="67" t="s">
        <v>383</v>
      </c>
      <c r="W10" s="67" t="s">
        <v>383</v>
      </c>
      <c r="X10" s="67" t="s">
        <v>383</v>
      </c>
      <c r="Y10" s="67" t="s">
        <v>383</v>
      </c>
      <c r="Z10" s="67" t="s">
        <v>383</v>
      </c>
      <c r="AA10" s="67" t="s">
        <v>383</v>
      </c>
      <c r="AB10" s="67" t="s">
        <v>383</v>
      </c>
      <c r="AC10" s="67" t="s">
        <v>383</v>
      </c>
      <c r="AD10" s="67" t="s">
        <v>383</v>
      </c>
      <c r="AE10" s="151" t="s">
        <v>383</v>
      </c>
    </row>
    <row r="11" spans="1:32" s="11" customFormat="1" ht="15" customHeight="1" thickBot="1" x14ac:dyDescent="0.3">
      <c r="A11" s="144" t="s">
        <v>18</v>
      </c>
      <c r="B11" s="9" t="s">
        <v>19</v>
      </c>
      <c r="C11" s="64">
        <v>57</v>
      </c>
      <c r="D11" s="64">
        <v>61</v>
      </c>
      <c r="E11" s="64">
        <v>64</v>
      </c>
      <c r="F11" s="64">
        <v>70</v>
      </c>
      <c r="G11" s="64">
        <v>73</v>
      </c>
      <c r="H11" s="64">
        <v>69</v>
      </c>
      <c r="I11" s="64">
        <v>63</v>
      </c>
      <c r="J11" s="64">
        <v>66</v>
      </c>
      <c r="K11" s="64">
        <v>72</v>
      </c>
      <c r="L11" s="64">
        <v>78</v>
      </c>
      <c r="M11" s="64">
        <v>83</v>
      </c>
      <c r="N11" s="64">
        <v>90</v>
      </c>
      <c r="O11" s="64">
        <v>94</v>
      </c>
      <c r="P11" s="64">
        <v>95</v>
      </c>
      <c r="Q11" s="64">
        <v>118</v>
      </c>
      <c r="R11" s="64">
        <v>109</v>
      </c>
      <c r="S11" s="64">
        <v>97</v>
      </c>
      <c r="T11" s="64">
        <v>95</v>
      </c>
      <c r="U11" s="64">
        <v>93</v>
      </c>
      <c r="V11" s="64">
        <v>88</v>
      </c>
      <c r="W11" s="64">
        <v>91</v>
      </c>
      <c r="X11" s="64">
        <v>91</v>
      </c>
      <c r="Y11" s="64">
        <v>86</v>
      </c>
      <c r="Z11" s="64">
        <v>86</v>
      </c>
      <c r="AA11" s="64">
        <v>84</v>
      </c>
      <c r="AB11" s="64">
        <v>95</v>
      </c>
      <c r="AC11" s="64">
        <v>100</v>
      </c>
      <c r="AD11" s="64">
        <v>102</v>
      </c>
      <c r="AE11" s="145">
        <v>101</v>
      </c>
      <c r="AF11" s="10"/>
    </row>
    <row r="12" spans="1:32" ht="15" customHeight="1" x14ac:dyDescent="0.25">
      <c r="A12" s="152">
        <v>11</v>
      </c>
      <c r="B12" s="15" t="s">
        <v>20</v>
      </c>
      <c r="C12" s="68">
        <v>23</v>
      </c>
      <c r="D12" s="68">
        <v>23</v>
      </c>
      <c r="E12" s="68">
        <v>28</v>
      </c>
      <c r="F12" s="68">
        <v>37</v>
      </c>
      <c r="G12" s="68">
        <v>39</v>
      </c>
      <c r="H12" s="68">
        <v>41</v>
      </c>
      <c r="I12" s="68">
        <v>37</v>
      </c>
      <c r="J12" s="68">
        <v>36</v>
      </c>
      <c r="K12" s="68">
        <v>38</v>
      </c>
      <c r="L12" s="68">
        <v>39</v>
      </c>
      <c r="M12" s="68">
        <v>36</v>
      </c>
      <c r="N12" s="68">
        <v>39</v>
      </c>
      <c r="O12" s="68">
        <v>41</v>
      </c>
      <c r="P12" s="68">
        <v>44</v>
      </c>
      <c r="Q12" s="68">
        <v>44</v>
      </c>
      <c r="R12" s="68">
        <v>41</v>
      </c>
      <c r="S12" s="68">
        <v>35</v>
      </c>
      <c r="T12" s="68">
        <v>35</v>
      </c>
      <c r="U12" s="68">
        <v>36</v>
      </c>
      <c r="V12" s="68">
        <v>35</v>
      </c>
      <c r="W12" s="68">
        <v>37</v>
      </c>
      <c r="X12" s="68" t="s">
        <v>383</v>
      </c>
      <c r="Y12" s="68" t="s">
        <v>383</v>
      </c>
      <c r="Z12" s="68">
        <v>25</v>
      </c>
      <c r="AA12" s="68">
        <v>23</v>
      </c>
      <c r="AB12" s="68">
        <v>30</v>
      </c>
      <c r="AC12" s="68">
        <v>26</v>
      </c>
      <c r="AD12" s="68">
        <v>28</v>
      </c>
      <c r="AE12" s="153">
        <v>27</v>
      </c>
    </row>
    <row r="13" spans="1:32" ht="15" customHeight="1" x14ac:dyDescent="0.25">
      <c r="A13" s="154">
        <v>13</v>
      </c>
      <c r="B13" s="16" t="s">
        <v>21</v>
      </c>
      <c r="C13" s="69">
        <v>4</v>
      </c>
      <c r="D13" s="69">
        <v>5</v>
      </c>
      <c r="E13" s="69">
        <v>4</v>
      </c>
      <c r="F13" s="69" t="s">
        <v>383</v>
      </c>
      <c r="G13" s="69" t="s">
        <v>383</v>
      </c>
      <c r="H13" s="69" t="s">
        <v>383</v>
      </c>
      <c r="I13" s="69" t="s">
        <v>383</v>
      </c>
      <c r="J13" s="69" t="s">
        <v>383</v>
      </c>
      <c r="K13" s="69" t="s">
        <v>383</v>
      </c>
      <c r="L13" s="69" t="s">
        <v>383</v>
      </c>
      <c r="M13" s="69" t="s">
        <v>383</v>
      </c>
      <c r="N13" s="69" t="s">
        <v>383</v>
      </c>
      <c r="O13" s="69" t="s">
        <v>383</v>
      </c>
      <c r="P13" s="69">
        <v>4</v>
      </c>
      <c r="Q13" s="69">
        <v>6</v>
      </c>
      <c r="R13" s="69">
        <v>5</v>
      </c>
      <c r="S13" s="69">
        <v>5</v>
      </c>
      <c r="T13" s="69">
        <v>7</v>
      </c>
      <c r="U13" s="69">
        <v>5</v>
      </c>
      <c r="V13" s="69">
        <v>4</v>
      </c>
      <c r="W13" s="69">
        <v>4</v>
      </c>
      <c r="X13" s="69" t="s">
        <v>383</v>
      </c>
      <c r="Y13" s="69" t="s">
        <v>383</v>
      </c>
      <c r="Z13" s="69">
        <v>6</v>
      </c>
      <c r="AA13" s="69">
        <v>6</v>
      </c>
      <c r="AB13" s="69">
        <v>8</v>
      </c>
      <c r="AC13" s="69">
        <v>10</v>
      </c>
      <c r="AD13" s="69">
        <v>10</v>
      </c>
      <c r="AE13" s="155">
        <v>12</v>
      </c>
    </row>
    <row r="14" spans="1:32" ht="15" customHeight="1" thickBot="1" x14ac:dyDescent="0.3">
      <c r="A14" s="152">
        <v>14</v>
      </c>
      <c r="B14" s="15" t="s">
        <v>22</v>
      </c>
      <c r="C14" s="68">
        <v>30</v>
      </c>
      <c r="D14" s="68">
        <v>33</v>
      </c>
      <c r="E14" s="68">
        <v>32</v>
      </c>
      <c r="F14" s="68" t="s">
        <v>383</v>
      </c>
      <c r="G14" s="68" t="s">
        <v>383</v>
      </c>
      <c r="H14" s="68" t="s">
        <v>383</v>
      </c>
      <c r="I14" s="68" t="s">
        <v>383</v>
      </c>
      <c r="J14" s="68" t="s">
        <v>383</v>
      </c>
      <c r="K14" s="68" t="s">
        <v>383</v>
      </c>
      <c r="L14" s="68" t="s">
        <v>383</v>
      </c>
      <c r="M14" s="68" t="s">
        <v>383</v>
      </c>
      <c r="N14" s="68" t="s">
        <v>383</v>
      </c>
      <c r="O14" s="68" t="s">
        <v>383</v>
      </c>
      <c r="P14" s="68">
        <v>47</v>
      </c>
      <c r="Q14" s="68">
        <v>68</v>
      </c>
      <c r="R14" s="68">
        <v>63</v>
      </c>
      <c r="S14" s="68">
        <v>57</v>
      </c>
      <c r="T14" s="68">
        <v>53</v>
      </c>
      <c r="U14" s="68">
        <v>52</v>
      </c>
      <c r="V14" s="68">
        <v>49</v>
      </c>
      <c r="W14" s="68">
        <v>50</v>
      </c>
      <c r="X14" s="68">
        <v>55</v>
      </c>
      <c r="Y14" s="68">
        <v>58</v>
      </c>
      <c r="Z14" s="68">
        <v>55</v>
      </c>
      <c r="AA14" s="68">
        <v>55</v>
      </c>
      <c r="AB14" s="68">
        <v>57</v>
      </c>
      <c r="AC14" s="68">
        <v>64</v>
      </c>
      <c r="AD14" s="68">
        <v>64</v>
      </c>
      <c r="AE14" s="153">
        <v>62</v>
      </c>
    </row>
    <row r="15" spans="1:32" s="11" customFormat="1" ht="15" customHeight="1" thickBot="1" x14ac:dyDescent="0.3">
      <c r="A15" s="144" t="s">
        <v>23</v>
      </c>
      <c r="B15" s="9" t="s">
        <v>24</v>
      </c>
      <c r="C15" s="64">
        <v>498</v>
      </c>
      <c r="D15" s="64">
        <v>474</v>
      </c>
      <c r="E15" s="64">
        <v>486</v>
      </c>
      <c r="F15" s="64">
        <v>523</v>
      </c>
      <c r="G15" s="64">
        <v>533</v>
      </c>
      <c r="H15" s="64">
        <v>492</v>
      </c>
      <c r="I15" s="64">
        <v>450</v>
      </c>
      <c r="J15" s="64">
        <v>452</v>
      </c>
      <c r="K15" s="64">
        <v>477</v>
      </c>
      <c r="L15" s="64">
        <v>519</v>
      </c>
      <c r="M15" s="64">
        <v>567</v>
      </c>
      <c r="N15" s="64">
        <v>606</v>
      </c>
      <c r="O15" s="64">
        <v>635</v>
      </c>
      <c r="P15" s="64">
        <v>647</v>
      </c>
      <c r="Q15" s="64">
        <v>684</v>
      </c>
      <c r="R15" s="64">
        <v>730</v>
      </c>
      <c r="S15" s="64">
        <v>713</v>
      </c>
      <c r="T15" s="64">
        <v>733</v>
      </c>
      <c r="U15" s="64">
        <v>727</v>
      </c>
      <c r="V15" s="64">
        <v>732</v>
      </c>
      <c r="W15" s="64">
        <v>737</v>
      </c>
      <c r="X15" s="64">
        <v>732</v>
      </c>
      <c r="Y15" s="64">
        <v>708</v>
      </c>
      <c r="Z15" s="64">
        <v>691</v>
      </c>
      <c r="AA15" s="64">
        <v>642</v>
      </c>
      <c r="AB15" s="64">
        <v>648</v>
      </c>
      <c r="AC15" s="64">
        <v>691</v>
      </c>
      <c r="AD15" s="64">
        <v>700</v>
      </c>
      <c r="AE15" s="145">
        <v>706</v>
      </c>
      <c r="AF15" s="10"/>
    </row>
    <row r="16" spans="1:32" ht="15" customHeight="1" x14ac:dyDescent="0.25">
      <c r="A16" s="152">
        <v>15</v>
      </c>
      <c r="B16" s="15" t="s">
        <v>25</v>
      </c>
      <c r="C16" s="68">
        <v>212</v>
      </c>
      <c r="D16" s="68">
        <v>203</v>
      </c>
      <c r="E16" s="68">
        <v>212</v>
      </c>
      <c r="F16" s="68">
        <v>215</v>
      </c>
      <c r="G16" s="68">
        <v>225</v>
      </c>
      <c r="H16" s="68">
        <v>208</v>
      </c>
      <c r="I16" s="68">
        <v>198</v>
      </c>
      <c r="J16" s="68">
        <v>195</v>
      </c>
      <c r="K16" s="68">
        <v>207</v>
      </c>
      <c r="L16" s="68">
        <v>225</v>
      </c>
      <c r="M16" s="68">
        <v>242</v>
      </c>
      <c r="N16" s="68">
        <v>256</v>
      </c>
      <c r="O16" s="68">
        <v>278</v>
      </c>
      <c r="P16" s="68">
        <v>293</v>
      </c>
      <c r="Q16" s="68">
        <v>311</v>
      </c>
      <c r="R16" s="68">
        <v>332</v>
      </c>
      <c r="S16" s="68">
        <v>327</v>
      </c>
      <c r="T16" s="68">
        <v>343</v>
      </c>
      <c r="U16" s="68">
        <v>347</v>
      </c>
      <c r="V16" s="68">
        <v>345</v>
      </c>
      <c r="W16" s="68">
        <v>353</v>
      </c>
      <c r="X16" s="68">
        <v>350</v>
      </c>
      <c r="Y16" s="68">
        <v>338</v>
      </c>
      <c r="Z16" s="68">
        <v>333</v>
      </c>
      <c r="AA16" s="68">
        <v>314</v>
      </c>
      <c r="AB16" s="68">
        <v>314</v>
      </c>
      <c r="AC16" s="68">
        <v>333</v>
      </c>
      <c r="AD16" s="68">
        <v>348</v>
      </c>
      <c r="AE16" s="153">
        <v>347</v>
      </c>
    </row>
    <row r="17" spans="1:31" ht="15" customHeight="1" x14ac:dyDescent="0.25">
      <c r="A17" s="156">
        <v>16</v>
      </c>
      <c r="B17" s="17" t="s">
        <v>26</v>
      </c>
      <c r="C17" s="70">
        <v>5</v>
      </c>
      <c r="D17" s="70">
        <v>4</v>
      </c>
      <c r="E17" s="70" t="s">
        <v>383</v>
      </c>
      <c r="F17" s="70">
        <v>6</v>
      </c>
      <c r="G17" s="70">
        <v>5</v>
      </c>
      <c r="H17" s="70">
        <v>5</v>
      </c>
      <c r="I17" s="70">
        <v>5</v>
      </c>
      <c r="J17" s="70">
        <v>5</v>
      </c>
      <c r="K17" s="70">
        <v>5</v>
      </c>
      <c r="L17" s="70">
        <v>6</v>
      </c>
      <c r="M17" s="70">
        <v>7</v>
      </c>
      <c r="N17" s="70">
        <v>6</v>
      </c>
      <c r="O17" s="70">
        <v>6</v>
      </c>
      <c r="P17" s="70">
        <v>6</v>
      </c>
      <c r="Q17" s="70">
        <v>6</v>
      </c>
      <c r="R17" s="70">
        <v>6</v>
      </c>
      <c r="S17" s="70">
        <v>5</v>
      </c>
      <c r="T17" s="70">
        <v>6</v>
      </c>
      <c r="U17" s="70">
        <v>6</v>
      </c>
      <c r="V17" s="70">
        <v>6</v>
      </c>
      <c r="W17" s="70">
        <v>6</v>
      </c>
      <c r="X17" s="70">
        <v>6</v>
      </c>
      <c r="Y17" s="70">
        <v>6</v>
      </c>
      <c r="Z17" s="70">
        <v>6</v>
      </c>
      <c r="AA17" s="70">
        <v>7</v>
      </c>
      <c r="AB17" s="70">
        <v>9</v>
      </c>
      <c r="AC17" s="70">
        <v>9</v>
      </c>
      <c r="AD17" s="70">
        <v>9</v>
      </c>
      <c r="AE17" s="157">
        <v>8</v>
      </c>
    </row>
    <row r="18" spans="1:31" ht="15" customHeight="1" x14ac:dyDescent="0.25">
      <c r="A18" s="156">
        <v>17</v>
      </c>
      <c r="B18" s="17" t="s">
        <v>27</v>
      </c>
      <c r="C18" s="70">
        <v>5</v>
      </c>
      <c r="D18" s="70">
        <v>7</v>
      </c>
      <c r="E18" s="70">
        <v>6</v>
      </c>
      <c r="F18" s="70">
        <v>7</v>
      </c>
      <c r="G18" s="70">
        <v>6</v>
      </c>
      <c r="H18" s="70">
        <v>6</v>
      </c>
      <c r="I18" s="70">
        <v>5</v>
      </c>
      <c r="J18" s="70">
        <v>7</v>
      </c>
      <c r="K18" s="70">
        <v>7</v>
      </c>
      <c r="L18" s="70">
        <v>10</v>
      </c>
      <c r="M18" s="70">
        <v>10</v>
      </c>
      <c r="N18" s="70">
        <v>10</v>
      </c>
      <c r="O18" s="70">
        <v>8</v>
      </c>
      <c r="P18" s="70">
        <v>9</v>
      </c>
      <c r="Q18" s="70">
        <v>9</v>
      </c>
      <c r="R18" s="70">
        <v>9</v>
      </c>
      <c r="S18" s="70">
        <v>12</v>
      </c>
      <c r="T18" s="70">
        <v>10</v>
      </c>
      <c r="U18" s="70">
        <v>10</v>
      </c>
      <c r="V18" s="70">
        <v>11</v>
      </c>
      <c r="W18" s="70">
        <v>10</v>
      </c>
      <c r="X18" s="70">
        <v>9</v>
      </c>
      <c r="Y18" s="70">
        <v>7</v>
      </c>
      <c r="Z18" s="70">
        <v>8</v>
      </c>
      <c r="AA18" s="70">
        <v>8</v>
      </c>
      <c r="AB18" s="70">
        <v>8</v>
      </c>
      <c r="AC18" s="70">
        <v>8</v>
      </c>
      <c r="AD18" s="70">
        <v>9</v>
      </c>
      <c r="AE18" s="157">
        <v>10</v>
      </c>
    </row>
    <row r="19" spans="1:31" ht="15" customHeight="1" x14ac:dyDescent="0.25">
      <c r="A19" s="156">
        <v>18</v>
      </c>
      <c r="B19" s="17" t="s">
        <v>28</v>
      </c>
      <c r="C19" s="70">
        <v>16</v>
      </c>
      <c r="D19" s="70">
        <v>11</v>
      </c>
      <c r="E19" s="70">
        <v>11</v>
      </c>
      <c r="F19" s="70">
        <v>16</v>
      </c>
      <c r="G19" s="70">
        <v>16</v>
      </c>
      <c r="H19" s="70">
        <v>11</v>
      </c>
      <c r="I19" s="70">
        <v>6</v>
      </c>
      <c r="J19" s="70">
        <v>6</v>
      </c>
      <c r="K19" s="70">
        <v>6</v>
      </c>
      <c r="L19" s="70">
        <v>6</v>
      </c>
      <c r="M19" s="70">
        <v>8</v>
      </c>
      <c r="N19" s="70">
        <v>10</v>
      </c>
      <c r="O19" s="70">
        <v>15</v>
      </c>
      <c r="P19" s="70">
        <v>15</v>
      </c>
      <c r="Q19" s="70">
        <v>15</v>
      </c>
      <c r="R19" s="70">
        <v>17</v>
      </c>
      <c r="S19" s="70">
        <v>15</v>
      </c>
      <c r="T19" s="70">
        <v>15</v>
      </c>
      <c r="U19" s="70">
        <v>13</v>
      </c>
      <c r="V19" s="70">
        <v>17</v>
      </c>
      <c r="W19" s="70">
        <v>13</v>
      </c>
      <c r="X19" s="70">
        <v>14</v>
      </c>
      <c r="Y19" s="70">
        <v>17</v>
      </c>
      <c r="Z19" s="70">
        <v>17</v>
      </c>
      <c r="AA19" s="70">
        <v>13</v>
      </c>
      <c r="AB19" s="70">
        <v>11</v>
      </c>
      <c r="AC19" s="70">
        <v>13</v>
      </c>
      <c r="AD19" s="70">
        <v>14</v>
      </c>
      <c r="AE19" s="157">
        <v>14</v>
      </c>
    </row>
    <row r="20" spans="1:31" ht="15" customHeight="1" x14ac:dyDescent="0.25">
      <c r="A20" s="156">
        <v>19</v>
      </c>
      <c r="B20" s="17" t="s">
        <v>108</v>
      </c>
      <c r="C20" s="70">
        <v>12</v>
      </c>
      <c r="D20" s="70">
        <v>10</v>
      </c>
      <c r="E20" s="70">
        <v>9</v>
      </c>
      <c r="F20" s="70">
        <v>11</v>
      </c>
      <c r="G20" s="70">
        <v>12</v>
      </c>
      <c r="H20" s="70">
        <v>13</v>
      </c>
      <c r="I20" s="70">
        <v>11</v>
      </c>
      <c r="J20" s="70">
        <v>9</v>
      </c>
      <c r="K20" s="70">
        <v>10</v>
      </c>
      <c r="L20" s="70">
        <v>10</v>
      </c>
      <c r="M20" s="70">
        <v>10</v>
      </c>
      <c r="N20" s="70">
        <v>10</v>
      </c>
      <c r="O20" s="70">
        <v>11</v>
      </c>
      <c r="P20" s="70">
        <v>11</v>
      </c>
      <c r="Q20" s="70">
        <v>12</v>
      </c>
      <c r="R20" s="70">
        <v>11</v>
      </c>
      <c r="S20" s="70">
        <v>10</v>
      </c>
      <c r="T20" s="70">
        <v>10</v>
      </c>
      <c r="U20" s="70">
        <v>11</v>
      </c>
      <c r="V20" s="70">
        <v>11</v>
      </c>
      <c r="W20" s="70">
        <v>11</v>
      </c>
      <c r="X20" s="70">
        <v>11</v>
      </c>
      <c r="Y20" s="70">
        <v>10</v>
      </c>
      <c r="Z20" s="70">
        <v>9</v>
      </c>
      <c r="AA20" s="70">
        <v>11</v>
      </c>
      <c r="AB20" s="70">
        <v>11</v>
      </c>
      <c r="AC20" s="70">
        <v>11</v>
      </c>
      <c r="AD20" s="70">
        <v>11</v>
      </c>
      <c r="AE20" s="157">
        <v>11</v>
      </c>
    </row>
    <row r="21" spans="1:31" ht="15" customHeight="1" x14ac:dyDescent="0.25">
      <c r="A21" s="156">
        <v>20</v>
      </c>
      <c r="B21" s="17" t="s">
        <v>30</v>
      </c>
      <c r="C21" s="70">
        <v>52</v>
      </c>
      <c r="D21" s="70">
        <v>50</v>
      </c>
      <c r="E21" s="70">
        <v>46</v>
      </c>
      <c r="F21" s="70">
        <v>46</v>
      </c>
      <c r="G21" s="70">
        <v>49</v>
      </c>
      <c r="H21" s="70">
        <v>45</v>
      </c>
      <c r="I21" s="70">
        <v>44</v>
      </c>
      <c r="J21" s="70">
        <v>48</v>
      </c>
      <c r="K21" s="70">
        <v>52</v>
      </c>
      <c r="L21" s="70">
        <v>54</v>
      </c>
      <c r="M21" s="70">
        <v>60</v>
      </c>
      <c r="N21" s="70">
        <v>67</v>
      </c>
      <c r="O21" s="70">
        <v>64</v>
      </c>
      <c r="P21" s="70">
        <v>64</v>
      </c>
      <c r="Q21" s="70">
        <v>65</v>
      </c>
      <c r="R21" s="70">
        <v>71</v>
      </c>
      <c r="S21" s="70">
        <v>64</v>
      </c>
      <c r="T21" s="70">
        <v>63</v>
      </c>
      <c r="U21" s="70">
        <v>68</v>
      </c>
      <c r="V21" s="70">
        <v>59</v>
      </c>
      <c r="W21" s="70">
        <v>59</v>
      </c>
      <c r="X21" s="70">
        <v>56</v>
      </c>
      <c r="Y21" s="70">
        <v>47</v>
      </c>
      <c r="Z21" s="70">
        <v>42</v>
      </c>
      <c r="AA21" s="70">
        <v>39</v>
      </c>
      <c r="AB21" s="70">
        <v>38</v>
      </c>
      <c r="AC21" s="70">
        <v>41</v>
      </c>
      <c r="AD21" s="70">
        <v>37</v>
      </c>
      <c r="AE21" s="157">
        <v>36</v>
      </c>
    </row>
    <row r="22" spans="1:31" ht="15" customHeight="1" x14ac:dyDescent="0.25">
      <c r="A22" s="156">
        <v>21</v>
      </c>
      <c r="B22" s="17" t="s">
        <v>31</v>
      </c>
      <c r="C22" s="70">
        <v>4</v>
      </c>
      <c r="D22" s="70">
        <v>5</v>
      </c>
      <c r="E22" s="70">
        <v>5</v>
      </c>
      <c r="F22" s="70">
        <v>4</v>
      </c>
      <c r="G22" s="70">
        <v>5</v>
      </c>
      <c r="H22" s="70">
        <v>4</v>
      </c>
      <c r="I22" s="70">
        <v>4</v>
      </c>
      <c r="J22" s="70">
        <v>4</v>
      </c>
      <c r="K22" s="70">
        <v>6</v>
      </c>
      <c r="L22" s="70">
        <v>7</v>
      </c>
      <c r="M22" s="70">
        <v>6</v>
      </c>
      <c r="N22" s="70">
        <v>5</v>
      </c>
      <c r="O22" s="70">
        <v>5</v>
      </c>
      <c r="P22" s="70" t="s">
        <v>383</v>
      </c>
      <c r="Q22" s="70" t="s">
        <v>383</v>
      </c>
      <c r="R22" s="70">
        <v>4</v>
      </c>
      <c r="S22" s="70" t="s">
        <v>383</v>
      </c>
      <c r="T22" s="70">
        <v>5</v>
      </c>
      <c r="U22" s="70">
        <v>4</v>
      </c>
      <c r="V22" s="70">
        <v>5</v>
      </c>
      <c r="W22" s="70" t="s">
        <v>383</v>
      </c>
      <c r="X22" s="70" t="s">
        <v>383</v>
      </c>
      <c r="Y22" s="70" t="s">
        <v>383</v>
      </c>
      <c r="Z22" s="70">
        <v>4</v>
      </c>
      <c r="AA22" s="70" t="s">
        <v>383</v>
      </c>
      <c r="AB22" s="70" t="s">
        <v>383</v>
      </c>
      <c r="AC22" s="70" t="s">
        <v>383</v>
      </c>
      <c r="AD22" s="70" t="s">
        <v>383</v>
      </c>
      <c r="AE22" s="157" t="s">
        <v>383</v>
      </c>
    </row>
    <row r="23" spans="1:31" ht="15" customHeight="1" x14ac:dyDescent="0.25">
      <c r="A23" s="156">
        <v>22</v>
      </c>
      <c r="B23" s="17" t="s">
        <v>98</v>
      </c>
      <c r="C23" s="70">
        <v>25</v>
      </c>
      <c r="D23" s="70">
        <v>26</v>
      </c>
      <c r="E23" s="70">
        <v>24</v>
      </c>
      <c r="F23" s="70">
        <v>26</v>
      </c>
      <c r="G23" s="70">
        <v>28</v>
      </c>
      <c r="H23" s="70">
        <v>26</v>
      </c>
      <c r="I23" s="70">
        <v>22</v>
      </c>
      <c r="J23" s="70">
        <v>27</v>
      </c>
      <c r="K23" s="70">
        <v>27</v>
      </c>
      <c r="L23" s="70">
        <v>26</v>
      </c>
      <c r="M23" s="70">
        <v>31</v>
      </c>
      <c r="N23" s="70">
        <v>36</v>
      </c>
      <c r="O23" s="70">
        <v>37</v>
      </c>
      <c r="P23" s="70">
        <v>38</v>
      </c>
      <c r="Q23" s="70">
        <v>36</v>
      </c>
      <c r="R23" s="70">
        <v>42</v>
      </c>
      <c r="S23" s="70">
        <v>41</v>
      </c>
      <c r="T23" s="70">
        <v>44</v>
      </c>
      <c r="U23" s="70">
        <v>44</v>
      </c>
      <c r="V23" s="70">
        <v>47</v>
      </c>
      <c r="W23" s="70">
        <v>44</v>
      </c>
      <c r="X23" s="70">
        <v>44</v>
      </c>
      <c r="Y23" s="70">
        <v>46</v>
      </c>
      <c r="Z23" s="70">
        <v>46</v>
      </c>
      <c r="AA23" s="70">
        <v>38</v>
      </c>
      <c r="AB23" s="70">
        <v>40</v>
      </c>
      <c r="AC23" s="70">
        <v>42</v>
      </c>
      <c r="AD23" s="70">
        <v>38</v>
      </c>
      <c r="AE23" s="157">
        <v>36</v>
      </c>
    </row>
    <row r="24" spans="1:31" ht="15" customHeight="1" x14ac:dyDescent="0.25">
      <c r="A24" s="156">
        <v>23</v>
      </c>
      <c r="B24" s="17" t="s">
        <v>33</v>
      </c>
      <c r="C24" s="70">
        <v>4</v>
      </c>
      <c r="D24" s="70" t="s">
        <v>383</v>
      </c>
      <c r="E24" s="70" t="s">
        <v>383</v>
      </c>
      <c r="F24" s="70">
        <v>5</v>
      </c>
      <c r="G24" s="70">
        <v>4</v>
      </c>
      <c r="H24" s="70" t="s">
        <v>383</v>
      </c>
      <c r="I24" s="70" t="s">
        <v>383</v>
      </c>
      <c r="J24" s="70" t="s">
        <v>383</v>
      </c>
      <c r="K24" s="70" t="s">
        <v>383</v>
      </c>
      <c r="L24" s="70" t="s">
        <v>383</v>
      </c>
      <c r="M24" s="70" t="s">
        <v>383</v>
      </c>
      <c r="N24" s="70" t="s">
        <v>383</v>
      </c>
      <c r="O24" s="70" t="s">
        <v>383</v>
      </c>
      <c r="P24" s="70" t="s">
        <v>383</v>
      </c>
      <c r="Q24" s="70" t="s">
        <v>383</v>
      </c>
      <c r="R24" s="70" t="s">
        <v>383</v>
      </c>
      <c r="S24" s="70" t="s">
        <v>383</v>
      </c>
      <c r="T24" s="70" t="s">
        <v>383</v>
      </c>
      <c r="U24" s="70" t="s">
        <v>383</v>
      </c>
      <c r="V24" s="70" t="s">
        <v>383</v>
      </c>
      <c r="W24" s="70" t="s">
        <v>383</v>
      </c>
      <c r="X24" s="70" t="s">
        <v>383</v>
      </c>
      <c r="Y24" s="70" t="s">
        <v>383</v>
      </c>
      <c r="Z24" s="70" t="s">
        <v>383</v>
      </c>
      <c r="AA24" s="70" t="s">
        <v>383</v>
      </c>
      <c r="AB24" s="70" t="s">
        <v>383</v>
      </c>
      <c r="AC24" s="70" t="s">
        <v>383</v>
      </c>
      <c r="AD24" s="70" t="s">
        <v>383</v>
      </c>
      <c r="AE24" s="157" t="s">
        <v>383</v>
      </c>
    </row>
    <row r="25" spans="1:31" ht="15" customHeight="1" x14ac:dyDescent="0.25">
      <c r="A25" s="156">
        <v>24</v>
      </c>
      <c r="B25" s="17" t="s">
        <v>34</v>
      </c>
      <c r="C25" s="70">
        <v>48</v>
      </c>
      <c r="D25" s="70">
        <v>43</v>
      </c>
      <c r="E25" s="70">
        <v>47</v>
      </c>
      <c r="F25" s="70">
        <v>60</v>
      </c>
      <c r="G25" s="70">
        <v>58</v>
      </c>
      <c r="H25" s="70">
        <v>61</v>
      </c>
      <c r="I25" s="70">
        <v>49</v>
      </c>
      <c r="J25" s="70">
        <v>45</v>
      </c>
      <c r="K25" s="70">
        <v>42</v>
      </c>
      <c r="L25" s="70">
        <v>44</v>
      </c>
      <c r="M25" s="70">
        <v>51</v>
      </c>
      <c r="N25" s="70">
        <v>53</v>
      </c>
      <c r="O25" s="70">
        <v>50</v>
      </c>
      <c r="P25" s="70">
        <v>45</v>
      </c>
      <c r="Q25" s="70">
        <v>45</v>
      </c>
      <c r="R25" s="70">
        <v>51</v>
      </c>
      <c r="S25" s="70">
        <v>52</v>
      </c>
      <c r="T25" s="70">
        <v>48</v>
      </c>
      <c r="U25" s="70">
        <v>47</v>
      </c>
      <c r="V25" s="70">
        <v>50</v>
      </c>
      <c r="W25" s="70">
        <v>54</v>
      </c>
      <c r="X25" s="70">
        <v>52</v>
      </c>
      <c r="Y25" s="70">
        <v>53</v>
      </c>
      <c r="Z25" s="70">
        <v>49</v>
      </c>
      <c r="AA25" s="70">
        <v>48</v>
      </c>
      <c r="AB25" s="70">
        <v>46</v>
      </c>
      <c r="AC25" s="70">
        <v>42</v>
      </c>
      <c r="AD25" s="70">
        <v>44</v>
      </c>
      <c r="AE25" s="157">
        <v>49</v>
      </c>
    </row>
    <row r="26" spans="1:31" ht="15" customHeight="1" x14ac:dyDescent="0.25">
      <c r="A26" s="156">
        <v>25</v>
      </c>
      <c r="B26" s="17" t="s">
        <v>35</v>
      </c>
      <c r="C26" s="70">
        <v>7</v>
      </c>
      <c r="D26" s="70">
        <v>9</v>
      </c>
      <c r="E26" s="70">
        <v>9</v>
      </c>
      <c r="F26" s="70">
        <v>13</v>
      </c>
      <c r="G26" s="70">
        <v>13</v>
      </c>
      <c r="H26" s="70">
        <v>12</v>
      </c>
      <c r="I26" s="70">
        <v>9</v>
      </c>
      <c r="J26" s="70">
        <v>10</v>
      </c>
      <c r="K26" s="70">
        <v>10</v>
      </c>
      <c r="L26" s="70">
        <v>10</v>
      </c>
      <c r="M26" s="70">
        <v>10</v>
      </c>
      <c r="N26" s="70">
        <v>9</v>
      </c>
      <c r="O26" s="70">
        <v>11</v>
      </c>
      <c r="P26" s="70">
        <v>11</v>
      </c>
      <c r="Q26" s="70">
        <v>13</v>
      </c>
      <c r="R26" s="70">
        <v>11</v>
      </c>
      <c r="S26" s="70">
        <v>11</v>
      </c>
      <c r="T26" s="70">
        <v>11</v>
      </c>
      <c r="U26" s="70">
        <v>11</v>
      </c>
      <c r="V26" s="70">
        <v>11</v>
      </c>
      <c r="W26" s="70">
        <v>12</v>
      </c>
      <c r="X26" s="70">
        <v>13</v>
      </c>
      <c r="Y26" s="70">
        <v>12</v>
      </c>
      <c r="Z26" s="70">
        <v>15</v>
      </c>
      <c r="AA26" s="70">
        <v>15</v>
      </c>
      <c r="AB26" s="70">
        <v>16</v>
      </c>
      <c r="AC26" s="70">
        <v>18</v>
      </c>
      <c r="AD26" s="70">
        <v>16</v>
      </c>
      <c r="AE26" s="157">
        <v>12</v>
      </c>
    </row>
    <row r="27" spans="1:31" ht="15" customHeight="1" x14ac:dyDescent="0.25">
      <c r="A27" s="156">
        <v>26</v>
      </c>
      <c r="B27" s="17" t="s">
        <v>36</v>
      </c>
      <c r="C27" s="70">
        <v>21</v>
      </c>
      <c r="D27" s="70">
        <v>21</v>
      </c>
      <c r="E27" s="70">
        <v>18</v>
      </c>
      <c r="F27" s="70">
        <v>22</v>
      </c>
      <c r="G27" s="70">
        <v>23</v>
      </c>
      <c r="H27" s="70">
        <v>17</v>
      </c>
      <c r="I27" s="70">
        <v>17</v>
      </c>
      <c r="J27" s="70">
        <v>17</v>
      </c>
      <c r="K27" s="70">
        <v>16</v>
      </c>
      <c r="L27" s="70">
        <v>21</v>
      </c>
      <c r="M27" s="70">
        <v>23</v>
      </c>
      <c r="N27" s="70">
        <v>21</v>
      </c>
      <c r="O27" s="70">
        <v>27</v>
      </c>
      <c r="P27" s="70">
        <v>28</v>
      </c>
      <c r="Q27" s="70">
        <v>41</v>
      </c>
      <c r="R27" s="70">
        <v>33</v>
      </c>
      <c r="S27" s="70">
        <v>32</v>
      </c>
      <c r="T27" s="70">
        <v>27</v>
      </c>
      <c r="U27" s="70">
        <v>30</v>
      </c>
      <c r="V27" s="70">
        <v>29</v>
      </c>
      <c r="W27" s="70">
        <v>31</v>
      </c>
      <c r="X27" s="70">
        <v>29</v>
      </c>
      <c r="Y27" s="70">
        <v>29</v>
      </c>
      <c r="Z27" s="70">
        <v>27</v>
      </c>
      <c r="AA27" s="70">
        <v>23</v>
      </c>
      <c r="AB27" s="70">
        <v>26</v>
      </c>
      <c r="AC27" s="70">
        <v>28</v>
      </c>
      <c r="AD27" s="70">
        <v>26</v>
      </c>
      <c r="AE27" s="157">
        <v>31</v>
      </c>
    </row>
    <row r="28" spans="1:31" ht="15" customHeight="1" x14ac:dyDescent="0.25">
      <c r="A28" s="156">
        <v>27</v>
      </c>
      <c r="B28" s="17" t="s">
        <v>37</v>
      </c>
      <c r="C28" s="70">
        <v>4</v>
      </c>
      <c r="D28" s="70" t="s">
        <v>383</v>
      </c>
      <c r="E28" s="70">
        <v>4</v>
      </c>
      <c r="F28" s="70">
        <v>6</v>
      </c>
      <c r="G28" s="70">
        <v>5</v>
      </c>
      <c r="H28" s="70">
        <v>5</v>
      </c>
      <c r="I28" s="70">
        <v>5</v>
      </c>
      <c r="J28" s="70">
        <v>7</v>
      </c>
      <c r="K28" s="70">
        <v>7</v>
      </c>
      <c r="L28" s="70">
        <v>8</v>
      </c>
      <c r="M28" s="70">
        <v>8</v>
      </c>
      <c r="N28" s="70">
        <v>8</v>
      </c>
      <c r="O28" s="70">
        <v>8</v>
      </c>
      <c r="P28" s="70">
        <v>10</v>
      </c>
      <c r="Q28" s="70">
        <v>9</v>
      </c>
      <c r="R28" s="70">
        <v>8</v>
      </c>
      <c r="S28" s="70">
        <v>8</v>
      </c>
      <c r="T28" s="70">
        <v>9</v>
      </c>
      <c r="U28" s="70">
        <v>8</v>
      </c>
      <c r="V28" s="70">
        <v>9</v>
      </c>
      <c r="W28" s="70">
        <v>10</v>
      </c>
      <c r="X28" s="70">
        <v>10</v>
      </c>
      <c r="Y28" s="70">
        <v>9</v>
      </c>
      <c r="Z28" s="70">
        <v>8</v>
      </c>
      <c r="AA28" s="70">
        <v>7</v>
      </c>
      <c r="AB28" s="70">
        <v>7</v>
      </c>
      <c r="AC28" s="70">
        <v>8</v>
      </c>
      <c r="AD28" s="70">
        <v>7</v>
      </c>
      <c r="AE28" s="157">
        <v>6</v>
      </c>
    </row>
    <row r="29" spans="1:31" ht="15" customHeight="1" x14ac:dyDescent="0.25">
      <c r="A29" s="156">
        <v>28</v>
      </c>
      <c r="B29" s="17" t="s">
        <v>38</v>
      </c>
      <c r="C29" s="70">
        <v>34</v>
      </c>
      <c r="D29" s="70">
        <v>32</v>
      </c>
      <c r="E29" s="70">
        <v>32</v>
      </c>
      <c r="F29" s="70">
        <v>32</v>
      </c>
      <c r="G29" s="70">
        <v>34</v>
      </c>
      <c r="H29" s="70">
        <v>29</v>
      </c>
      <c r="I29" s="70">
        <v>31</v>
      </c>
      <c r="J29" s="70">
        <v>30</v>
      </c>
      <c r="K29" s="70">
        <v>36</v>
      </c>
      <c r="L29" s="70">
        <v>41</v>
      </c>
      <c r="M29" s="70">
        <v>44</v>
      </c>
      <c r="N29" s="70">
        <v>55</v>
      </c>
      <c r="O29" s="70">
        <v>54</v>
      </c>
      <c r="P29" s="70">
        <v>50</v>
      </c>
      <c r="Q29" s="70">
        <v>52</v>
      </c>
      <c r="R29" s="70">
        <v>58</v>
      </c>
      <c r="S29" s="70">
        <v>55</v>
      </c>
      <c r="T29" s="70">
        <v>59</v>
      </c>
      <c r="U29" s="70">
        <v>53</v>
      </c>
      <c r="V29" s="70">
        <v>52</v>
      </c>
      <c r="W29" s="70">
        <v>54</v>
      </c>
      <c r="X29" s="70">
        <v>54</v>
      </c>
      <c r="Y29" s="70">
        <v>51</v>
      </c>
      <c r="Z29" s="70">
        <v>46</v>
      </c>
      <c r="AA29" s="70">
        <v>42</v>
      </c>
      <c r="AB29" s="70">
        <v>43</v>
      </c>
      <c r="AC29" s="70">
        <v>57</v>
      </c>
      <c r="AD29" s="70">
        <v>58</v>
      </c>
      <c r="AE29" s="157">
        <v>60</v>
      </c>
    </row>
    <row r="30" spans="1:31" ht="15" customHeight="1" x14ac:dyDescent="0.25">
      <c r="A30" s="156">
        <v>29</v>
      </c>
      <c r="B30" s="17" t="s">
        <v>39</v>
      </c>
      <c r="C30" s="70">
        <v>14</v>
      </c>
      <c r="D30" s="70">
        <v>12</v>
      </c>
      <c r="E30" s="70">
        <v>16</v>
      </c>
      <c r="F30" s="70">
        <v>14</v>
      </c>
      <c r="G30" s="70">
        <v>12</v>
      </c>
      <c r="H30" s="70">
        <v>11</v>
      </c>
      <c r="I30" s="70">
        <v>10</v>
      </c>
      <c r="J30" s="70">
        <v>9</v>
      </c>
      <c r="K30" s="70">
        <v>11</v>
      </c>
      <c r="L30" s="70">
        <v>11</v>
      </c>
      <c r="M30" s="70">
        <v>12</v>
      </c>
      <c r="N30" s="70">
        <v>12</v>
      </c>
      <c r="O30" s="70">
        <v>14</v>
      </c>
      <c r="P30" s="70">
        <v>14</v>
      </c>
      <c r="Q30" s="70">
        <v>15</v>
      </c>
      <c r="R30" s="70">
        <v>19</v>
      </c>
      <c r="S30" s="70">
        <v>17</v>
      </c>
      <c r="T30" s="70">
        <v>19</v>
      </c>
      <c r="U30" s="70">
        <v>21</v>
      </c>
      <c r="V30" s="70">
        <v>20</v>
      </c>
      <c r="W30" s="70">
        <v>19</v>
      </c>
      <c r="X30" s="70">
        <v>20</v>
      </c>
      <c r="Y30" s="70">
        <v>20</v>
      </c>
      <c r="Z30" s="70">
        <v>19</v>
      </c>
      <c r="AA30" s="70">
        <v>16</v>
      </c>
      <c r="AB30" s="70">
        <v>17</v>
      </c>
      <c r="AC30" s="70">
        <v>16</v>
      </c>
      <c r="AD30" s="70">
        <v>16</v>
      </c>
      <c r="AE30" s="157">
        <v>19</v>
      </c>
    </row>
    <row r="31" spans="1:31" ht="15" customHeight="1" x14ac:dyDescent="0.25">
      <c r="A31" s="156">
        <v>30</v>
      </c>
      <c r="B31" s="17" t="s">
        <v>40</v>
      </c>
      <c r="C31" s="70">
        <v>0</v>
      </c>
      <c r="D31" s="70">
        <v>0</v>
      </c>
      <c r="E31" s="70">
        <v>0</v>
      </c>
      <c r="F31" s="70">
        <v>0</v>
      </c>
      <c r="G31" s="70">
        <v>0</v>
      </c>
      <c r="H31" s="70">
        <v>0</v>
      </c>
      <c r="I31" s="70">
        <v>0</v>
      </c>
      <c r="J31" s="70">
        <v>0</v>
      </c>
      <c r="K31" s="70">
        <v>0</v>
      </c>
      <c r="L31" s="70">
        <v>0</v>
      </c>
      <c r="M31" s="70">
        <v>0</v>
      </c>
      <c r="N31" s="70">
        <v>0</v>
      </c>
      <c r="O31" s="70">
        <v>0</v>
      </c>
      <c r="P31" s="70">
        <v>0</v>
      </c>
      <c r="Q31" s="70">
        <v>0</v>
      </c>
      <c r="R31" s="70">
        <v>0</v>
      </c>
      <c r="S31" s="70">
        <v>0</v>
      </c>
      <c r="T31" s="70">
        <v>0</v>
      </c>
      <c r="U31" s="70">
        <v>0</v>
      </c>
      <c r="V31" s="70">
        <v>0</v>
      </c>
      <c r="W31" s="70">
        <v>0</v>
      </c>
      <c r="X31" s="70">
        <v>0</v>
      </c>
      <c r="Y31" s="70">
        <v>0</v>
      </c>
      <c r="Z31" s="70">
        <v>0</v>
      </c>
      <c r="AA31" s="70">
        <v>0</v>
      </c>
      <c r="AB31" s="70">
        <v>0</v>
      </c>
      <c r="AC31" s="70">
        <v>0</v>
      </c>
      <c r="AD31" s="70">
        <v>0</v>
      </c>
      <c r="AE31" s="157">
        <v>0</v>
      </c>
    </row>
    <row r="32" spans="1:31" ht="15" customHeight="1" x14ac:dyDescent="0.25">
      <c r="A32" s="156">
        <v>31</v>
      </c>
      <c r="B32" s="17" t="s">
        <v>41</v>
      </c>
      <c r="C32" s="70" t="s">
        <v>383</v>
      </c>
      <c r="D32" s="70" t="s">
        <v>383</v>
      </c>
      <c r="E32" s="70" t="s">
        <v>383</v>
      </c>
      <c r="F32" s="70" t="s">
        <v>383</v>
      </c>
      <c r="G32" s="70" t="s">
        <v>383</v>
      </c>
      <c r="H32" s="70" t="s">
        <v>383</v>
      </c>
      <c r="I32" s="70" t="s">
        <v>383</v>
      </c>
      <c r="J32" s="70" t="s">
        <v>383</v>
      </c>
      <c r="K32" s="70" t="s">
        <v>383</v>
      </c>
      <c r="L32" s="70" t="s">
        <v>383</v>
      </c>
      <c r="M32" s="70" t="s">
        <v>383</v>
      </c>
      <c r="N32" s="70" t="s">
        <v>383</v>
      </c>
      <c r="O32" s="70" t="s">
        <v>383</v>
      </c>
      <c r="P32" s="70">
        <v>4</v>
      </c>
      <c r="Q32" s="70">
        <v>4</v>
      </c>
      <c r="R32" s="70">
        <v>4</v>
      </c>
      <c r="S32" s="70">
        <v>4</v>
      </c>
      <c r="T32" s="70">
        <v>4</v>
      </c>
      <c r="U32" s="70">
        <v>4</v>
      </c>
      <c r="V32" s="70">
        <v>4</v>
      </c>
      <c r="W32" s="70">
        <v>5</v>
      </c>
      <c r="X32" s="70">
        <v>4</v>
      </c>
      <c r="Y32" s="70">
        <v>4</v>
      </c>
      <c r="Z32" s="70">
        <v>4</v>
      </c>
      <c r="AA32" s="70">
        <v>4</v>
      </c>
      <c r="AB32" s="70" t="s">
        <v>383</v>
      </c>
      <c r="AC32" s="70">
        <v>4</v>
      </c>
      <c r="AD32" s="70">
        <v>5</v>
      </c>
      <c r="AE32" s="157">
        <v>7</v>
      </c>
    </row>
    <row r="33" spans="1:32" ht="15" customHeight="1" x14ac:dyDescent="0.25">
      <c r="A33" s="156">
        <v>32</v>
      </c>
      <c r="B33" s="17" t="s">
        <v>42</v>
      </c>
      <c r="C33" s="70" t="s">
        <v>383</v>
      </c>
      <c r="D33" s="70" t="s">
        <v>383</v>
      </c>
      <c r="E33" s="70" t="s">
        <v>383</v>
      </c>
      <c r="F33" s="70" t="s">
        <v>383</v>
      </c>
      <c r="G33" s="70" t="s">
        <v>383</v>
      </c>
      <c r="H33" s="70" t="s">
        <v>383</v>
      </c>
      <c r="I33" s="70" t="s">
        <v>383</v>
      </c>
      <c r="J33" s="70" t="s">
        <v>383</v>
      </c>
      <c r="K33" s="70" t="s">
        <v>383</v>
      </c>
      <c r="L33" s="70" t="s">
        <v>383</v>
      </c>
      <c r="M33" s="70" t="s">
        <v>383</v>
      </c>
      <c r="N33" s="70" t="s">
        <v>383</v>
      </c>
      <c r="O33" s="70" t="s">
        <v>383</v>
      </c>
      <c r="P33" s="70" t="s">
        <v>383</v>
      </c>
      <c r="Q33" s="70" t="s">
        <v>383</v>
      </c>
      <c r="R33" s="70" t="s">
        <v>383</v>
      </c>
      <c r="S33" s="70" t="s">
        <v>383</v>
      </c>
      <c r="T33" s="70" t="s">
        <v>383</v>
      </c>
      <c r="U33" s="70" t="s">
        <v>383</v>
      </c>
      <c r="V33" s="70" t="s">
        <v>383</v>
      </c>
      <c r="W33" s="70" t="s">
        <v>383</v>
      </c>
      <c r="X33" s="70" t="s">
        <v>383</v>
      </c>
      <c r="Y33" s="70" t="s">
        <v>383</v>
      </c>
      <c r="Z33" s="70" t="s">
        <v>383</v>
      </c>
      <c r="AA33" s="70" t="s">
        <v>383</v>
      </c>
      <c r="AB33" s="70" t="s">
        <v>383</v>
      </c>
      <c r="AC33" s="70" t="s">
        <v>383</v>
      </c>
      <c r="AD33" s="70" t="s">
        <v>383</v>
      </c>
      <c r="AE33" s="157" t="s">
        <v>383</v>
      </c>
    </row>
    <row r="34" spans="1:32" ht="15" customHeight="1" x14ac:dyDescent="0.25">
      <c r="A34" s="156">
        <v>33</v>
      </c>
      <c r="B34" s="17" t="s">
        <v>43</v>
      </c>
      <c r="C34" s="70" t="s">
        <v>383</v>
      </c>
      <c r="D34" s="70" t="s">
        <v>383</v>
      </c>
      <c r="E34" s="70" t="s">
        <v>383</v>
      </c>
      <c r="F34" s="70" t="s">
        <v>383</v>
      </c>
      <c r="G34" s="70" t="s">
        <v>383</v>
      </c>
      <c r="H34" s="70" t="s">
        <v>383</v>
      </c>
      <c r="I34" s="70" t="s">
        <v>383</v>
      </c>
      <c r="J34" s="70" t="s">
        <v>383</v>
      </c>
      <c r="K34" s="70" t="s">
        <v>383</v>
      </c>
      <c r="L34" s="70" t="s">
        <v>383</v>
      </c>
      <c r="M34" s="70" t="s">
        <v>383</v>
      </c>
      <c r="N34" s="70" t="s">
        <v>383</v>
      </c>
      <c r="O34" s="70" t="s">
        <v>383</v>
      </c>
      <c r="P34" s="70" t="s">
        <v>383</v>
      </c>
      <c r="Q34" s="70" t="s">
        <v>383</v>
      </c>
      <c r="R34" s="70" t="s">
        <v>383</v>
      </c>
      <c r="S34" s="70">
        <v>4</v>
      </c>
      <c r="T34" s="70" t="s">
        <v>383</v>
      </c>
      <c r="U34" s="70" t="s">
        <v>383</v>
      </c>
      <c r="V34" s="70" t="s">
        <v>383</v>
      </c>
      <c r="W34" s="70" t="s">
        <v>383</v>
      </c>
      <c r="X34" s="70" t="s">
        <v>383</v>
      </c>
      <c r="Y34" s="70" t="s">
        <v>383</v>
      </c>
      <c r="Z34" s="70" t="s">
        <v>383</v>
      </c>
      <c r="AA34" s="70" t="s">
        <v>383</v>
      </c>
      <c r="AB34" s="70" t="s">
        <v>383</v>
      </c>
      <c r="AC34" s="70" t="s">
        <v>383</v>
      </c>
      <c r="AD34" s="70" t="s">
        <v>383</v>
      </c>
      <c r="AE34" s="157" t="s">
        <v>383</v>
      </c>
    </row>
    <row r="35" spans="1:32" ht="15" customHeight="1" x14ac:dyDescent="0.25">
      <c r="A35" s="156">
        <v>34</v>
      </c>
      <c r="B35" s="17" t="s">
        <v>44</v>
      </c>
      <c r="C35" s="70">
        <v>5</v>
      </c>
      <c r="D35" s="70">
        <v>4</v>
      </c>
      <c r="E35" s="70" t="s">
        <v>383</v>
      </c>
      <c r="F35" s="70">
        <v>4</v>
      </c>
      <c r="G35" s="70">
        <v>4</v>
      </c>
      <c r="H35" s="70" t="s">
        <v>383</v>
      </c>
      <c r="I35" s="70" t="s">
        <v>383</v>
      </c>
      <c r="J35" s="70">
        <v>4</v>
      </c>
      <c r="K35" s="70">
        <v>5</v>
      </c>
      <c r="L35" s="70">
        <v>6</v>
      </c>
      <c r="M35" s="70">
        <v>7</v>
      </c>
      <c r="N35" s="70">
        <v>6</v>
      </c>
      <c r="O35" s="70">
        <v>6</v>
      </c>
      <c r="P35" s="70">
        <v>7</v>
      </c>
      <c r="Q35" s="70">
        <v>7</v>
      </c>
      <c r="R35" s="70">
        <v>5</v>
      </c>
      <c r="S35" s="70">
        <v>4</v>
      </c>
      <c r="T35" s="70">
        <v>7</v>
      </c>
      <c r="U35" s="70">
        <v>5</v>
      </c>
      <c r="V35" s="70">
        <v>4</v>
      </c>
      <c r="W35" s="70" t="s">
        <v>383</v>
      </c>
      <c r="X35" s="70">
        <v>4</v>
      </c>
      <c r="Y35" s="70">
        <v>4</v>
      </c>
      <c r="Z35" s="70">
        <v>6</v>
      </c>
      <c r="AA35" s="70">
        <v>6</v>
      </c>
      <c r="AB35" s="70">
        <v>6</v>
      </c>
      <c r="AC35" s="70">
        <v>7</v>
      </c>
      <c r="AD35" s="70">
        <v>8</v>
      </c>
      <c r="AE35" s="157">
        <v>7</v>
      </c>
    </row>
    <row r="36" spans="1:32" ht="15" customHeight="1" x14ac:dyDescent="0.25">
      <c r="A36" s="156">
        <v>35</v>
      </c>
      <c r="B36" s="17" t="s">
        <v>45</v>
      </c>
      <c r="C36" s="70" t="s">
        <v>383</v>
      </c>
      <c r="D36" s="70" t="s">
        <v>383</v>
      </c>
      <c r="E36" s="70" t="s">
        <v>383</v>
      </c>
      <c r="F36" s="70" t="s">
        <v>383</v>
      </c>
      <c r="G36" s="70" t="s">
        <v>383</v>
      </c>
      <c r="H36" s="70" t="s">
        <v>383</v>
      </c>
      <c r="I36" s="70" t="s">
        <v>383</v>
      </c>
      <c r="J36" s="70" t="s">
        <v>383</v>
      </c>
      <c r="K36" s="70" t="s">
        <v>383</v>
      </c>
      <c r="L36" s="70" t="s">
        <v>383</v>
      </c>
      <c r="M36" s="70" t="s">
        <v>383</v>
      </c>
      <c r="N36" s="70" t="s">
        <v>383</v>
      </c>
      <c r="O36" s="70" t="s">
        <v>383</v>
      </c>
      <c r="P36" s="70" t="s">
        <v>383</v>
      </c>
      <c r="Q36" s="70" t="s">
        <v>383</v>
      </c>
      <c r="R36" s="70" t="s">
        <v>383</v>
      </c>
      <c r="S36" s="70" t="s">
        <v>383</v>
      </c>
      <c r="T36" s="70" t="s">
        <v>383</v>
      </c>
      <c r="U36" s="70" t="s">
        <v>383</v>
      </c>
      <c r="V36" s="70" t="s">
        <v>383</v>
      </c>
      <c r="W36" s="70" t="s">
        <v>383</v>
      </c>
      <c r="X36" s="70" t="s">
        <v>383</v>
      </c>
      <c r="Y36" s="70" t="s">
        <v>383</v>
      </c>
      <c r="Z36" s="70" t="s">
        <v>383</v>
      </c>
      <c r="AA36" s="70" t="s">
        <v>383</v>
      </c>
      <c r="AB36" s="70" t="s">
        <v>383</v>
      </c>
      <c r="AC36" s="70" t="s">
        <v>383</v>
      </c>
      <c r="AD36" s="70" t="s">
        <v>383</v>
      </c>
      <c r="AE36" s="157" t="s">
        <v>383</v>
      </c>
    </row>
    <row r="37" spans="1:32" ht="15" customHeight="1" x14ac:dyDescent="0.25">
      <c r="A37" s="156">
        <v>36</v>
      </c>
      <c r="B37" s="17" t="s">
        <v>46</v>
      </c>
      <c r="C37" s="70">
        <v>23</v>
      </c>
      <c r="D37" s="70">
        <v>27</v>
      </c>
      <c r="E37" s="70">
        <v>33</v>
      </c>
      <c r="F37" s="70">
        <v>31</v>
      </c>
      <c r="G37" s="70">
        <v>28</v>
      </c>
      <c r="H37" s="70">
        <v>29</v>
      </c>
      <c r="I37" s="70">
        <v>24</v>
      </c>
      <c r="J37" s="70">
        <v>22</v>
      </c>
      <c r="K37" s="70">
        <v>23</v>
      </c>
      <c r="L37" s="70">
        <v>28</v>
      </c>
      <c r="M37" s="70">
        <v>29</v>
      </c>
      <c r="N37" s="70">
        <v>32</v>
      </c>
      <c r="O37" s="70">
        <v>32</v>
      </c>
      <c r="P37" s="70">
        <v>31</v>
      </c>
      <c r="Q37" s="70">
        <v>34</v>
      </c>
      <c r="R37" s="70">
        <v>39</v>
      </c>
      <c r="S37" s="70">
        <v>43</v>
      </c>
      <c r="T37" s="70">
        <v>43</v>
      </c>
      <c r="U37" s="70">
        <v>35</v>
      </c>
      <c r="V37" s="70">
        <v>41</v>
      </c>
      <c r="W37" s="70">
        <v>40</v>
      </c>
      <c r="X37" s="70">
        <v>42</v>
      </c>
      <c r="Y37" s="70">
        <v>41</v>
      </c>
      <c r="Z37" s="70">
        <v>41</v>
      </c>
      <c r="AA37" s="70">
        <v>38</v>
      </c>
      <c r="AB37" s="70">
        <v>40</v>
      </c>
      <c r="AC37" s="70">
        <v>41</v>
      </c>
      <c r="AD37" s="70">
        <v>39</v>
      </c>
      <c r="AE37" s="157">
        <v>38</v>
      </c>
    </row>
    <row r="38" spans="1:32" ht="15" customHeight="1" thickBot="1" x14ac:dyDescent="0.3">
      <c r="A38" s="152">
        <v>37</v>
      </c>
      <c r="B38" s="15" t="s">
        <v>47</v>
      </c>
      <c r="C38" s="68" t="s">
        <v>383</v>
      </c>
      <c r="D38" s="68" t="s">
        <v>383</v>
      </c>
      <c r="E38" s="68" t="s">
        <v>383</v>
      </c>
      <c r="F38" s="68" t="s">
        <v>383</v>
      </c>
      <c r="G38" s="68" t="s">
        <v>383</v>
      </c>
      <c r="H38" s="68" t="s">
        <v>383</v>
      </c>
      <c r="I38" s="68" t="s">
        <v>383</v>
      </c>
      <c r="J38" s="68" t="s">
        <v>383</v>
      </c>
      <c r="K38" s="68" t="s">
        <v>383</v>
      </c>
      <c r="L38" s="68" t="s">
        <v>383</v>
      </c>
      <c r="M38" s="68" t="s">
        <v>383</v>
      </c>
      <c r="N38" s="68" t="s">
        <v>383</v>
      </c>
      <c r="O38" s="68" t="s">
        <v>383</v>
      </c>
      <c r="P38" s="68" t="s">
        <v>383</v>
      </c>
      <c r="Q38" s="68" t="s">
        <v>383</v>
      </c>
      <c r="R38" s="68" t="s">
        <v>383</v>
      </c>
      <c r="S38" s="68">
        <v>4</v>
      </c>
      <c r="T38" s="68">
        <v>5</v>
      </c>
      <c r="U38" s="68">
        <v>5</v>
      </c>
      <c r="V38" s="68">
        <v>5</v>
      </c>
      <c r="W38" s="68">
        <v>5</v>
      </c>
      <c r="X38" s="68">
        <v>5</v>
      </c>
      <c r="Y38" s="68">
        <v>6</v>
      </c>
      <c r="Z38" s="68">
        <v>6</v>
      </c>
      <c r="AA38" s="68">
        <v>6</v>
      </c>
      <c r="AB38" s="68">
        <v>6</v>
      </c>
      <c r="AC38" s="68">
        <v>6</v>
      </c>
      <c r="AD38" s="68">
        <v>5</v>
      </c>
      <c r="AE38" s="153">
        <v>6</v>
      </c>
    </row>
    <row r="39" spans="1:32" s="11" customFormat="1" ht="15" customHeight="1" thickBot="1" x14ac:dyDescent="0.3">
      <c r="A39" s="144" t="s">
        <v>48</v>
      </c>
      <c r="B39" s="9" t="s">
        <v>49</v>
      </c>
      <c r="C39" s="64">
        <v>7</v>
      </c>
      <c r="D39" s="64">
        <v>10</v>
      </c>
      <c r="E39" s="64">
        <v>8</v>
      </c>
      <c r="F39" s="64">
        <v>9</v>
      </c>
      <c r="G39" s="64">
        <v>10</v>
      </c>
      <c r="H39" s="64">
        <v>11</v>
      </c>
      <c r="I39" s="64">
        <v>11</v>
      </c>
      <c r="J39" s="64">
        <v>9</v>
      </c>
      <c r="K39" s="64">
        <v>11</v>
      </c>
      <c r="L39" s="64">
        <v>11</v>
      </c>
      <c r="M39" s="64">
        <v>11</v>
      </c>
      <c r="N39" s="64">
        <v>11</v>
      </c>
      <c r="O39" s="64">
        <v>11</v>
      </c>
      <c r="P39" s="64">
        <v>12</v>
      </c>
      <c r="Q39" s="64">
        <v>13</v>
      </c>
      <c r="R39" s="64">
        <v>12</v>
      </c>
      <c r="S39" s="64">
        <v>14</v>
      </c>
      <c r="T39" s="64">
        <v>15</v>
      </c>
      <c r="U39" s="64">
        <v>14</v>
      </c>
      <c r="V39" s="64">
        <v>13</v>
      </c>
      <c r="W39" s="64">
        <v>13</v>
      </c>
      <c r="X39" s="64">
        <v>12</v>
      </c>
      <c r="Y39" s="64">
        <v>13</v>
      </c>
      <c r="Z39" s="64">
        <v>14</v>
      </c>
      <c r="AA39" s="64">
        <v>14</v>
      </c>
      <c r="AB39" s="64">
        <v>16</v>
      </c>
      <c r="AC39" s="64">
        <v>15</v>
      </c>
      <c r="AD39" s="64">
        <v>18</v>
      </c>
      <c r="AE39" s="145">
        <v>15</v>
      </c>
      <c r="AF39" s="10"/>
    </row>
    <row r="40" spans="1:32" ht="15" customHeight="1" x14ac:dyDescent="0.25">
      <c r="A40" s="146">
        <v>40</v>
      </c>
      <c r="B40" s="12" t="s">
        <v>50</v>
      </c>
      <c r="C40" s="65" t="s">
        <v>383</v>
      </c>
      <c r="D40" s="65" t="s">
        <v>383</v>
      </c>
      <c r="E40" s="65" t="s">
        <v>383</v>
      </c>
      <c r="F40" s="65" t="s">
        <v>383</v>
      </c>
      <c r="G40" s="65" t="s">
        <v>383</v>
      </c>
      <c r="H40" s="65" t="s">
        <v>383</v>
      </c>
      <c r="I40" s="65" t="s">
        <v>383</v>
      </c>
      <c r="J40" s="65" t="s">
        <v>383</v>
      </c>
      <c r="K40" s="65" t="s">
        <v>383</v>
      </c>
      <c r="L40" s="65" t="s">
        <v>383</v>
      </c>
      <c r="M40" s="65" t="s">
        <v>383</v>
      </c>
      <c r="N40" s="65" t="s">
        <v>383</v>
      </c>
      <c r="O40" s="65" t="s">
        <v>383</v>
      </c>
      <c r="P40" s="65" t="s">
        <v>383</v>
      </c>
      <c r="Q40" s="65" t="s">
        <v>383</v>
      </c>
      <c r="R40" s="65" t="s">
        <v>383</v>
      </c>
      <c r="S40" s="65" t="s">
        <v>383</v>
      </c>
      <c r="T40" s="65" t="s">
        <v>383</v>
      </c>
      <c r="U40" s="65" t="s">
        <v>383</v>
      </c>
      <c r="V40" s="65" t="s">
        <v>383</v>
      </c>
      <c r="W40" s="65" t="s">
        <v>383</v>
      </c>
      <c r="X40" s="65" t="s">
        <v>383</v>
      </c>
      <c r="Y40" s="65" t="s">
        <v>383</v>
      </c>
      <c r="Z40" s="65" t="s">
        <v>383</v>
      </c>
      <c r="AA40" s="65" t="s">
        <v>383</v>
      </c>
      <c r="AB40" s="65" t="s">
        <v>383</v>
      </c>
      <c r="AC40" s="65" t="s">
        <v>383</v>
      </c>
      <c r="AD40" s="65" t="s">
        <v>383</v>
      </c>
      <c r="AE40" s="147" t="s">
        <v>383</v>
      </c>
    </row>
    <row r="41" spans="1:32" ht="15" customHeight="1" thickBot="1" x14ac:dyDescent="0.3">
      <c r="A41" s="158">
        <v>41</v>
      </c>
      <c r="B41" s="18" t="s">
        <v>51</v>
      </c>
      <c r="C41" s="71" t="s">
        <v>383</v>
      </c>
      <c r="D41" s="71" t="s">
        <v>383</v>
      </c>
      <c r="E41" s="71" t="s">
        <v>383</v>
      </c>
      <c r="F41" s="71" t="s">
        <v>383</v>
      </c>
      <c r="G41" s="71" t="s">
        <v>383</v>
      </c>
      <c r="H41" s="71" t="s">
        <v>383</v>
      </c>
      <c r="I41" s="71" t="s">
        <v>383</v>
      </c>
      <c r="J41" s="71" t="s">
        <v>383</v>
      </c>
      <c r="K41" s="71" t="s">
        <v>383</v>
      </c>
      <c r="L41" s="71" t="s">
        <v>383</v>
      </c>
      <c r="M41" s="71" t="s">
        <v>383</v>
      </c>
      <c r="N41" s="71" t="s">
        <v>383</v>
      </c>
      <c r="O41" s="71" t="s">
        <v>383</v>
      </c>
      <c r="P41" s="71" t="s">
        <v>383</v>
      </c>
      <c r="Q41" s="71" t="s">
        <v>383</v>
      </c>
      <c r="R41" s="71" t="s">
        <v>383</v>
      </c>
      <c r="S41" s="71" t="s">
        <v>383</v>
      </c>
      <c r="T41" s="71" t="s">
        <v>383</v>
      </c>
      <c r="U41" s="71" t="s">
        <v>383</v>
      </c>
      <c r="V41" s="71" t="s">
        <v>383</v>
      </c>
      <c r="W41" s="71" t="s">
        <v>383</v>
      </c>
      <c r="X41" s="71" t="s">
        <v>383</v>
      </c>
      <c r="Y41" s="71" t="s">
        <v>383</v>
      </c>
      <c r="Z41" s="71" t="s">
        <v>383</v>
      </c>
      <c r="AA41" s="71" t="s">
        <v>383</v>
      </c>
      <c r="AB41" s="71" t="s">
        <v>383</v>
      </c>
      <c r="AC41" s="71" t="s">
        <v>383</v>
      </c>
      <c r="AD41" s="71" t="s">
        <v>383</v>
      </c>
      <c r="AE41" s="159" t="s">
        <v>383</v>
      </c>
    </row>
    <row r="42" spans="1:32" s="11" customFormat="1" ht="15" customHeight="1" thickBot="1" x14ac:dyDescent="0.3">
      <c r="A42" s="160" t="s">
        <v>52</v>
      </c>
      <c r="B42" s="19" t="s">
        <v>53</v>
      </c>
      <c r="C42" s="64">
        <v>209</v>
      </c>
      <c r="D42" s="64">
        <v>237</v>
      </c>
      <c r="E42" s="64">
        <v>254</v>
      </c>
      <c r="F42" s="64">
        <v>288</v>
      </c>
      <c r="G42" s="64">
        <v>316</v>
      </c>
      <c r="H42" s="64">
        <v>271</v>
      </c>
      <c r="I42" s="64">
        <v>236</v>
      </c>
      <c r="J42" s="64">
        <v>265</v>
      </c>
      <c r="K42" s="64">
        <v>282</v>
      </c>
      <c r="L42" s="64">
        <v>343</v>
      </c>
      <c r="M42" s="64">
        <v>366</v>
      </c>
      <c r="N42" s="64">
        <v>410</v>
      </c>
      <c r="O42" s="64">
        <v>451</v>
      </c>
      <c r="P42" s="64">
        <v>491</v>
      </c>
      <c r="Q42" s="64">
        <v>518</v>
      </c>
      <c r="R42" s="64">
        <v>572</v>
      </c>
      <c r="S42" s="64">
        <v>553</v>
      </c>
      <c r="T42" s="64">
        <v>545</v>
      </c>
      <c r="U42" s="64">
        <v>548</v>
      </c>
      <c r="V42" s="64">
        <v>535</v>
      </c>
      <c r="W42" s="64">
        <v>512</v>
      </c>
      <c r="X42" s="64">
        <v>550</v>
      </c>
      <c r="Y42" s="64">
        <v>522</v>
      </c>
      <c r="Z42" s="64">
        <v>499</v>
      </c>
      <c r="AA42" s="64">
        <v>461</v>
      </c>
      <c r="AB42" s="64">
        <v>482</v>
      </c>
      <c r="AC42" s="64">
        <v>530</v>
      </c>
      <c r="AD42" s="64">
        <v>543</v>
      </c>
      <c r="AE42" s="145">
        <v>553</v>
      </c>
      <c r="AF42" s="10"/>
    </row>
    <row r="43" spans="1:32" ht="15" customHeight="1" thickBot="1" x14ac:dyDescent="0.3">
      <c r="A43" s="150">
        <v>45</v>
      </c>
      <c r="B43" s="14" t="s">
        <v>54</v>
      </c>
      <c r="C43" s="67">
        <v>209</v>
      </c>
      <c r="D43" s="67">
        <v>237</v>
      </c>
      <c r="E43" s="67">
        <v>254</v>
      </c>
      <c r="F43" s="67">
        <v>288</v>
      </c>
      <c r="G43" s="67">
        <v>316</v>
      </c>
      <c r="H43" s="67">
        <v>271</v>
      </c>
      <c r="I43" s="67">
        <v>236</v>
      </c>
      <c r="J43" s="67">
        <v>265</v>
      </c>
      <c r="K43" s="67">
        <v>282</v>
      </c>
      <c r="L43" s="67">
        <v>343</v>
      </c>
      <c r="M43" s="67">
        <v>366</v>
      </c>
      <c r="N43" s="67">
        <v>410</v>
      </c>
      <c r="O43" s="67">
        <v>451</v>
      </c>
      <c r="P43" s="67">
        <v>491</v>
      </c>
      <c r="Q43" s="67">
        <v>518</v>
      </c>
      <c r="R43" s="67">
        <v>572</v>
      </c>
      <c r="S43" s="67">
        <v>553</v>
      </c>
      <c r="T43" s="67">
        <v>545</v>
      </c>
      <c r="U43" s="67">
        <v>548</v>
      </c>
      <c r="V43" s="67">
        <v>535</v>
      </c>
      <c r="W43" s="67">
        <v>512</v>
      </c>
      <c r="X43" s="67">
        <v>550</v>
      </c>
      <c r="Y43" s="67">
        <v>522</v>
      </c>
      <c r="Z43" s="67">
        <v>499</v>
      </c>
      <c r="AA43" s="67">
        <v>461</v>
      </c>
      <c r="AB43" s="67">
        <v>482</v>
      </c>
      <c r="AC43" s="67">
        <v>530</v>
      </c>
      <c r="AD43" s="67">
        <v>543</v>
      </c>
      <c r="AE43" s="151">
        <v>553</v>
      </c>
    </row>
    <row r="44" spans="1:32" s="11" customFormat="1" ht="15" customHeight="1" thickBot="1" x14ac:dyDescent="0.3">
      <c r="A44" s="144" t="s">
        <v>55</v>
      </c>
      <c r="B44" s="9" t="s">
        <v>56</v>
      </c>
      <c r="C44" s="64">
        <v>1368</v>
      </c>
      <c r="D44" s="64">
        <v>1421</v>
      </c>
      <c r="E44" s="64">
        <v>1349</v>
      </c>
      <c r="F44" s="64">
        <v>1441</v>
      </c>
      <c r="G44" s="64">
        <v>1546</v>
      </c>
      <c r="H44" s="64">
        <v>1487</v>
      </c>
      <c r="I44" s="64">
        <v>1359</v>
      </c>
      <c r="J44" s="64">
        <v>1448</v>
      </c>
      <c r="K44" s="64">
        <v>1628</v>
      </c>
      <c r="L44" s="64">
        <v>1807</v>
      </c>
      <c r="M44" s="64">
        <v>1963</v>
      </c>
      <c r="N44" s="64">
        <v>2195</v>
      </c>
      <c r="O44" s="64">
        <v>2389</v>
      </c>
      <c r="P44" s="64">
        <v>2609</v>
      </c>
      <c r="Q44" s="64">
        <v>2752</v>
      </c>
      <c r="R44" s="64">
        <v>2863</v>
      </c>
      <c r="S44" s="64">
        <v>2889</v>
      </c>
      <c r="T44" s="64">
        <v>3000</v>
      </c>
      <c r="U44" s="64">
        <v>3019</v>
      </c>
      <c r="V44" s="64">
        <v>3185</v>
      </c>
      <c r="W44" s="64">
        <v>3183</v>
      </c>
      <c r="X44" s="64">
        <v>3204</v>
      </c>
      <c r="Y44" s="64">
        <v>3068</v>
      </c>
      <c r="Z44" s="64">
        <v>2884</v>
      </c>
      <c r="AA44" s="64">
        <v>2766</v>
      </c>
      <c r="AB44" s="64">
        <v>2805</v>
      </c>
      <c r="AC44" s="64">
        <v>2977</v>
      </c>
      <c r="AD44" s="64">
        <v>3089</v>
      </c>
      <c r="AE44" s="145">
        <v>3021</v>
      </c>
      <c r="AF44" s="10"/>
    </row>
    <row r="45" spans="1:32" ht="15" customHeight="1" x14ac:dyDescent="0.25">
      <c r="A45" s="146">
        <v>50</v>
      </c>
      <c r="B45" s="12" t="s">
        <v>57</v>
      </c>
      <c r="C45" s="65">
        <v>214</v>
      </c>
      <c r="D45" s="65">
        <v>221</v>
      </c>
      <c r="E45" s="65">
        <v>203</v>
      </c>
      <c r="F45" s="65">
        <v>235</v>
      </c>
      <c r="G45" s="65">
        <v>250</v>
      </c>
      <c r="H45" s="65">
        <v>234</v>
      </c>
      <c r="I45" s="65">
        <v>227</v>
      </c>
      <c r="J45" s="65">
        <v>235</v>
      </c>
      <c r="K45" s="65">
        <v>251</v>
      </c>
      <c r="L45" s="65">
        <v>265</v>
      </c>
      <c r="M45" s="65">
        <v>286</v>
      </c>
      <c r="N45" s="65">
        <v>322</v>
      </c>
      <c r="O45" s="65">
        <v>345</v>
      </c>
      <c r="P45" s="65">
        <v>363</v>
      </c>
      <c r="Q45" s="65">
        <v>378</v>
      </c>
      <c r="R45" s="65">
        <v>386</v>
      </c>
      <c r="S45" s="65">
        <v>390</v>
      </c>
      <c r="T45" s="65">
        <v>393</v>
      </c>
      <c r="U45" s="65">
        <v>394</v>
      </c>
      <c r="V45" s="65">
        <v>404</v>
      </c>
      <c r="W45" s="65">
        <v>400</v>
      </c>
      <c r="X45" s="65">
        <v>415</v>
      </c>
      <c r="Y45" s="65">
        <v>402</v>
      </c>
      <c r="Z45" s="65">
        <v>393</v>
      </c>
      <c r="AA45" s="65">
        <v>383</v>
      </c>
      <c r="AB45" s="65">
        <v>390</v>
      </c>
      <c r="AC45" s="65">
        <v>402</v>
      </c>
      <c r="AD45" s="65">
        <v>416</v>
      </c>
      <c r="AE45" s="147">
        <v>417</v>
      </c>
    </row>
    <row r="46" spans="1:32" ht="15" customHeight="1" x14ac:dyDescent="0.25">
      <c r="A46" s="156">
        <v>51</v>
      </c>
      <c r="B46" s="17" t="s">
        <v>58</v>
      </c>
      <c r="C46" s="70">
        <v>268</v>
      </c>
      <c r="D46" s="70">
        <v>287</v>
      </c>
      <c r="E46" s="70">
        <v>286</v>
      </c>
      <c r="F46" s="70">
        <v>297</v>
      </c>
      <c r="G46" s="70">
        <v>318</v>
      </c>
      <c r="H46" s="70">
        <v>316</v>
      </c>
      <c r="I46" s="70">
        <v>296</v>
      </c>
      <c r="J46" s="70">
        <v>308</v>
      </c>
      <c r="K46" s="70">
        <v>342</v>
      </c>
      <c r="L46" s="70">
        <v>367</v>
      </c>
      <c r="M46" s="70">
        <v>386</v>
      </c>
      <c r="N46" s="70">
        <v>416</v>
      </c>
      <c r="O46" s="70">
        <v>441</v>
      </c>
      <c r="P46" s="70">
        <v>485</v>
      </c>
      <c r="Q46" s="70">
        <v>522</v>
      </c>
      <c r="R46" s="70">
        <v>552</v>
      </c>
      <c r="S46" s="70">
        <v>555</v>
      </c>
      <c r="T46" s="70">
        <v>559</v>
      </c>
      <c r="U46" s="70">
        <v>544</v>
      </c>
      <c r="V46" s="70">
        <v>549</v>
      </c>
      <c r="W46" s="70">
        <v>537</v>
      </c>
      <c r="X46" s="70">
        <v>499</v>
      </c>
      <c r="Y46" s="70">
        <v>474</v>
      </c>
      <c r="Z46" s="70">
        <v>446</v>
      </c>
      <c r="AA46" s="70">
        <v>453</v>
      </c>
      <c r="AB46" s="70">
        <v>491</v>
      </c>
      <c r="AC46" s="70">
        <v>522</v>
      </c>
      <c r="AD46" s="70">
        <v>550</v>
      </c>
      <c r="AE46" s="157">
        <v>552</v>
      </c>
    </row>
    <row r="47" spans="1:32" ht="15" customHeight="1" thickBot="1" x14ac:dyDescent="0.3">
      <c r="A47" s="158">
        <v>52</v>
      </c>
      <c r="B47" s="18" t="s">
        <v>59</v>
      </c>
      <c r="C47" s="71">
        <v>886</v>
      </c>
      <c r="D47" s="71">
        <v>913</v>
      </c>
      <c r="E47" s="71">
        <v>860</v>
      </c>
      <c r="F47" s="71">
        <v>909</v>
      </c>
      <c r="G47" s="71">
        <v>978</v>
      </c>
      <c r="H47" s="71">
        <v>937</v>
      </c>
      <c r="I47" s="71">
        <v>836</v>
      </c>
      <c r="J47" s="71">
        <v>905</v>
      </c>
      <c r="K47" s="71">
        <v>1035</v>
      </c>
      <c r="L47" s="71">
        <v>1175</v>
      </c>
      <c r="M47" s="71">
        <v>1291</v>
      </c>
      <c r="N47" s="71">
        <v>1457</v>
      </c>
      <c r="O47" s="71">
        <v>1603</v>
      </c>
      <c r="P47" s="71">
        <v>1761</v>
      </c>
      <c r="Q47" s="71">
        <v>1852</v>
      </c>
      <c r="R47" s="71">
        <v>1925</v>
      </c>
      <c r="S47" s="71">
        <v>1944</v>
      </c>
      <c r="T47" s="71">
        <v>2048</v>
      </c>
      <c r="U47" s="71">
        <v>2081</v>
      </c>
      <c r="V47" s="71">
        <v>2232</v>
      </c>
      <c r="W47" s="71">
        <v>2246</v>
      </c>
      <c r="X47" s="71">
        <v>2290</v>
      </c>
      <c r="Y47" s="71">
        <v>2192</v>
      </c>
      <c r="Z47" s="71">
        <v>2045</v>
      </c>
      <c r="AA47" s="71">
        <v>1930</v>
      </c>
      <c r="AB47" s="71">
        <v>1924</v>
      </c>
      <c r="AC47" s="71">
        <v>2053</v>
      </c>
      <c r="AD47" s="71">
        <v>2123</v>
      </c>
      <c r="AE47" s="159">
        <v>2052</v>
      </c>
    </row>
    <row r="48" spans="1:32" s="11" customFormat="1" ht="15" customHeight="1" thickBot="1" x14ac:dyDescent="0.3">
      <c r="A48" s="160" t="s">
        <v>60</v>
      </c>
      <c r="B48" s="19" t="s">
        <v>61</v>
      </c>
      <c r="C48" s="64">
        <v>215</v>
      </c>
      <c r="D48" s="64">
        <v>242</v>
      </c>
      <c r="E48" s="64">
        <v>238</v>
      </c>
      <c r="F48" s="64">
        <v>241</v>
      </c>
      <c r="G48" s="64">
        <v>246</v>
      </c>
      <c r="H48" s="64">
        <v>230</v>
      </c>
      <c r="I48" s="64">
        <v>202</v>
      </c>
      <c r="J48" s="64">
        <v>233</v>
      </c>
      <c r="K48" s="64">
        <v>296</v>
      </c>
      <c r="L48" s="64">
        <v>331</v>
      </c>
      <c r="M48" s="64">
        <v>386</v>
      </c>
      <c r="N48" s="64">
        <v>436</v>
      </c>
      <c r="O48" s="64">
        <v>500</v>
      </c>
      <c r="P48" s="64">
        <v>556</v>
      </c>
      <c r="Q48" s="64">
        <v>601</v>
      </c>
      <c r="R48" s="64">
        <v>647</v>
      </c>
      <c r="S48" s="64">
        <v>653</v>
      </c>
      <c r="T48" s="64">
        <v>662</v>
      </c>
      <c r="U48" s="64">
        <v>671</v>
      </c>
      <c r="V48" s="64">
        <v>718</v>
      </c>
      <c r="W48" s="64">
        <v>745</v>
      </c>
      <c r="X48" s="64">
        <v>769</v>
      </c>
      <c r="Y48" s="64">
        <v>774</v>
      </c>
      <c r="Z48" s="64">
        <v>710</v>
      </c>
      <c r="AA48" s="64">
        <v>618</v>
      </c>
      <c r="AB48" s="64">
        <v>595</v>
      </c>
      <c r="AC48" s="64">
        <v>676</v>
      </c>
      <c r="AD48" s="64">
        <v>716</v>
      </c>
      <c r="AE48" s="145">
        <v>711</v>
      </c>
      <c r="AF48" s="10"/>
    </row>
    <row r="49" spans="1:32" ht="15" customHeight="1" thickBot="1" x14ac:dyDescent="0.3">
      <c r="A49" s="150">
        <v>55</v>
      </c>
      <c r="B49" s="14" t="s">
        <v>62</v>
      </c>
      <c r="C49" s="67">
        <v>215</v>
      </c>
      <c r="D49" s="67">
        <v>242</v>
      </c>
      <c r="E49" s="67">
        <v>238</v>
      </c>
      <c r="F49" s="67">
        <v>241</v>
      </c>
      <c r="G49" s="67">
        <v>246</v>
      </c>
      <c r="H49" s="67">
        <v>230</v>
      </c>
      <c r="I49" s="67">
        <v>202</v>
      </c>
      <c r="J49" s="67">
        <v>233</v>
      </c>
      <c r="K49" s="67">
        <v>296</v>
      </c>
      <c r="L49" s="67">
        <v>331</v>
      </c>
      <c r="M49" s="67">
        <v>386</v>
      </c>
      <c r="N49" s="67">
        <v>436</v>
      </c>
      <c r="O49" s="67">
        <v>500</v>
      </c>
      <c r="P49" s="67">
        <v>556</v>
      </c>
      <c r="Q49" s="67">
        <v>601</v>
      </c>
      <c r="R49" s="67">
        <v>647</v>
      </c>
      <c r="S49" s="67">
        <v>653</v>
      </c>
      <c r="T49" s="67">
        <v>662</v>
      </c>
      <c r="U49" s="67">
        <v>671</v>
      </c>
      <c r="V49" s="67">
        <v>718</v>
      </c>
      <c r="W49" s="67">
        <v>745</v>
      </c>
      <c r="X49" s="67">
        <v>769</v>
      </c>
      <c r="Y49" s="67">
        <v>774</v>
      </c>
      <c r="Z49" s="67">
        <v>710</v>
      </c>
      <c r="AA49" s="67">
        <v>618</v>
      </c>
      <c r="AB49" s="67">
        <v>595</v>
      </c>
      <c r="AC49" s="67">
        <v>676</v>
      </c>
      <c r="AD49" s="67">
        <v>716</v>
      </c>
      <c r="AE49" s="151">
        <v>711</v>
      </c>
    </row>
    <row r="50" spans="1:32" s="11" customFormat="1" ht="15" customHeight="1" thickBot="1" x14ac:dyDescent="0.3">
      <c r="A50" s="144" t="s">
        <v>63</v>
      </c>
      <c r="B50" s="9" t="s">
        <v>64</v>
      </c>
      <c r="C50" s="64">
        <v>289</v>
      </c>
      <c r="D50" s="64">
        <v>466</v>
      </c>
      <c r="E50" s="64">
        <v>414</v>
      </c>
      <c r="F50" s="64">
        <v>444</v>
      </c>
      <c r="G50" s="64">
        <v>461</v>
      </c>
      <c r="H50" s="64">
        <v>391</v>
      </c>
      <c r="I50" s="64">
        <v>343</v>
      </c>
      <c r="J50" s="64">
        <v>362</v>
      </c>
      <c r="K50" s="64">
        <v>407</v>
      </c>
      <c r="L50" s="64">
        <v>438</v>
      </c>
      <c r="M50" s="64">
        <v>509</v>
      </c>
      <c r="N50" s="64">
        <v>551</v>
      </c>
      <c r="O50" s="64">
        <v>594</v>
      </c>
      <c r="P50" s="64">
        <v>633</v>
      </c>
      <c r="Q50" s="64">
        <v>645</v>
      </c>
      <c r="R50" s="64">
        <v>700</v>
      </c>
      <c r="S50" s="64">
        <v>719</v>
      </c>
      <c r="T50" s="64">
        <v>748</v>
      </c>
      <c r="U50" s="64">
        <v>745</v>
      </c>
      <c r="V50" s="64">
        <v>768</v>
      </c>
      <c r="W50" s="64">
        <v>774</v>
      </c>
      <c r="X50" s="64">
        <v>784</v>
      </c>
      <c r="Y50" s="64">
        <v>762</v>
      </c>
      <c r="Z50" s="64">
        <v>725</v>
      </c>
      <c r="AA50" s="64">
        <v>681</v>
      </c>
      <c r="AB50" s="64">
        <v>655</v>
      </c>
      <c r="AC50" s="64">
        <v>672</v>
      </c>
      <c r="AD50" s="64">
        <v>689</v>
      </c>
      <c r="AE50" s="145">
        <v>694</v>
      </c>
      <c r="AF50" s="10"/>
    </row>
    <row r="51" spans="1:32" ht="15" customHeight="1" x14ac:dyDescent="0.25">
      <c r="A51" s="152">
        <v>60</v>
      </c>
      <c r="B51" s="15" t="s">
        <v>65</v>
      </c>
      <c r="C51" s="68">
        <v>195</v>
      </c>
      <c r="D51" s="68">
        <v>358</v>
      </c>
      <c r="E51" s="68">
        <v>287</v>
      </c>
      <c r="F51" s="68">
        <v>291</v>
      </c>
      <c r="G51" s="68">
        <v>292</v>
      </c>
      <c r="H51" s="68">
        <v>240</v>
      </c>
      <c r="I51" s="68">
        <v>206</v>
      </c>
      <c r="J51" s="68">
        <v>217</v>
      </c>
      <c r="K51" s="68">
        <v>244</v>
      </c>
      <c r="L51" s="68">
        <v>252</v>
      </c>
      <c r="M51" s="68">
        <v>307</v>
      </c>
      <c r="N51" s="68">
        <v>341</v>
      </c>
      <c r="O51" s="68">
        <v>378</v>
      </c>
      <c r="P51" s="68">
        <v>410</v>
      </c>
      <c r="Q51" s="68">
        <v>422</v>
      </c>
      <c r="R51" s="68">
        <v>464</v>
      </c>
      <c r="S51" s="68">
        <v>482</v>
      </c>
      <c r="T51" s="68">
        <v>517</v>
      </c>
      <c r="U51" s="68">
        <v>522</v>
      </c>
      <c r="V51" s="68">
        <v>542</v>
      </c>
      <c r="W51" s="68">
        <v>538</v>
      </c>
      <c r="X51" s="68">
        <v>545</v>
      </c>
      <c r="Y51" s="68">
        <v>534</v>
      </c>
      <c r="Z51" s="68">
        <v>495</v>
      </c>
      <c r="AA51" s="68">
        <v>464</v>
      </c>
      <c r="AB51" s="68">
        <v>451</v>
      </c>
      <c r="AC51" s="68">
        <v>461</v>
      </c>
      <c r="AD51" s="68">
        <v>459</v>
      </c>
      <c r="AE51" s="153">
        <v>449</v>
      </c>
    </row>
    <row r="52" spans="1:32" ht="15" customHeight="1" x14ac:dyDescent="0.25">
      <c r="A52" s="161">
        <v>61</v>
      </c>
      <c r="B52" s="20" t="s">
        <v>66</v>
      </c>
      <c r="C52" s="73" t="s">
        <v>383</v>
      </c>
      <c r="D52" s="73" t="s">
        <v>383</v>
      </c>
      <c r="E52" s="73" t="s">
        <v>383</v>
      </c>
      <c r="F52" s="73" t="s">
        <v>383</v>
      </c>
      <c r="G52" s="73" t="s">
        <v>383</v>
      </c>
      <c r="H52" s="73" t="s">
        <v>383</v>
      </c>
      <c r="I52" s="73" t="s">
        <v>383</v>
      </c>
      <c r="J52" s="73" t="s">
        <v>383</v>
      </c>
      <c r="K52" s="73" t="s">
        <v>383</v>
      </c>
      <c r="L52" s="73" t="s">
        <v>383</v>
      </c>
      <c r="M52" s="73" t="s">
        <v>383</v>
      </c>
      <c r="N52" s="73" t="s">
        <v>383</v>
      </c>
      <c r="O52" s="73" t="s">
        <v>383</v>
      </c>
      <c r="P52" s="73" t="s">
        <v>383</v>
      </c>
      <c r="Q52" s="73" t="s">
        <v>383</v>
      </c>
      <c r="R52" s="73" t="s">
        <v>383</v>
      </c>
      <c r="S52" s="73" t="s">
        <v>383</v>
      </c>
      <c r="T52" s="73" t="s">
        <v>383</v>
      </c>
      <c r="U52" s="73" t="s">
        <v>383</v>
      </c>
      <c r="V52" s="73" t="s">
        <v>383</v>
      </c>
      <c r="W52" s="73" t="s">
        <v>383</v>
      </c>
      <c r="X52" s="73" t="s">
        <v>383</v>
      </c>
      <c r="Y52" s="73" t="s">
        <v>383</v>
      </c>
      <c r="Z52" s="73" t="s">
        <v>383</v>
      </c>
      <c r="AA52" s="73" t="s">
        <v>383</v>
      </c>
      <c r="AB52" s="73" t="s">
        <v>383</v>
      </c>
      <c r="AC52" s="73" t="s">
        <v>383</v>
      </c>
      <c r="AD52" s="73" t="s">
        <v>383</v>
      </c>
      <c r="AE52" s="162" t="s">
        <v>383</v>
      </c>
    </row>
    <row r="53" spans="1:32" ht="15" customHeight="1" x14ac:dyDescent="0.25">
      <c r="A53" s="152">
        <v>62</v>
      </c>
      <c r="B53" s="15" t="s">
        <v>67</v>
      </c>
      <c r="C53" s="68" t="s">
        <v>383</v>
      </c>
      <c r="D53" s="68" t="s">
        <v>383</v>
      </c>
      <c r="E53" s="68" t="s">
        <v>383</v>
      </c>
      <c r="F53" s="68" t="s">
        <v>383</v>
      </c>
      <c r="G53" s="68" t="s">
        <v>383</v>
      </c>
      <c r="H53" s="68" t="s">
        <v>383</v>
      </c>
      <c r="I53" s="68" t="s">
        <v>383</v>
      </c>
      <c r="J53" s="68" t="s">
        <v>383</v>
      </c>
      <c r="K53" s="68" t="s">
        <v>383</v>
      </c>
      <c r="L53" s="68" t="s">
        <v>383</v>
      </c>
      <c r="M53" s="68" t="s">
        <v>383</v>
      </c>
      <c r="N53" s="68" t="s">
        <v>383</v>
      </c>
      <c r="O53" s="68" t="s">
        <v>383</v>
      </c>
      <c r="P53" s="68" t="s">
        <v>383</v>
      </c>
      <c r="Q53" s="68" t="s">
        <v>383</v>
      </c>
      <c r="R53" s="68" t="s">
        <v>383</v>
      </c>
      <c r="S53" s="68" t="s">
        <v>383</v>
      </c>
      <c r="T53" s="68" t="s">
        <v>383</v>
      </c>
      <c r="U53" s="68" t="s">
        <v>383</v>
      </c>
      <c r="V53" s="68" t="s">
        <v>383</v>
      </c>
      <c r="W53" s="68" t="s">
        <v>383</v>
      </c>
      <c r="X53" s="68" t="s">
        <v>383</v>
      </c>
      <c r="Y53" s="68" t="s">
        <v>383</v>
      </c>
      <c r="Z53" s="68" t="s">
        <v>383</v>
      </c>
      <c r="AA53" s="68" t="s">
        <v>383</v>
      </c>
      <c r="AB53" s="68" t="s">
        <v>383</v>
      </c>
      <c r="AC53" s="68" t="s">
        <v>383</v>
      </c>
      <c r="AD53" s="68" t="s">
        <v>383</v>
      </c>
      <c r="AE53" s="153" t="s">
        <v>383</v>
      </c>
    </row>
    <row r="54" spans="1:32" ht="15" customHeight="1" x14ac:dyDescent="0.25">
      <c r="A54" s="163">
        <v>63</v>
      </c>
      <c r="B54" s="21" t="s">
        <v>68</v>
      </c>
      <c r="C54" s="74">
        <v>49</v>
      </c>
      <c r="D54" s="74">
        <v>47</v>
      </c>
      <c r="E54" s="74">
        <v>51</v>
      </c>
      <c r="F54" s="74">
        <v>58</v>
      </c>
      <c r="G54" s="74">
        <v>68</v>
      </c>
      <c r="H54" s="74">
        <v>63</v>
      </c>
      <c r="I54" s="74">
        <v>61</v>
      </c>
      <c r="J54" s="74">
        <v>67</v>
      </c>
      <c r="K54" s="74">
        <v>81</v>
      </c>
      <c r="L54" s="74">
        <v>99</v>
      </c>
      <c r="M54" s="74">
        <v>112</v>
      </c>
      <c r="N54" s="74">
        <v>121</v>
      </c>
      <c r="O54" s="74">
        <v>134</v>
      </c>
      <c r="P54" s="74">
        <v>141</v>
      </c>
      <c r="Q54" s="74">
        <v>142</v>
      </c>
      <c r="R54" s="74">
        <v>157</v>
      </c>
      <c r="S54" s="74">
        <v>158</v>
      </c>
      <c r="T54" s="74">
        <v>154</v>
      </c>
      <c r="U54" s="74">
        <v>151</v>
      </c>
      <c r="V54" s="74">
        <v>155</v>
      </c>
      <c r="W54" s="74">
        <v>158</v>
      </c>
      <c r="X54" s="74">
        <v>164</v>
      </c>
      <c r="Y54" s="74">
        <v>156</v>
      </c>
      <c r="Z54" s="74">
        <v>156</v>
      </c>
      <c r="AA54" s="74">
        <v>140</v>
      </c>
      <c r="AB54" s="74">
        <v>131</v>
      </c>
      <c r="AC54" s="74">
        <v>141</v>
      </c>
      <c r="AD54" s="74">
        <v>155</v>
      </c>
      <c r="AE54" s="164">
        <v>165</v>
      </c>
    </row>
    <row r="55" spans="1:32" ht="15" customHeight="1" thickBot="1" x14ac:dyDescent="0.3">
      <c r="A55" s="152">
        <v>64</v>
      </c>
      <c r="B55" s="15" t="s">
        <v>99</v>
      </c>
      <c r="C55" s="68">
        <v>39</v>
      </c>
      <c r="D55" s="68">
        <v>53</v>
      </c>
      <c r="E55" s="68">
        <v>69</v>
      </c>
      <c r="F55" s="68">
        <v>87</v>
      </c>
      <c r="G55" s="68">
        <v>92</v>
      </c>
      <c r="H55" s="68">
        <v>79</v>
      </c>
      <c r="I55" s="68">
        <v>70</v>
      </c>
      <c r="J55" s="68">
        <v>72</v>
      </c>
      <c r="K55" s="68">
        <v>76</v>
      </c>
      <c r="L55" s="68">
        <v>78</v>
      </c>
      <c r="M55" s="68">
        <v>81</v>
      </c>
      <c r="N55" s="68">
        <v>82</v>
      </c>
      <c r="O55" s="68">
        <v>76</v>
      </c>
      <c r="P55" s="68">
        <v>76</v>
      </c>
      <c r="Q55" s="68">
        <v>72</v>
      </c>
      <c r="R55" s="68">
        <v>70</v>
      </c>
      <c r="S55" s="68">
        <v>70</v>
      </c>
      <c r="T55" s="68">
        <v>69</v>
      </c>
      <c r="U55" s="68">
        <v>64</v>
      </c>
      <c r="V55" s="68">
        <v>62</v>
      </c>
      <c r="W55" s="68">
        <v>68</v>
      </c>
      <c r="X55" s="68">
        <v>65</v>
      </c>
      <c r="Y55" s="68">
        <v>63</v>
      </c>
      <c r="Z55" s="68">
        <v>66</v>
      </c>
      <c r="AA55" s="68">
        <v>70</v>
      </c>
      <c r="AB55" s="68">
        <v>69</v>
      </c>
      <c r="AC55" s="68">
        <v>66</v>
      </c>
      <c r="AD55" s="68">
        <v>69</v>
      </c>
      <c r="AE55" s="153">
        <v>73</v>
      </c>
    </row>
    <row r="56" spans="1:32" s="11" customFormat="1" ht="15" customHeight="1" thickBot="1" x14ac:dyDescent="0.3">
      <c r="A56" s="144" t="s">
        <v>70</v>
      </c>
      <c r="B56" s="9" t="s">
        <v>71</v>
      </c>
      <c r="C56" s="64">
        <v>87</v>
      </c>
      <c r="D56" s="64">
        <v>92</v>
      </c>
      <c r="E56" s="64">
        <v>100</v>
      </c>
      <c r="F56" s="64">
        <v>113</v>
      </c>
      <c r="G56" s="64">
        <v>127</v>
      </c>
      <c r="H56" s="64">
        <v>125</v>
      </c>
      <c r="I56" s="64">
        <v>118</v>
      </c>
      <c r="J56" s="64">
        <v>119</v>
      </c>
      <c r="K56" s="64">
        <v>126</v>
      </c>
      <c r="L56" s="64">
        <v>141</v>
      </c>
      <c r="M56" s="64">
        <v>148</v>
      </c>
      <c r="N56" s="64">
        <v>147</v>
      </c>
      <c r="O56" s="64">
        <v>151</v>
      </c>
      <c r="P56" s="64">
        <v>140</v>
      </c>
      <c r="Q56" s="64">
        <v>144</v>
      </c>
      <c r="R56" s="64">
        <v>156</v>
      </c>
      <c r="S56" s="64">
        <v>147</v>
      </c>
      <c r="T56" s="64">
        <v>149</v>
      </c>
      <c r="U56" s="64">
        <v>142</v>
      </c>
      <c r="V56" s="64">
        <v>143</v>
      </c>
      <c r="W56" s="64">
        <v>154</v>
      </c>
      <c r="X56" s="64">
        <v>143</v>
      </c>
      <c r="Y56" s="64">
        <v>147</v>
      </c>
      <c r="Z56" s="64">
        <v>153</v>
      </c>
      <c r="AA56" s="64">
        <v>145</v>
      </c>
      <c r="AB56" s="64">
        <v>131</v>
      </c>
      <c r="AC56" s="64">
        <v>129</v>
      </c>
      <c r="AD56" s="64">
        <v>130</v>
      </c>
      <c r="AE56" s="145">
        <v>131</v>
      </c>
      <c r="AF56" s="10"/>
    </row>
    <row r="57" spans="1:32" ht="15" customHeight="1" x14ac:dyDescent="0.25">
      <c r="A57" s="152">
        <v>65</v>
      </c>
      <c r="B57" s="15" t="s">
        <v>72</v>
      </c>
      <c r="C57" s="68">
        <v>38</v>
      </c>
      <c r="D57" s="68">
        <v>40</v>
      </c>
      <c r="E57" s="68">
        <v>46</v>
      </c>
      <c r="F57" s="68">
        <v>48</v>
      </c>
      <c r="G57" s="68">
        <v>50</v>
      </c>
      <c r="H57" s="68">
        <v>48</v>
      </c>
      <c r="I57" s="68">
        <v>45</v>
      </c>
      <c r="J57" s="68">
        <v>42</v>
      </c>
      <c r="K57" s="68">
        <v>47</v>
      </c>
      <c r="L57" s="68">
        <v>49</v>
      </c>
      <c r="M57" s="68">
        <v>51</v>
      </c>
      <c r="N57" s="68">
        <v>55</v>
      </c>
      <c r="O57" s="68">
        <v>54</v>
      </c>
      <c r="P57" s="68">
        <v>54</v>
      </c>
      <c r="Q57" s="68">
        <v>56</v>
      </c>
      <c r="R57" s="68">
        <v>61</v>
      </c>
      <c r="S57" s="68">
        <v>60</v>
      </c>
      <c r="T57" s="68">
        <v>60</v>
      </c>
      <c r="U57" s="68">
        <v>57</v>
      </c>
      <c r="V57" s="68">
        <v>52</v>
      </c>
      <c r="W57" s="68">
        <v>54</v>
      </c>
      <c r="X57" s="68">
        <v>51</v>
      </c>
      <c r="Y57" s="68">
        <v>54</v>
      </c>
      <c r="Z57" s="68">
        <v>55</v>
      </c>
      <c r="AA57" s="68">
        <v>50</v>
      </c>
      <c r="AB57" s="68">
        <v>47</v>
      </c>
      <c r="AC57" s="68">
        <v>43</v>
      </c>
      <c r="AD57" s="68">
        <v>39</v>
      </c>
      <c r="AE57" s="153">
        <v>41</v>
      </c>
    </row>
    <row r="58" spans="1:32" ht="15" customHeight="1" x14ac:dyDescent="0.25">
      <c r="A58" s="156">
        <v>66</v>
      </c>
      <c r="B58" s="17" t="s">
        <v>100</v>
      </c>
      <c r="C58" s="70">
        <v>35</v>
      </c>
      <c r="D58" s="70">
        <v>38</v>
      </c>
      <c r="E58" s="70">
        <v>43</v>
      </c>
      <c r="F58" s="70">
        <v>51</v>
      </c>
      <c r="G58" s="70">
        <v>61</v>
      </c>
      <c r="H58" s="70">
        <v>56</v>
      </c>
      <c r="I58" s="70">
        <v>59</v>
      </c>
      <c r="J58" s="70">
        <v>57</v>
      </c>
      <c r="K58" s="70">
        <v>60</v>
      </c>
      <c r="L58" s="70">
        <v>65</v>
      </c>
      <c r="M58" s="70">
        <v>67</v>
      </c>
      <c r="N58" s="70">
        <v>64</v>
      </c>
      <c r="O58" s="70">
        <v>63</v>
      </c>
      <c r="P58" s="70">
        <v>48</v>
      </c>
      <c r="Q58" s="70">
        <v>51</v>
      </c>
      <c r="R58" s="70">
        <v>55</v>
      </c>
      <c r="S58" s="70">
        <v>52</v>
      </c>
      <c r="T58" s="70">
        <v>52</v>
      </c>
      <c r="U58" s="70">
        <v>52</v>
      </c>
      <c r="V58" s="70">
        <v>55</v>
      </c>
      <c r="W58" s="70">
        <v>56</v>
      </c>
      <c r="X58" s="70">
        <v>49</v>
      </c>
      <c r="Y58" s="70">
        <v>50</v>
      </c>
      <c r="Z58" s="70">
        <v>49</v>
      </c>
      <c r="AA58" s="70">
        <v>50</v>
      </c>
      <c r="AB58" s="70">
        <v>46</v>
      </c>
      <c r="AC58" s="70">
        <v>43</v>
      </c>
      <c r="AD58" s="70">
        <v>45</v>
      </c>
      <c r="AE58" s="157">
        <v>43</v>
      </c>
    </row>
    <row r="59" spans="1:32" ht="15" customHeight="1" thickBot="1" x14ac:dyDescent="0.3">
      <c r="A59" s="152">
        <v>67</v>
      </c>
      <c r="B59" s="15" t="s">
        <v>74</v>
      </c>
      <c r="C59" s="68">
        <v>14</v>
      </c>
      <c r="D59" s="68">
        <v>14</v>
      </c>
      <c r="E59" s="68">
        <v>11</v>
      </c>
      <c r="F59" s="68">
        <v>14</v>
      </c>
      <c r="G59" s="68">
        <v>16</v>
      </c>
      <c r="H59" s="68">
        <v>21</v>
      </c>
      <c r="I59" s="68">
        <v>14</v>
      </c>
      <c r="J59" s="68">
        <v>20</v>
      </c>
      <c r="K59" s="68">
        <v>19</v>
      </c>
      <c r="L59" s="68">
        <v>27</v>
      </c>
      <c r="M59" s="68">
        <v>30</v>
      </c>
      <c r="N59" s="68">
        <v>28</v>
      </c>
      <c r="O59" s="68">
        <v>34</v>
      </c>
      <c r="P59" s="68">
        <v>38</v>
      </c>
      <c r="Q59" s="68">
        <v>37</v>
      </c>
      <c r="R59" s="68">
        <v>40</v>
      </c>
      <c r="S59" s="68">
        <v>35</v>
      </c>
      <c r="T59" s="68">
        <v>37</v>
      </c>
      <c r="U59" s="68">
        <v>33</v>
      </c>
      <c r="V59" s="68">
        <v>36</v>
      </c>
      <c r="W59" s="68">
        <v>44</v>
      </c>
      <c r="X59" s="68">
        <v>43</v>
      </c>
      <c r="Y59" s="68">
        <v>43</v>
      </c>
      <c r="Z59" s="68">
        <v>49</v>
      </c>
      <c r="AA59" s="68">
        <v>45</v>
      </c>
      <c r="AB59" s="68">
        <v>38</v>
      </c>
      <c r="AC59" s="68">
        <v>43</v>
      </c>
      <c r="AD59" s="68">
        <v>46</v>
      </c>
      <c r="AE59" s="153">
        <v>47</v>
      </c>
    </row>
    <row r="60" spans="1:32" s="11" customFormat="1" ht="15" customHeight="1" thickBot="1" x14ac:dyDescent="0.3">
      <c r="A60" s="144" t="s">
        <v>75</v>
      </c>
      <c r="B60" s="9" t="s">
        <v>76</v>
      </c>
      <c r="C60" s="64">
        <v>943</v>
      </c>
      <c r="D60" s="64">
        <v>993</v>
      </c>
      <c r="E60" s="64">
        <v>991</v>
      </c>
      <c r="F60" s="64">
        <v>1073</v>
      </c>
      <c r="G60" s="64">
        <v>1166</v>
      </c>
      <c r="H60" s="64">
        <v>1142</v>
      </c>
      <c r="I60" s="64">
        <v>1052</v>
      </c>
      <c r="J60" s="64">
        <v>1107</v>
      </c>
      <c r="K60" s="64">
        <v>1186</v>
      </c>
      <c r="L60" s="64">
        <v>1272</v>
      </c>
      <c r="M60" s="64">
        <v>1388</v>
      </c>
      <c r="N60" s="64">
        <v>1465</v>
      </c>
      <c r="O60" s="64">
        <v>1515</v>
      </c>
      <c r="P60" s="64">
        <v>1522</v>
      </c>
      <c r="Q60" s="64">
        <v>1557</v>
      </c>
      <c r="R60" s="64">
        <v>1613</v>
      </c>
      <c r="S60" s="64">
        <v>1576</v>
      </c>
      <c r="T60" s="64">
        <v>1606</v>
      </c>
      <c r="U60" s="64">
        <v>1577</v>
      </c>
      <c r="V60" s="64">
        <v>1582</v>
      </c>
      <c r="W60" s="64">
        <v>1547</v>
      </c>
      <c r="X60" s="64">
        <v>1538</v>
      </c>
      <c r="Y60" s="64">
        <v>1502</v>
      </c>
      <c r="Z60" s="64">
        <v>1426</v>
      </c>
      <c r="AA60" s="64">
        <v>1345</v>
      </c>
      <c r="AB60" s="64">
        <v>1353</v>
      </c>
      <c r="AC60" s="64">
        <v>1385</v>
      </c>
      <c r="AD60" s="64">
        <v>1384</v>
      </c>
      <c r="AE60" s="145">
        <v>1376</v>
      </c>
      <c r="AF60" s="10"/>
    </row>
    <row r="61" spans="1:32" ht="15" customHeight="1" x14ac:dyDescent="0.25">
      <c r="A61" s="146">
        <v>70</v>
      </c>
      <c r="B61" s="12" t="s">
        <v>77</v>
      </c>
      <c r="C61" s="65">
        <v>408</v>
      </c>
      <c r="D61" s="65">
        <v>409</v>
      </c>
      <c r="E61" s="65">
        <v>392</v>
      </c>
      <c r="F61" s="65">
        <v>411</v>
      </c>
      <c r="G61" s="65">
        <v>433</v>
      </c>
      <c r="H61" s="65">
        <v>424</v>
      </c>
      <c r="I61" s="65">
        <v>402</v>
      </c>
      <c r="J61" s="65">
        <v>426</v>
      </c>
      <c r="K61" s="65">
        <v>438</v>
      </c>
      <c r="L61" s="65">
        <v>450</v>
      </c>
      <c r="M61" s="65">
        <v>477</v>
      </c>
      <c r="N61" s="65">
        <v>490</v>
      </c>
      <c r="O61" s="65">
        <v>494</v>
      </c>
      <c r="P61" s="65">
        <v>489</v>
      </c>
      <c r="Q61" s="65">
        <v>510</v>
      </c>
      <c r="R61" s="65">
        <v>513</v>
      </c>
      <c r="S61" s="65">
        <v>517</v>
      </c>
      <c r="T61" s="65">
        <v>507</v>
      </c>
      <c r="U61" s="65">
        <v>498</v>
      </c>
      <c r="V61" s="65">
        <v>491</v>
      </c>
      <c r="W61" s="65">
        <v>493</v>
      </c>
      <c r="X61" s="65">
        <v>481</v>
      </c>
      <c r="Y61" s="65">
        <v>477</v>
      </c>
      <c r="Z61" s="65">
        <v>451</v>
      </c>
      <c r="AA61" s="65">
        <v>430</v>
      </c>
      <c r="AB61" s="65">
        <v>423</v>
      </c>
      <c r="AC61" s="65">
        <v>414</v>
      </c>
      <c r="AD61" s="65">
        <v>412</v>
      </c>
      <c r="AE61" s="147">
        <v>409</v>
      </c>
    </row>
    <row r="62" spans="1:32" ht="15" customHeight="1" x14ac:dyDescent="0.25">
      <c r="A62" s="156">
        <v>71</v>
      </c>
      <c r="B62" s="17" t="s">
        <v>78</v>
      </c>
      <c r="C62" s="70">
        <v>30</v>
      </c>
      <c r="D62" s="70">
        <v>29</v>
      </c>
      <c r="E62" s="70">
        <v>26</v>
      </c>
      <c r="F62" s="70">
        <v>23</v>
      </c>
      <c r="G62" s="70">
        <v>21</v>
      </c>
      <c r="H62" s="70">
        <v>21</v>
      </c>
      <c r="I62" s="70">
        <v>17</v>
      </c>
      <c r="J62" s="70">
        <v>21</v>
      </c>
      <c r="K62" s="70">
        <v>22</v>
      </c>
      <c r="L62" s="70">
        <v>28</v>
      </c>
      <c r="M62" s="70">
        <v>34</v>
      </c>
      <c r="N62" s="70">
        <v>42</v>
      </c>
      <c r="O62" s="70">
        <v>47</v>
      </c>
      <c r="P62" s="70">
        <v>44</v>
      </c>
      <c r="Q62" s="70">
        <v>47</v>
      </c>
      <c r="R62" s="70">
        <v>42</v>
      </c>
      <c r="S62" s="70">
        <v>47</v>
      </c>
      <c r="T62" s="70">
        <v>48</v>
      </c>
      <c r="U62" s="70">
        <v>50</v>
      </c>
      <c r="V62" s="70">
        <v>54</v>
      </c>
      <c r="W62" s="70">
        <v>54</v>
      </c>
      <c r="X62" s="70">
        <v>60</v>
      </c>
      <c r="Y62" s="70">
        <v>59</v>
      </c>
      <c r="Z62" s="70">
        <v>69</v>
      </c>
      <c r="AA62" s="70">
        <v>62</v>
      </c>
      <c r="AB62" s="70">
        <v>59</v>
      </c>
      <c r="AC62" s="70">
        <v>58</v>
      </c>
      <c r="AD62" s="70">
        <v>61</v>
      </c>
      <c r="AE62" s="157">
        <v>65</v>
      </c>
    </row>
    <row r="63" spans="1:32" ht="15" customHeight="1" x14ac:dyDescent="0.25">
      <c r="A63" s="156">
        <v>72</v>
      </c>
      <c r="B63" s="17" t="s">
        <v>79</v>
      </c>
      <c r="C63" s="70">
        <v>14</v>
      </c>
      <c r="D63" s="70">
        <v>16</v>
      </c>
      <c r="E63" s="70">
        <v>17</v>
      </c>
      <c r="F63" s="70">
        <v>21</v>
      </c>
      <c r="G63" s="70">
        <v>22</v>
      </c>
      <c r="H63" s="70">
        <v>19</v>
      </c>
      <c r="I63" s="70" t="s">
        <v>383</v>
      </c>
      <c r="J63" s="70">
        <v>16</v>
      </c>
      <c r="K63" s="70" t="s">
        <v>383</v>
      </c>
      <c r="L63" s="70" t="s">
        <v>383</v>
      </c>
      <c r="M63" s="70" t="s">
        <v>383</v>
      </c>
      <c r="N63" s="70" t="s">
        <v>383</v>
      </c>
      <c r="O63" s="70">
        <v>31</v>
      </c>
      <c r="P63" s="70" t="s">
        <v>383</v>
      </c>
      <c r="Q63" s="70" t="s">
        <v>383</v>
      </c>
      <c r="R63" s="70" t="s">
        <v>383</v>
      </c>
      <c r="S63" s="70" t="s">
        <v>383</v>
      </c>
      <c r="T63" s="70" t="s">
        <v>383</v>
      </c>
      <c r="U63" s="70">
        <v>43</v>
      </c>
      <c r="V63" s="70">
        <v>39</v>
      </c>
      <c r="W63" s="70">
        <v>38</v>
      </c>
      <c r="X63" s="70">
        <v>43</v>
      </c>
      <c r="Y63" s="70">
        <v>37</v>
      </c>
      <c r="Z63" s="70">
        <v>39</v>
      </c>
      <c r="AA63" s="70">
        <v>45</v>
      </c>
      <c r="AB63" s="70">
        <v>61</v>
      </c>
      <c r="AC63" s="70">
        <v>66</v>
      </c>
      <c r="AD63" s="70">
        <v>70</v>
      </c>
      <c r="AE63" s="157">
        <v>65</v>
      </c>
    </row>
    <row r="64" spans="1:32" ht="15" customHeight="1" x14ac:dyDescent="0.25">
      <c r="A64" s="156">
        <v>73</v>
      </c>
      <c r="B64" s="17" t="s">
        <v>80</v>
      </c>
      <c r="C64" s="70" t="s">
        <v>383</v>
      </c>
      <c r="D64" s="70" t="s">
        <v>383</v>
      </c>
      <c r="E64" s="70">
        <v>6</v>
      </c>
      <c r="F64" s="70">
        <v>5</v>
      </c>
      <c r="G64" s="70">
        <v>6</v>
      </c>
      <c r="H64" s="70">
        <v>5</v>
      </c>
      <c r="I64" s="70" t="s">
        <v>383</v>
      </c>
      <c r="J64" s="70">
        <v>4</v>
      </c>
      <c r="K64" s="70" t="s">
        <v>383</v>
      </c>
      <c r="L64" s="70" t="s">
        <v>383</v>
      </c>
      <c r="M64" s="70" t="s">
        <v>383</v>
      </c>
      <c r="N64" s="70" t="s">
        <v>383</v>
      </c>
      <c r="O64" s="70">
        <v>4</v>
      </c>
      <c r="P64" s="70" t="s">
        <v>383</v>
      </c>
      <c r="Q64" s="70" t="s">
        <v>383</v>
      </c>
      <c r="R64" s="70" t="s">
        <v>383</v>
      </c>
      <c r="S64" s="70" t="s">
        <v>383</v>
      </c>
      <c r="T64" s="70" t="s">
        <v>383</v>
      </c>
      <c r="U64" s="70">
        <v>4</v>
      </c>
      <c r="V64" s="70">
        <v>4</v>
      </c>
      <c r="W64" s="70">
        <v>7</v>
      </c>
      <c r="X64" s="70">
        <v>5</v>
      </c>
      <c r="Y64" s="70">
        <v>6</v>
      </c>
      <c r="Z64" s="70">
        <v>5</v>
      </c>
      <c r="AA64" s="70">
        <v>5</v>
      </c>
      <c r="AB64" s="70">
        <v>5</v>
      </c>
      <c r="AC64" s="70">
        <v>6</v>
      </c>
      <c r="AD64" s="70">
        <v>9</v>
      </c>
      <c r="AE64" s="157">
        <v>8</v>
      </c>
    </row>
    <row r="65" spans="1:32" ht="15" customHeight="1" x14ac:dyDescent="0.25">
      <c r="A65" s="156">
        <v>74</v>
      </c>
      <c r="B65" s="17" t="s">
        <v>81</v>
      </c>
      <c r="C65" s="70">
        <v>485</v>
      </c>
      <c r="D65" s="70">
        <v>531</v>
      </c>
      <c r="E65" s="70">
        <v>545</v>
      </c>
      <c r="F65" s="70">
        <v>606</v>
      </c>
      <c r="G65" s="70">
        <v>670</v>
      </c>
      <c r="H65" s="70">
        <v>661</v>
      </c>
      <c r="I65" s="70">
        <v>603</v>
      </c>
      <c r="J65" s="70">
        <v>629</v>
      </c>
      <c r="K65" s="70">
        <v>693</v>
      </c>
      <c r="L65" s="70">
        <v>761</v>
      </c>
      <c r="M65" s="70">
        <v>836</v>
      </c>
      <c r="N65" s="70">
        <v>884</v>
      </c>
      <c r="O65" s="70">
        <v>927</v>
      </c>
      <c r="P65" s="70">
        <v>935</v>
      </c>
      <c r="Q65" s="70">
        <v>943</v>
      </c>
      <c r="R65" s="70">
        <v>1000</v>
      </c>
      <c r="S65" s="70">
        <v>959</v>
      </c>
      <c r="T65" s="70">
        <v>996</v>
      </c>
      <c r="U65" s="70">
        <v>965</v>
      </c>
      <c r="V65" s="70">
        <v>978</v>
      </c>
      <c r="W65" s="70">
        <v>943</v>
      </c>
      <c r="X65" s="70">
        <v>937</v>
      </c>
      <c r="Y65" s="70">
        <v>911</v>
      </c>
      <c r="Z65" s="70">
        <v>852</v>
      </c>
      <c r="AA65" s="70">
        <v>794</v>
      </c>
      <c r="AB65" s="70">
        <v>795</v>
      </c>
      <c r="AC65" s="70">
        <v>832</v>
      </c>
      <c r="AD65" s="70">
        <v>822</v>
      </c>
      <c r="AE65" s="157">
        <v>820</v>
      </c>
    </row>
    <row r="66" spans="1:32" ht="15" customHeight="1" thickBot="1" x14ac:dyDescent="0.3">
      <c r="A66" s="158">
        <v>75</v>
      </c>
      <c r="B66" s="18" t="s">
        <v>185</v>
      </c>
      <c r="C66" s="71" t="s">
        <v>383</v>
      </c>
      <c r="D66" s="71" t="s">
        <v>383</v>
      </c>
      <c r="E66" s="71">
        <v>5</v>
      </c>
      <c r="F66" s="71">
        <v>7</v>
      </c>
      <c r="G66" s="71">
        <v>14</v>
      </c>
      <c r="H66" s="71">
        <v>12</v>
      </c>
      <c r="I66" s="71">
        <v>12</v>
      </c>
      <c r="J66" s="71">
        <v>11</v>
      </c>
      <c r="K66" s="71">
        <v>12</v>
      </c>
      <c r="L66" s="71">
        <v>12</v>
      </c>
      <c r="M66" s="71">
        <v>12</v>
      </c>
      <c r="N66" s="71">
        <v>13</v>
      </c>
      <c r="O66" s="71">
        <v>12</v>
      </c>
      <c r="P66" s="71">
        <v>17</v>
      </c>
      <c r="Q66" s="71">
        <v>17</v>
      </c>
      <c r="R66" s="71">
        <v>19</v>
      </c>
      <c r="S66" s="71">
        <v>17</v>
      </c>
      <c r="T66" s="71">
        <v>16</v>
      </c>
      <c r="U66" s="71">
        <v>17</v>
      </c>
      <c r="V66" s="71">
        <v>16</v>
      </c>
      <c r="W66" s="71">
        <v>12</v>
      </c>
      <c r="X66" s="71">
        <v>12</v>
      </c>
      <c r="Y66" s="71">
        <v>12</v>
      </c>
      <c r="Z66" s="71">
        <v>10</v>
      </c>
      <c r="AA66" s="71">
        <v>9</v>
      </c>
      <c r="AB66" s="71">
        <v>10</v>
      </c>
      <c r="AC66" s="71">
        <v>9</v>
      </c>
      <c r="AD66" s="71">
        <v>10</v>
      </c>
      <c r="AE66" s="159">
        <v>9</v>
      </c>
    </row>
    <row r="67" spans="1:32" s="11" customFormat="1" ht="15" customHeight="1" thickBot="1" x14ac:dyDescent="0.3">
      <c r="A67" s="160" t="s">
        <v>83</v>
      </c>
      <c r="B67" s="19" t="s">
        <v>84</v>
      </c>
      <c r="C67" s="64">
        <v>124</v>
      </c>
      <c r="D67" s="64">
        <v>138</v>
      </c>
      <c r="E67" s="64">
        <v>139</v>
      </c>
      <c r="F67" s="64">
        <v>138</v>
      </c>
      <c r="G67" s="64">
        <v>149</v>
      </c>
      <c r="H67" s="64">
        <v>146</v>
      </c>
      <c r="I67" s="64">
        <v>136</v>
      </c>
      <c r="J67" s="64">
        <v>136</v>
      </c>
      <c r="K67" s="64">
        <v>141</v>
      </c>
      <c r="L67" s="64">
        <v>151</v>
      </c>
      <c r="M67" s="64">
        <v>156</v>
      </c>
      <c r="N67" s="64">
        <v>163</v>
      </c>
      <c r="O67" s="64">
        <v>172</v>
      </c>
      <c r="P67" s="64">
        <v>184</v>
      </c>
      <c r="Q67" s="64">
        <v>184</v>
      </c>
      <c r="R67" s="64">
        <v>182</v>
      </c>
      <c r="S67" s="64">
        <v>181</v>
      </c>
      <c r="T67" s="64">
        <v>179</v>
      </c>
      <c r="U67" s="64">
        <v>182</v>
      </c>
      <c r="V67" s="64">
        <v>176</v>
      </c>
      <c r="W67" s="64">
        <v>172</v>
      </c>
      <c r="X67" s="64">
        <v>182</v>
      </c>
      <c r="Y67" s="64">
        <v>186</v>
      </c>
      <c r="Z67" s="64">
        <v>172</v>
      </c>
      <c r="AA67" s="64">
        <v>153</v>
      </c>
      <c r="AB67" s="64">
        <v>153</v>
      </c>
      <c r="AC67" s="64">
        <v>165</v>
      </c>
      <c r="AD67" s="64">
        <v>170</v>
      </c>
      <c r="AE67" s="145">
        <v>166</v>
      </c>
      <c r="AF67" s="10"/>
    </row>
    <row r="68" spans="1:32" ht="15" customHeight="1" thickBot="1" x14ac:dyDescent="0.3">
      <c r="A68" s="150">
        <v>80</v>
      </c>
      <c r="B68" s="14" t="s">
        <v>85</v>
      </c>
      <c r="C68" s="70">
        <v>124</v>
      </c>
      <c r="D68" s="67">
        <v>138</v>
      </c>
      <c r="E68" s="67">
        <v>139</v>
      </c>
      <c r="F68" s="67">
        <v>138</v>
      </c>
      <c r="G68" s="67">
        <v>149</v>
      </c>
      <c r="H68" s="67">
        <v>146</v>
      </c>
      <c r="I68" s="67">
        <v>136</v>
      </c>
      <c r="J68" s="67">
        <v>136</v>
      </c>
      <c r="K68" s="67">
        <v>141</v>
      </c>
      <c r="L68" s="67">
        <v>151</v>
      </c>
      <c r="M68" s="67">
        <v>156</v>
      </c>
      <c r="N68" s="67">
        <v>163</v>
      </c>
      <c r="O68" s="67">
        <v>172</v>
      </c>
      <c r="P68" s="67">
        <v>184</v>
      </c>
      <c r="Q68" s="67">
        <v>184</v>
      </c>
      <c r="R68" s="67">
        <v>182</v>
      </c>
      <c r="S68" s="67">
        <v>181</v>
      </c>
      <c r="T68" s="67">
        <v>179</v>
      </c>
      <c r="U68" s="67">
        <v>182</v>
      </c>
      <c r="V68" s="67">
        <v>176</v>
      </c>
      <c r="W68" s="67">
        <v>172</v>
      </c>
      <c r="X68" s="67">
        <v>182</v>
      </c>
      <c r="Y68" s="67">
        <v>186</v>
      </c>
      <c r="Z68" s="67">
        <v>172</v>
      </c>
      <c r="AA68" s="67">
        <v>153</v>
      </c>
      <c r="AB68" s="67">
        <v>153</v>
      </c>
      <c r="AC68" s="67">
        <v>165</v>
      </c>
      <c r="AD68" s="67">
        <v>170</v>
      </c>
      <c r="AE68" s="151">
        <v>166</v>
      </c>
    </row>
    <row r="69" spans="1:32" s="11" customFormat="1" ht="15" customHeight="1" thickBot="1" x14ac:dyDescent="0.3">
      <c r="A69" s="144" t="s">
        <v>86</v>
      </c>
      <c r="B69" s="9" t="s">
        <v>87</v>
      </c>
      <c r="C69" s="64">
        <v>319</v>
      </c>
      <c r="D69" s="64">
        <v>334</v>
      </c>
      <c r="E69" s="64">
        <v>356</v>
      </c>
      <c r="F69" s="64">
        <v>369</v>
      </c>
      <c r="G69" s="64">
        <v>375</v>
      </c>
      <c r="H69" s="64">
        <v>377</v>
      </c>
      <c r="I69" s="64">
        <v>346</v>
      </c>
      <c r="J69" s="64">
        <v>360</v>
      </c>
      <c r="K69" s="64">
        <v>378</v>
      </c>
      <c r="L69" s="64">
        <v>408</v>
      </c>
      <c r="M69" s="64">
        <v>429</v>
      </c>
      <c r="N69" s="64">
        <v>459</v>
      </c>
      <c r="O69" s="64">
        <v>475</v>
      </c>
      <c r="P69" s="64">
        <v>500</v>
      </c>
      <c r="Q69" s="64">
        <v>507</v>
      </c>
      <c r="R69" s="64">
        <v>528</v>
      </c>
      <c r="S69" s="64">
        <v>562</v>
      </c>
      <c r="T69" s="64">
        <v>573</v>
      </c>
      <c r="U69" s="64">
        <v>584</v>
      </c>
      <c r="V69" s="64">
        <v>608</v>
      </c>
      <c r="W69" s="64">
        <v>634</v>
      </c>
      <c r="X69" s="64">
        <v>660</v>
      </c>
      <c r="Y69" s="64">
        <v>676</v>
      </c>
      <c r="Z69" s="64">
        <v>664</v>
      </c>
      <c r="AA69" s="64">
        <v>639</v>
      </c>
      <c r="AB69" s="64">
        <v>632</v>
      </c>
      <c r="AC69" s="64">
        <v>628</v>
      </c>
      <c r="AD69" s="64">
        <v>646</v>
      </c>
      <c r="AE69" s="145">
        <v>615</v>
      </c>
      <c r="AF69" s="10"/>
    </row>
    <row r="70" spans="1:32" ht="15" customHeight="1" thickBot="1" x14ac:dyDescent="0.3">
      <c r="A70" s="150">
        <v>85</v>
      </c>
      <c r="B70" s="14" t="s">
        <v>88</v>
      </c>
      <c r="C70" s="67">
        <v>319</v>
      </c>
      <c r="D70" s="67">
        <v>334</v>
      </c>
      <c r="E70" s="67">
        <v>356</v>
      </c>
      <c r="F70" s="67">
        <v>369</v>
      </c>
      <c r="G70" s="67">
        <v>375</v>
      </c>
      <c r="H70" s="67">
        <v>377</v>
      </c>
      <c r="I70" s="67">
        <v>346</v>
      </c>
      <c r="J70" s="67">
        <v>360</v>
      </c>
      <c r="K70" s="67">
        <v>378</v>
      </c>
      <c r="L70" s="67">
        <v>408</v>
      </c>
      <c r="M70" s="67">
        <v>429</v>
      </c>
      <c r="N70" s="67">
        <v>459</v>
      </c>
      <c r="O70" s="67">
        <v>475</v>
      </c>
      <c r="P70" s="67">
        <v>500</v>
      </c>
      <c r="Q70" s="67">
        <v>507</v>
      </c>
      <c r="R70" s="67">
        <v>528</v>
      </c>
      <c r="S70" s="67">
        <v>562</v>
      </c>
      <c r="T70" s="67">
        <v>573</v>
      </c>
      <c r="U70" s="67">
        <v>584</v>
      </c>
      <c r="V70" s="67">
        <v>608</v>
      </c>
      <c r="W70" s="67">
        <v>634</v>
      </c>
      <c r="X70" s="67">
        <v>660</v>
      </c>
      <c r="Y70" s="67">
        <v>676</v>
      </c>
      <c r="Z70" s="67">
        <v>664</v>
      </c>
      <c r="AA70" s="67">
        <v>639</v>
      </c>
      <c r="AB70" s="67">
        <v>632</v>
      </c>
      <c r="AC70" s="67">
        <v>628</v>
      </c>
      <c r="AD70" s="67">
        <v>646</v>
      </c>
      <c r="AE70" s="151">
        <v>615</v>
      </c>
    </row>
    <row r="71" spans="1:32" s="11" customFormat="1" ht="15" customHeight="1" thickBot="1" x14ac:dyDescent="0.3">
      <c r="A71" s="144" t="s">
        <v>89</v>
      </c>
      <c r="B71" s="9" t="s">
        <v>90</v>
      </c>
      <c r="C71" s="64">
        <v>555</v>
      </c>
      <c r="D71" s="64">
        <v>577</v>
      </c>
      <c r="E71" s="64">
        <v>556</v>
      </c>
      <c r="F71" s="64">
        <v>582</v>
      </c>
      <c r="G71" s="64">
        <v>647</v>
      </c>
      <c r="H71" s="64">
        <v>616</v>
      </c>
      <c r="I71" s="64">
        <v>582</v>
      </c>
      <c r="J71" s="64">
        <v>607</v>
      </c>
      <c r="K71" s="64">
        <v>659</v>
      </c>
      <c r="L71" s="64">
        <v>683</v>
      </c>
      <c r="M71" s="64">
        <v>709</v>
      </c>
      <c r="N71" s="64">
        <v>741</v>
      </c>
      <c r="O71" s="64">
        <v>743</v>
      </c>
      <c r="P71" s="64">
        <v>740</v>
      </c>
      <c r="Q71" s="64">
        <v>769</v>
      </c>
      <c r="R71" s="64">
        <v>802</v>
      </c>
      <c r="S71" s="64">
        <v>805</v>
      </c>
      <c r="T71" s="64">
        <v>789</v>
      </c>
      <c r="U71" s="64">
        <v>775</v>
      </c>
      <c r="V71" s="64">
        <v>798</v>
      </c>
      <c r="W71" s="64">
        <v>795</v>
      </c>
      <c r="X71" s="64">
        <v>770</v>
      </c>
      <c r="Y71" s="64">
        <v>730</v>
      </c>
      <c r="Z71" s="64">
        <v>704</v>
      </c>
      <c r="AA71" s="64">
        <v>647</v>
      </c>
      <c r="AB71" s="64">
        <v>633</v>
      </c>
      <c r="AC71" s="64">
        <v>643</v>
      </c>
      <c r="AD71" s="64">
        <v>626</v>
      </c>
      <c r="AE71" s="145">
        <v>587</v>
      </c>
      <c r="AF71" s="10"/>
    </row>
    <row r="72" spans="1:32" ht="15" customHeight="1" x14ac:dyDescent="0.25">
      <c r="A72" s="146">
        <v>90</v>
      </c>
      <c r="B72" s="12" t="s">
        <v>91</v>
      </c>
      <c r="C72" s="65">
        <v>8</v>
      </c>
      <c r="D72" s="65">
        <v>10</v>
      </c>
      <c r="E72" s="65">
        <v>7</v>
      </c>
      <c r="F72" s="65">
        <v>10</v>
      </c>
      <c r="G72" s="65">
        <v>12</v>
      </c>
      <c r="H72" s="65">
        <v>12</v>
      </c>
      <c r="I72" s="65">
        <v>12</v>
      </c>
      <c r="J72" s="65">
        <v>10</v>
      </c>
      <c r="K72" s="65">
        <v>12</v>
      </c>
      <c r="L72" s="65">
        <v>13</v>
      </c>
      <c r="M72" s="65">
        <v>13</v>
      </c>
      <c r="N72" s="65">
        <v>12</v>
      </c>
      <c r="O72" s="65">
        <v>11</v>
      </c>
      <c r="P72" s="65">
        <v>12</v>
      </c>
      <c r="Q72" s="65">
        <v>12</v>
      </c>
      <c r="R72" s="65">
        <v>13</v>
      </c>
      <c r="S72" s="65">
        <v>15</v>
      </c>
      <c r="T72" s="65">
        <v>12</v>
      </c>
      <c r="U72" s="65">
        <v>15</v>
      </c>
      <c r="V72" s="65">
        <v>14</v>
      </c>
      <c r="W72" s="65">
        <v>14</v>
      </c>
      <c r="X72" s="65">
        <v>13</v>
      </c>
      <c r="Y72" s="65">
        <v>11</v>
      </c>
      <c r="Z72" s="65">
        <v>12</v>
      </c>
      <c r="AA72" s="65">
        <v>12</v>
      </c>
      <c r="AB72" s="65">
        <v>12</v>
      </c>
      <c r="AC72" s="65">
        <v>15</v>
      </c>
      <c r="AD72" s="65">
        <v>18</v>
      </c>
      <c r="AE72" s="147">
        <v>17</v>
      </c>
    </row>
    <row r="73" spans="1:32" ht="15" customHeight="1" x14ac:dyDescent="0.25">
      <c r="A73" s="156">
        <v>91</v>
      </c>
      <c r="B73" s="17" t="s">
        <v>92</v>
      </c>
      <c r="C73" s="70">
        <v>255</v>
      </c>
      <c r="D73" s="70">
        <v>265</v>
      </c>
      <c r="E73" s="70">
        <v>265</v>
      </c>
      <c r="F73" s="70">
        <v>278</v>
      </c>
      <c r="G73" s="70">
        <v>300</v>
      </c>
      <c r="H73" s="70">
        <v>302</v>
      </c>
      <c r="I73" s="70">
        <v>305</v>
      </c>
      <c r="J73" s="70">
        <v>311</v>
      </c>
      <c r="K73" s="70">
        <v>333</v>
      </c>
      <c r="L73" s="70">
        <v>332</v>
      </c>
      <c r="M73" s="70">
        <v>343</v>
      </c>
      <c r="N73" s="70">
        <v>351</v>
      </c>
      <c r="O73" s="70">
        <v>361</v>
      </c>
      <c r="P73" s="70">
        <v>374</v>
      </c>
      <c r="Q73" s="70">
        <v>377</v>
      </c>
      <c r="R73" s="70">
        <v>390</v>
      </c>
      <c r="S73" s="70">
        <v>389</v>
      </c>
      <c r="T73" s="70">
        <v>393</v>
      </c>
      <c r="U73" s="70">
        <v>390</v>
      </c>
      <c r="V73" s="70">
        <v>408</v>
      </c>
      <c r="W73" s="70">
        <v>416</v>
      </c>
      <c r="X73" s="70">
        <v>418</v>
      </c>
      <c r="Y73" s="70">
        <v>417</v>
      </c>
      <c r="Z73" s="70">
        <v>414</v>
      </c>
      <c r="AA73" s="70">
        <v>397</v>
      </c>
      <c r="AB73" s="70">
        <v>395</v>
      </c>
      <c r="AC73" s="70">
        <v>386</v>
      </c>
      <c r="AD73" s="70">
        <v>383</v>
      </c>
      <c r="AE73" s="157">
        <v>377</v>
      </c>
    </row>
    <row r="74" spans="1:32" ht="15" customHeight="1" x14ac:dyDescent="0.25">
      <c r="A74" s="156">
        <v>92</v>
      </c>
      <c r="B74" s="17" t="s">
        <v>93</v>
      </c>
      <c r="C74" s="70">
        <v>67</v>
      </c>
      <c r="D74" s="70">
        <v>65</v>
      </c>
      <c r="E74" s="70">
        <v>65</v>
      </c>
      <c r="F74" s="70">
        <v>75</v>
      </c>
      <c r="G74" s="70">
        <v>76</v>
      </c>
      <c r="H74" s="70">
        <v>66</v>
      </c>
      <c r="I74" s="70">
        <v>63</v>
      </c>
      <c r="J74" s="70">
        <v>71</v>
      </c>
      <c r="K74" s="70">
        <v>72</v>
      </c>
      <c r="L74" s="70">
        <v>82</v>
      </c>
      <c r="M74" s="70">
        <v>82</v>
      </c>
      <c r="N74" s="70">
        <v>77</v>
      </c>
      <c r="O74" s="70">
        <v>75</v>
      </c>
      <c r="P74" s="70">
        <v>80</v>
      </c>
      <c r="Q74" s="70">
        <v>86</v>
      </c>
      <c r="R74" s="70">
        <v>94</v>
      </c>
      <c r="S74" s="70">
        <v>103</v>
      </c>
      <c r="T74" s="70">
        <v>103</v>
      </c>
      <c r="U74" s="70">
        <v>118</v>
      </c>
      <c r="V74" s="70">
        <v>120</v>
      </c>
      <c r="W74" s="70">
        <v>125</v>
      </c>
      <c r="X74" s="70">
        <v>122</v>
      </c>
      <c r="Y74" s="70">
        <v>108</v>
      </c>
      <c r="Z74" s="70">
        <v>105</v>
      </c>
      <c r="AA74" s="70">
        <v>96</v>
      </c>
      <c r="AB74" s="70">
        <v>90</v>
      </c>
      <c r="AC74" s="70">
        <v>101</v>
      </c>
      <c r="AD74" s="70">
        <v>103</v>
      </c>
      <c r="AE74" s="157">
        <v>93</v>
      </c>
    </row>
    <row r="75" spans="1:32" ht="15" customHeight="1" thickBot="1" x14ac:dyDescent="0.3">
      <c r="A75" s="170">
        <v>93</v>
      </c>
      <c r="B75" s="63" t="s">
        <v>94</v>
      </c>
      <c r="C75" s="76">
        <v>225</v>
      </c>
      <c r="D75" s="76">
        <v>237</v>
      </c>
      <c r="E75" s="76">
        <v>219</v>
      </c>
      <c r="F75" s="76">
        <v>219</v>
      </c>
      <c r="G75" s="76">
        <v>259</v>
      </c>
      <c r="H75" s="76">
        <v>236</v>
      </c>
      <c r="I75" s="76">
        <v>202</v>
      </c>
      <c r="J75" s="76">
        <v>215</v>
      </c>
      <c r="K75" s="76">
        <v>242</v>
      </c>
      <c r="L75" s="76">
        <v>256</v>
      </c>
      <c r="M75" s="76">
        <v>271</v>
      </c>
      <c r="N75" s="76">
        <v>301</v>
      </c>
      <c r="O75" s="76">
        <v>296</v>
      </c>
      <c r="P75" s="76">
        <v>274</v>
      </c>
      <c r="Q75" s="76">
        <v>294</v>
      </c>
      <c r="R75" s="76">
        <v>305</v>
      </c>
      <c r="S75" s="76">
        <v>298</v>
      </c>
      <c r="T75" s="76">
        <v>281</v>
      </c>
      <c r="U75" s="76">
        <v>252</v>
      </c>
      <c r="V75" s="76">
        <v>256</v>
      </c>
      <c r="W75" s="76">
        <v>240</v>
      </c>
      <c r="X75" s="76">
        <v>217</v>
      </c>
      <c r="Y75" s="76">
        <v>194</v>
      </c>
      <c r="Z75" s="76">
        <v>173</v>
      </c>
      <c r="AA75" s="76">
        <v>142</v>
      </c>
      <c r="AB75" s="76">
        <v>136</v>
      </c>
      <c r="AC75" s="76">
        <v>141</v>
      </c>
      <c r="AD75" s="76">
        <v>122</v>
      </c>
      <c r="AE75" s="165">
        <v>100</v>
      </c>
    </row>
    <row r="76" spans="1:32" s="23" customFormat="1" ht="15" customHeight="1" thickBot="1" x14ac:dyDescent="0.3">
      <c r="A76" s="166"/>
      <c r="B76" s="167" t="s">
        <v>95</v>
      </c>
      <c r="C76" s="168">
        <v>5790</v>
      </c>
      <c r="D76" s="168">
        <v>6153</v>
      </c>
      <c r="E76" s="168">
        <v>6001</v>
      </c>
      <c r="F76" s="168">
        <v>6391</v>
      </c>
      <c r="G76" s="168">
        <v>6821</v>
      </c>
      <c r="H76" s="168">
        <v>6515</v>
      </c>
      <c r="I76" s="168">
        <v>6014</v>
      </c>
      <c r="J76" s="168">
        <v>6347</v>
      </c>
      <c r="K76" s="168">
        <v>6941</v>
      </c>
      <c r="L76" s="168">
        <v>7508</v>
      </c>
      <c r="M76" s="168">
        <v>8144</v>
      </c>
      <c r="N76" s="168">
        <v>8818</v>
      </c>
      <c r="O76" s="168">
        <v>9336</v>
      </c>
      <c r="P76" s="168">
        <v>9827</v>
      </c>
      <c r="Q76" s="168">
        <v>10273</v>
      </c>
      <c r="R76" s="168">
        <v>10750</v>
      </c>
      <c r="S76" s="168">
        <v>10709</v>
      </c>
      <c r="T76" s="168">
        <v>10978</v>
      </c>
      <c r="U76" s="168">
        <v>10925</v>
      </c>
      <c r="V76" s="168">
        <v>11098</v>
      </c>
      <c r="W76" s="168">
        <v>11136</v>
      </c>
      <c r="X76" s="168">
        <v>11251</v>
      </c>
      <c r="Y76" s="168">
        <v>10980</v>
      </c>
      <c r="Z76" s="168">
        <v>10529</v>
      </c>
      <c r="AA76" s="168">
        <v>9989</v>
      </c>
      <c r="AB76" s="168">
        <v>10072</v>
      </c>
      <c r="AC76" s="168">
        <v>10431</v>
      </c>
      <c r="AD76" s="168">
        <v>10554</v>
      </c>
      <c r="AE76" s="169">
        <v>10383</v>
      </c>
      <c r="AF76" s="22"/>
    </row>
    <row r="77" spans="1:32" ht="12" customHeight="1" x14ac:dyDescent="0.25">
      <c r="A77" s="7"/>
      <c r="B77" s="7"/>
      <c r="C77" s="7"/>
      <c r="D77" s="7"/>
      <c r="E77" s="24"/>
      <c r="F77" s="7"/>
      <c r="G77" s="25"/>
      <c r="H77" s="7"/>
      <c r="I77" s="7"/>
      <c r="J77" s="7"/>
      <c r="K77" s="7"/>
      <c r="L77" s="7"/>
      <c r="M77" s="7"/>
      <c r="N77" s="7"/>
      <c r="O77" s="7"/>
      <c r="P77" s="7"/>
      <c r="Q77" s="7"/>
      <c r="R77" s="7"/>
      <c r="S77" s="7"/>
      <c r="T77" s="7"/>
      <c r="U77" s="7"/>
      <c r="V77" s="7"/>
      <c r="W77" s="7"/>
      <c r="X77" s="7"/>
      <c r="Y77" s="7"/>
      <c r="Z77" s="7"/>
      <c r="AA77" s="7"/>
      <c r="AB77" s="7"/>
      <c r="AC77" s="7"/>
      <c r="AD77" s="7"/>
      <c r="AE77" s="7"/>
    </row>
    <row r="78" spans="1:32" ht="11.25" x14ac:dyDescent="0.25">
      <c r="A78" s="307" t="s">
        <v>96</v>
      </c>
      <c r="B78" s="307"/>
      <c r="C78" s="277"/>
      <c r="D78" s="277"/>
      <c r="E78" s="277"/>
      <c r="F78" s="26"/>
      <c r="G78" s="26"/>
      <c r="H78" s="7"/>
      <c r="I78" s="7"/>
      <c r="J78" s="7"/>
      <c r="K78" s="7"/>
      <c r="L78" s="7"/>
      <c r="M78" s="7"/>
      <c r="N78" s="7"/>
      <c r="O78" s="7"/>
      <c r="P78" s="7"/>
      <c r="Q78" s="7"/>
      <c r="R78" s="7"/>
      <c r="S78" s="7"/>
      <c r="T78" s="7"/>
      <c r="U78" s="7"/>
      <c r="V78" s="7"/>
      <c r="W78" s="7"/>
      <c r="X78" s="7"/>
      <c r="Y78" s="7"/>
      <c r="Z78" s="7"/>
      <c r="AA78" s="7"/>
      <c r="AB78" s="7"/>
      <c r="AC78" s="7"/>
      <c r="AD78" s="7"/>
      <c r="AE78" s="7"/>
    </row>
    <row r="79" spans="1:32" ht="26.45" customHeight="1" x14ac:dyDescent="0.25">
      <c r="A79" s="307" t="s">
        <v>381</v>
      </c>
      <c r="B79" s="307"/>
      <c r="C79" s="307"/>
      <c r="D79" s="277"/>
      <c r="E79" s="277"/>
      <c r="F79" s="277"/>
      <c r="G79" s="277"/>
      <c r="H79" s="27"/>
      <c r="I79" s="27"/>
      <c r="J79" s="27"/>
      <c r="K79" s="27"/>
      <c r="L79" s="7"/>
      <c r="M79" s="7"/>
      <c r="N79" s="7"/>
      <c r="O79" s="7"/>
      <c r="P79" s="7"/>
      <c r="Q79" s="7"/>
      <c r="R79" s="7"/>
      <c r="S79" s="7"/>
      <c r="T79" s="7"/>
      <c r="U79" s="7"/>
      <c r="V79" s="7"/>
      <c r="W79" s="7"/>
      <c r="X79" s="7"/>
      <c r="Y79" s="7"/>
      <c r="Z79" s="7"/>
      <c r="AA79" s="7"/>
      <c r="AB79" s="7"/>
      <c r="AC79" s="7"/>
      <c r="AD79" s="7"/>
      <c r="AE79" s="7"/>
    </row>
    <row r="80" spans="1:32" ht="26.45" customHeight="1" x14ac:dyDescent="0.25">
      <c r="A80" s="307" t="s">
        <v>382</v>
      </c>
      <c r="B80" s="307"/>
      <c r="C80" s="307"/>
      <c r="D80" s="277"/>
      <c r="E80" s="277"/>
      <c r="F80" s="277"/>
      <c r="G80" s="277"/>
      <c r="H80" s="27"/>
      <c r="I80" s="27"/>
      <c r="J80" s="27"/>
      <c r="K80" s="27"/>
      <c r="L80" s="7"/>
      <c r="M80" s="7"/>
      <c r="N80" s="7"/>
      <c r="O80" s="7"/>
      <c r="P80" s="7"/>
      <c r="Q80" s="7"/>
      <c r="R80" s="7"/>
      <c r="S80" s="7"/>
      <c r="T80" s="7"/>
      <c r="U80" s="7"/>
      <c r="V80" s="7"/>
      <c r="W80" s="7"/>
      <c r="X80" s="7"/>
      <c r="Y80" s="7"/>
      <c r="Z80" s="7"/>
      <c r="AA80" s="7"/>
      <c r="AB80" s="7"/>
      <c r="AC80" s="7"/>
      <c r="AD80" s="7"/>
      <c r="AE80" s="7"/>
    </row>
    <row r="81" spans="1:32" ht="26.45" customHeight="1" x14ac:dyDescent="0.25">
      <c r="A81" s="307" t="s">
        <v>151</v>
      </c>
      <c r="B81" s="307"/>
      <c r="C81" s="307"/>
      <c r="D81" s="277"/>
      <c r="E81" s="277"/>
      <c r="F81" s="277"/>
      <c r="G81" s="277"/>
      <c r="H81" s="27"/>
      <c r="I81" s="27"/>
      <c r="J81" s="27"/>
      <c r="K81" s="27"/>
      <c r="L81" s="7"/>
      <c r="M81" s="7"/>
      <c r="N81" s="7"/>
      <c r="O81" s="7"/>
      <c r="P81" s="7"/>
      <c r="Q81" s="7"/>
      <c r="R81" s="7"/>
      <c r="S81" s="7"/>
      <c r="T81" s="7"/>
      <c r="U81" s="7"/>
      <c r="V81" s="7"/>
      <c r="W81" s="7"/>
      <c r="X81" s="7"/>
      <c r="Y81" s="7"/>
      <c r="Z81" s="7"/>
      <c r="AA81" s="7"/>
      <c r="AB81" s="7"/>
      <c r="AC81" s="7"/>
      <c r="AD81" s="7"/>
      <c r="AE81" s="7"/>
    </row>
    <row r="82" spans="1:32" ht="46.5" customHeight="1" x14ac:dyDescent="0.25">
      <c r="A82" s="307" t="s">
        <v>384</v>
      </c>
      <c r="B82" s="307"/>
      <c r="C82" s="307"/>
      <c r="D82" s="307"/>
      <c r="E82" s="307"/>
      <c r="F82" s="307"/>
      <c r="G82" s="307"/>
      <c r="H82" s="28"/>
      <c r="I82" s="28"/>
      <c r="J82" s="28"/>
      <c r="K82" s="29"/>
      <c r="L82" s="29"/>
      <c r="M82" s="29"/>
      <c r="N82" s="29"/>
      <c r="O82" s="29"/>
      <c r="P82" s="29"/>
      <c r="Q82" s="29"/>
      <c r="R82" s="29"/>
      <c r="S82" s="29"/>
      <c r="T82" s="29"/>
      <c r="U82" s="29"/>
      <c r="V82" s="29"/>
      <c r="W82" s="29"/>
      <c r="X82" s="29"/>
      <c r="Y82" s="29"/>
      <c r="Z82" s="29"/>
      <c r="AA82" s="29"/>
      <c r="AB82" s="29"/>
      <c r="AC82" s="29"/>
      <c r="AD82" s="29"/>
      <c r="AE82" s="29"/>
      <c r="AF82" s="29"/>
    </row>
    <row r="83" spans="1:32" ht="19.899999999999999" customHeight="1" x14ac:dyDescent="0.25">
      <c r="A83" s="276"/>
      <c r="B83" s="276"/>
      <c r="C83" s="276"/>
      <c r="D83" s="276"/>
      <c r="E83" s="276"/>
      <c r="F83" s="276"/>
      <c r="G83" s="276"/>
      <c r="H83" s="28"/>
      <c r="I83" s="28"/>
      <c r="J83" s="28"/>
      <c r="K83" s="7"/>
      <c r="L83" s="7"/>
      <c r="M83" s="7"/>
      <c r="N83" s="7"/>
      <c r="O83" s="7"/>
      <c r="P83" s="7"/>
      <c r="Q83" s="7"/>
      <c r="R83" s="7"/>
      <c r="S83" s="7"/>
      <c r="T83" s="7"/>
      <c r="U83" s="7"/>
      <c r="V83" s="7"/>
      <c r="W83" s="7"/>
      <c r="X83" s="7"/>
      <c r="Y83" s="7"/>
      <c r="Z83" s="7"/>
      <c r="AA83" s="7"/>
      <c r="AB83" s="7"/>
      <c r="AC83" s="7"/>
      <c r="AD83" s="7"/>
      <c r="AE83" s="7"/>
    </row>
    <row r="84" spans="1:32" ht="6.75" customHeight="1" x14ac:dyDescent="0.25">
      <c r="A84" s="7"/>
      <c r="B84" s="7"/>
      <c r="C84" s="7"/>
      <c r="D84" s="7"/>
      <c r="E84" s="7"/>
      <c r="F84" s="7"/>
      <c r="G84" s="7"/>
      <c r="H84" s="7"/>
      <c r="I84" s="7"/>
      <c r="J84" s="7"/>
      <c r="K84" s="7"/>
      <c r="L84" s="7"/>
      <c r="M84" s="7"/>
      <c r="N84" s="7"/>
      <c r="O84" s="7"/>
      <c r="P84" s="7"/>
      <c r="Q84" s="7"/>
      <c r="R84" s="7"/>
      <c r="S84" s="7"/>
      <c r="T84" s="7"/>
      <c r="U84" s="7"/>
      <c r="V84" s="7"/>
      <c r="W84" s="7"/>
      <c r="X84" s="7"/>
      <c r="Y84" s="7"/>
      <c r="Z84" s="7"/>
      <c r="AA84" s="7"/>
      <c r="AB84" s="7"/>
      <c r="AC84" s="7"/>
      <c r="AD84" s="7"/>
      <c r="AE84" s="7"/>
    </row>
    <row r="85" spans="1:32" ht="0" hidden="1" customHeight="1" x14ac:dyDescent="0.25"/>
    <row r="86" spans="1:32" ht="0" hidden="1" customHeight="1" x14ac:dyDescent="0.25"/>
    <row r="87" spans="1:32" ht="0" hidden="1" customHeight="1" x14ac:dyDescent="0.25"/>
    <row r="88" spans="1:32" ht="0" hidden="1" customHeight="1" x14ac:dyDescent="0.25"/>
    <row r="89" spans="1:32" ht="0" hidden="1" customHeight="1" x14ac:dyDescent="0.25"/>
    <row r="90" spans="1:32" ht="0" hidden="1" customHeight="1" x14ac:dyDescent="0.25"/>
    <row r="91" spans="1:32" ht="0" hidden="1" customHeight="1" x14ac:dyDescent="0.25"/>
    <row r="92" spans="1:32" ht="0" hidden="1" customHeight="1" x14ac:dyDescent="0.25"/>
    <row r="93" spans="1:32" ht="0" hidden="1" customHeight="1" x14ac:dyDescent="0.25"/>
    <row r="94" spans="1:32" ht="0" hidden="1" customHeight="1" x14ac:dyDescent="0.25"/>
  </sheetData>
  <mergeCells count="37">
    <mergeCell ref="AE4:AE5"/>
    <mergeCell ref="G4:G5"/>
    <mergeCell ref="H4:H5"/>
    <mergeCell ref="I4:I5"/>
    <mergeCell ref="M4:M5"/>
    <mergeCell ref="V4:V5"/>
    <mergeCell ref="N4:N5"/>
    <mergeCell ref="Z4:Z5"/>
    <mergeCell ref="AA4:AA5"/>
    <mergeCell ref="J4:J5"/>
    <mergeCell ref="O4:O5"/>
    <mergeCell ref="P4:P5"/>
    <mergeCell ref="W4:W5"/>
    <mergeCell ref="Q4:Q5"/>
    <mergeCell ref="AD4:AD5"/>
    <mergeCell ref="AC4:AC5"/>
    <mergeCell ref="A82:G82"/>
    <mergeCell ref="X4:X5"/>
    <mergeCell ref="Y4:Y5"/>
    <mergeCell ref="U4:U5"/>
    <mergeCell ref="T4:T5"/>
    <mergeCell ref="S4:S5"/>
    <mergeCell ref="R4:R5"/>
    <mergeCell ref="A79:C79"/>
    <mergeCell ref="A80:C80"/>
    <mergeCell ref="A81:C81"/>
    <mergeCell ref="A78:B78"/>
    <mergeCell ref="K4:K5"/>
    <mergeCell ref="A4:A5"/>
    <mergeCell ref="L4:L5"/>
    <mergeCell ref="F4:F5"/>
    <mergeCell ref="AB4:AB5"/>
    <mergeCell ref="A2:C2"/>
    <mergeCell ref="B4:B5"/>
    <mergeCell ref="C4:C5"/>
    <mergeCell ref="D4:D5"/>
    <mergeCell ref="E4:E5"/>
  </mergeCells>
  <pageMargins left="0.74803149606299213" right="0.74803149606299213" top="0.98425196850393704" bottom="0.98425196850393704" header="0" footer="0"/>
  <pageSetup paperSize="9" scale="65" fitToWidth="19" orientation="portrait" r:id="rId1"/>
  <headerFooter alignWithMargins="0"/>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33"/>
  <dimension ref="A1:DW94"/>
  <sheetViews>
    <sheetView zoomScale="115" zoomScaleNormal="115" workbookViewId="0">
      <pane xSplit="2" ySplit="5" topLeftCell="C6" activePane="bottomRight" state="frozen"/>
      <selection activeCell="C6" sqref="C6"/>
      <selection pane="topRight" activeCell="C6" sqref="C6"/>
      <selection pane="bottomLeft" activeCell="C6" sqref="C6"/>
      <selection pane="bottomRight" activeCell="C6" sqref="C6"/>
    </sheetView>
  </sheetViews>
  <sheetFormatPr baseColWidth="10" defaultColWidth="0" defaultRowHeight="0" customHeight="1" zeroHeight="1" x14ac:dyDescent="0.25"/>
  <cols>
    <col min="1" max="1" width="5.7109375" style="8" customWidth="1"/>
    <col min="2" max="2" width="62.7109375" style="8" customWidth="1"/>
    <col min="3" max="4" width="11.140625" style="30" customWidth="1"/>
    <col min="5" max="6" width="11.140625" style="8" customWidth="1"/>
    <col min="7" max="7" width="11.140625" style="31" customWidth="1"/>
    <col min="8" max="31" width="11.140625" style="8" customWidth="1"/>
    <col min="32" max="32" width="5.42578125" style="7" customWidth="1"/>
    <col min="33" max="127" width="0" style="8" hidden="1" customWidth="1"/>
    <col min="128" max="16384" width="5.42578125" style="8" hidden="1"/>
  </cols>
  <sheetData>
    <row r="1" spans="1:32" s="5" customFormat="1" ht="25.5" customHeight="1" thickBot="1" x14ac:dyDescent="0.25">
      <c r="A1" s="1"/>
      <c r="B1" s="2"/>
      <c r="C1" s="3"/>
      <c r="D1" s="172" t="s">
        <v>0</v>
      </c>
      <c r="E1" s="171"/>
      <c r="F1" s="171"/>
      <c r="G1" s="173"/>
      <c r="H1" s="171"/>
      <c r="I1" s="171"/>
      <c r="J1" s="171"/>
      <c r="K1" s="171"/>
      <c r="L1" s="171"/>
      <c r="M1" s="171"/>
      <c r="N1" s="171"/>
      <c r="O1" s="171"/>
      <c r="P1" s="171"/>
      <c r="Q1" s="171"/>
      <c r="R1" s="171"/>
      <c r="S1" s="171"/>
      <c r="T1" s="171"/>
      <c r="U1" s="171"/>
      <c r="V1" s="171"/>
      <c r="W1" s="171"/>
      <c r="X1" s="171"/>
      <c r="Y1" s="171"/>
      <c r="Z1" s="171"/>
      <c r="AA1" s="171"/>
      <c r="AB1" s="171"/>
      <c r="AC1" s="171"/>
      <c r="AD1" s="171"/>
      <c r="AE1" s="171"/>
      <c r="AF1" s="2"/>
    </row>
    <row r="2" spans="1:32" ht="22.5" customHeight="1" thickBot="1" x14ac:dyDescent="0.3">
      <c r="A2" s="303" t="s">
        <v>124</v>
      </c>
      <c r="B2" s="304"/>
      <c r="C2" s="304"/>
      <c r="D2" s="140"/>
      <c r="E2" s="140"/>
      <c r="F2" s="140"/>
      <c r="G2" s="140"/>
      <c r="H2" s="140"/>
      <c r="I2" s="140"/>
      <c r="J2" s="140"/>
      <c r="K2" s="140"/>
      <c r="L2" s="140"/>
      <c r="M2" s="140"/>
      <c r="N2" s="140"/>
      <c r="O2" s="140"/>
      <c r="P2" s="140"/>
      <c r="Q2" s="140"/>
      <c r="R2" s="140"/>
      <c r="S2" s="140"/>
      <c r="T2" s="140"/>
      <c r="U2" s="140"/>
      <c r="V2" s="140"/>
      <c r="W2" s="140"/>
      <c r="X2" s="140"/>
      <c r="Y2" s="140"/>
      <c r="Z2" s="140"/>
      <c r="AA2" s="140"/>
      <c r="AB2" s="140"/>
      <c r="AC2" s="140"/>
      <c r="AD2" s="140"/>
      <c r="AE2" s="141"/>
    </row>
    <row r="3" spans="1:32" ht="16.5" customHeight="1" thickBot="1" x14ac:dyDescent="0.25">
      <c r="A3" s="142" t="s">
        <v>299</v>
      </c>
      <c r="B3" s="57"/>
      <c r="C3" s="57"/>
      <c r="D3" s="58"/>
      <c r="E3" s="58"/>
      <c r="F3" s="58"/>
      <c r="G3" s="58"/>
      <c r="H3" s="59"/>
      <c r="I3" s="59"/>
      <c r="J3" s="59"/>
      <c r="K3" s="59"/>
      <c r="L3" s="59"/>
      <c r="M3" s="59"/>
      <c r="N3" s="59"/>
      <c r="O3" s="59"/>
      <c r="P3" s="59"/>
      <c r="Q3" s="59"/>
      <c r="R3" s="59"/>
      <c r="S3" s="59"/>
      <c r="T3" s="59"/>
      <c r="U3" s="59"/>
      <c r="V3" s="59"/>
      <c r="W3" s="59"/>
      <c r="X3" s="59"/>
      <c r="Y3" s="59"/>
      <c r="Z3" s="59"/>
      <c r="AA3" s="59"/>
      <c r="AB3" s="59"/>
      <c r="AC3" s="59"/>
      <c r="AD3" s="59"/>
      <c r="AE3" s="143"/>
    </row>
    <row r="4" spans="1:32" ht="15.75" customHeight="1" x14ac:dyDescent="0.25">
      <c r="A4" s="310"/>
      <c r="B4" s="308" t="s">
        <v>2</v>
      </c>
      <c r="C4" s="301">
        <v>1996</v>
      </c>
      <c r="D4" s="301">
        <v>1997</v>
      </c>
      <c r="E4" s="301">
        <v>1998</v>
      </c>
      <c r="F4" s="301">
        <v>1999</v>
      </c>
      <c r="G4" s="301">
        <v>2000</v>
      </c>
      <c r="H4" s="301">
        <v>2001</v>
      </c>
      <c r="I4" s="301">
        <v>2002</v>
      </c>
      <c r="J4" s="301">
        <v>2003</v>
      </c>
      <c r="K4" s="301">
        <v>2004</v>
      </c>
      <c r="L4" s="301">
        <v>2005</v>
      </c>
      <c r="M4" s="301">
        <v>2006</v>
      </c>
      <c r="N4" s="301">
        <v>2007</v>
      </c>
      <c r="O4" s="301">
        <v>2008</v>
      </c>
      <c r="P4" s="301">
        <v>2009</v>
      </c>
      <c r="Q4" s="301">
        <v>2010</v>
      </c>
      <c r="R4" s="301">
        <v>2011</v>
      </c>
      <c r="S4" s="301">
        <v>2012</v>
      </c>
      <c r="T4" s="301">
        <v>2013</v>
      </c>
      <c r="U4" s="301">
        <v>2014</v>
      </c>
      <c r="V4" s="301">
        <v>2015</v>
      </c>
      <c r="W4" s="301">
        <v>2016</v>
      </c>
      <c r="X4" s="301">
        <v>2017</v>
      </c>
      <c r="Y4" s="301">
        <v>2018</v>
      </c>
      <c r="Z4" s="301">
        <v>2019</v>
      </c>
      <c r="AA4" s="301">
        <v>2020</v>
      </c>
      <c r="AB4" s="301">
        <v>2021</v>
      </c>
      <c r="AC4" s="301">
        <v>2022</v>
      </c>
      <c r="AD4" s="301">
        <v>2023</v>
      </c>
      <c r="AE4" s="299">
        <v>2024</v>
      </c>
    </row>
    <row r="5" spans="1:32" ht="15.75" customHeight="1" thickBot="1" x14ac:dyDescent="0.3">
      <c r="A5" s="311"/>
      <c r="B5" s="309"/>
      <c r="C5" s="302"/>
      <c r="D5" s="302" t="s">
        <v>3</v>
      </c>
      <c r="E5" s="302"/>
      <c r="F5" s="302" t="s">
        <v>4</v>
      </c>
      <c r="G5" s="302"/>
      <c r="H5" s="302" t="s">
        <v>5</v>
      </c>
      <c r="I5" s="302"/>
      <c r="J5" s="302" t="s">
        <v>6</v>
      </c>
      <c r="K5" s="302"/>
      <c r="L5" s="302" t="s">
        <v>7</v>
      </c>
      <c r="M5" s="302"/>
      <c r="N5" s="302" t="s">
        <v>8</v>
      </c>
      <c r="O5" s="302"/>
      <c r="P5" s="302" t="s">
        <v>9</v>
      </c>
      <c r="Q5" s="302"/>
      <c r="R5" s="302" t="s">
        <v>10</v>
      </c>
      <c r="S5" s="302"/>
      <c r="T5" s="302"/>
      <c r="U5" s="302"/>
      <c r="V5" s="302"/>
      <c r="W5" s="302"/>
      <c r="X5" s="302"/>
      <c r="Y5" s="302"/>
      <c r="Z5" s="302"/>
      <c r="AA5" s="302"/>
      <c r="AB5" s="302"/>
      <c r="AC5" s="302"/>
      <c r="AD5" s="302"/>
      <c r="AE5" s="300"/>
    </row>
    <row r="6" spans="1:32" s="11" customFormat="1" ht="15" customHeight="1" thickBot="1" x14ac:dyDescent="0.3">
      <c r="A6" s="144" t="s">
        <v>11</v>
      </c>
      <c r="B6" s="9" t="s">
        <v>12</v>
      </c>
      <c r="C6" s="64">
        <v>598</v>
      </c>
      <c r="D6" s="64">
        <v>569</v>
      </c>
      <c r="E6" s="64">
        <v>682</v>
      </c>
      <c r="F6" s="64">
        <v>696</v>
      </c>
      <c r="G6" s="64">
        <v>566</v>
      </c>
      <c r="H6" s="64">
        <v>561</v>
      </c>
      <c r="I6" s="64">
        <v>583</v>
      </c>
      <c r="J6" s="64">
        <v>630</v>
      </c>
      <c r="K6" s="64">
        <v>675</v>
      </c>
      <c r="L6" s="64">
        <v>701</v>
      </c>
      <c r="M6" s="64">
        <v>705</v>
      </c>
      <c r="N6" s="64">
        <v>718</v>
      </c>
      <c r="O6" s="64">
        <v>732</v>
      </c>
      <c r="P6" s="64">
        <v>735</v>
      </c>
      <c r="Q6" s="64">
        <v>748</v>
      </c>
      <c r="R6" s="64">
        <v>743</v>
      </c>
      <c r="S6" s="64">
        <v>709</v>
      </c>
      <c r="T6" s="64">
        <v>716</v>
      </c>
      <c r="U6" s="64">
        <v>706</v>
      </c>
      <c r="V6" s="64">
        <v>679</v>
      </c>
      <c r="W6" s="64">
        <v>679</v>
      </c>
      <c r="X6" s="64">
        <v>713</v>
      </c>
      <c r="Y6" s="64">
        <v>702</v>
      </c>
      <c r="Z6" s="64">
        <v>715</v>
      </c>
      <c r="AA6" s="64">
        <v>713</v>
      </c>
      <c r="AB6" s="64">
        <v>713</v>
      </c>
      <c r="AC6" s="64">
        <v>710</v>
      </c>
      <c r="AD6" s="64">
        <v>677</v>
      </c>
      <c r="AE6" s="145">
        <v>672</v>
      </c>
      <c r="AF6" s="10"/>
    </row>
    <row r="7" spans="1:32" ht="15" customHeight="1" x14ac:dyDescent="0.25">
      <c r="A7" s="146">
        <v>1</v>
      </c>
      <c r="B7" s="12" t="s">
        <v>13</v>
      </c>
      <c r="C7" s="68">
        <v>592</v>
      </c>
      <c r="D7" s="68">
        <v>563</v>
      </c>
      <c r="E7" s="68">
        <v>677</v>
      </c>
      <c r="F7" s="68">
        <v>691</v>
      </c>
      <c r="G7" s="68">
        <v>559</v>
      </c>
      <c r="H7" s="68">
        <v>555</v>
      </c>
      <c r="I7" s="68">
        <v>579</v>
      </c>
      <c r="J7" s="68">
        <v>626</v>
      </c>
      <c r="K7" s="68">
        <v>668</v>
      </c>
      <c r="L7" s="68">
        <v>695</v>
      </c>
      <c r="M7" s="68">
        <v>698</v>
      </c>
      <c r="N7" s="68">
        <v>708</v>
      </c>
      <c r="O7" s="68">
        <v>720</v>
      </c>
      <c r="P7" s="68">
        <v>723</v>
      </c>
      <c r="Q7" s="68">
        <v>735</v>
      </c>
      <c r="R7" s="68">
        <v>730</v>
      </c>
      <c r="S7" s="68">
        <v>697</v>
      </c>
      <c r="T7" s="68">
        <v>703</v>
      </c>
      <c r="U7" s="68">
        <v>695</v>
      </c>
      <c r="V7" s="68">
        <v>669</v>
      </c>
      <c r="W7" s="68">
        <v>669</v>
      </c>
      <c r="X7" s="68">
        <v>703</v>
      </c>
      <c r="Y7" s="68">
        <v>693</v>
      </c>
      <c r="Z7" s="68">
        <v>706</v>
      </c>
      <c r="AA7" s="68">
        <v>703</v>
      </c>
      <c r="AB7" s="68">
        <v>703</v>
      </c>
      <c r="AC7" s="68">
        <v>702</v>
      </c>
      <c r="AD7" s="68">
        <v>669</v>
      </c>
      <c r="AE7" s="147">
        <v>664</v>
      </c>
    </row>
    <row r="8" spans="1:32" ht="15" customHeight="1" thickBot="1" x14ac:dyDescent="0.3">
      <c r="A8" s="148">
        <v>2</v>
      </c>
      <c r="B8" s="13" t="s">
        <v>14</v>
      </c>
      <c r="C8" s="69">
        <v>6</v>
      </c>
      <c r="D8" s="69">
        <v>6</v>
      </c>
      <c r="E8" s="69">
        <v>5</v>
      </c>
      <c r="F8" s="69">
        <v>5</v>
      </c>
      <c r="G8" s="69">
        <v>7</v>
      </c>
      <c r="H8" s="69">
        <v>6</v>
      </c>
      <c r="I8" s="69">
        <v>4</v>
      </c>
      <c r="J8" s="69">
        <v>4</v>
      </c>
      <c r="K8" s="69">
        <v>7</v>
      </c>
      <c r="L8" s="69">
        <v>6</v>
      </c>
      <c r="M8" s="69">
        <v>7</v>
      </c>
      <c r="N8" s="69">
        <v>10</v>
      </c>
      <c r="O8" s="69">
        <v>12</v>
      </c>
      <c r="P8" s="69">
        <v>12</v>
      </c>
      <c r="Q8" s="69">
        <v>13</v>
      </c>
      <c r="R8" s="69">
        <v>13</v>
      </c>
      <c r="S8" s="69">
        <v>12</v>
      </c>
      <c r="T8" s="69">
        <v>13</v>
      </c>
      <c r="U8" s="69">
        <v>11</v>
      </c>
      <c r="V8" s="69">
        <v>10</v>
      </c>
      <c r="W8" s="69">
        <v>10</v>
      </c>
      <c r="X8" s="69">
        <v>10</v>
      </c>
      <c r="Y8" s="69">
        <v>9</v>
      </c>
      <c r="Z8" s="69">
        <v>9</v>
      </c>
      <c r="AA8" s="69">
        <v>10</v>
      </c>
      <c r="AB8" s="69">
        <v>10</v>
      </c>
      <c r="AC8" s="69">
        <v>8</v>
      </c>
      <c r="AD8" s="69">
        <v>8</v>
      </c>
      <c r="AE8" s="149">
        <v>8</v>
      </c>
    </row>
    <row r="9" spans="1:32" s="11" customFormat="1" ht="15" customHeight="1" thickBot="1" x14ac:dyDescent="0.3">
      <c r="A9" s="144" t="s">
        <v>15</v>
      </c>
      <c r="B9" s="9" t="s">
        <v>16</v>
      </c>
      <c r="C9" s="64" t="s">
        <v>383</v>
      </c>
      <c r="D9" s="64" t="s">
        <v>383</v>
      </c>
      <c r="E9" s="64" t="s">
        <v>383</v>
      </c>
      <c r="F9" s="64" t="s">
        <v>383</v>
      </c>
      <c r="G9" s="64" t="s">
        <v>383</v>
      </c>
      <c r="H9" s="64" t="s">
        <v>383</v>
      </c>
      <c r="I9" s="64" t="s">
        <v>383</v>
      </c>
      <c r="J9" s="64" t="s">
        <v>383</v>
      </c>
      <c r="K9" s="64" t="s">
        <v>383</v>
      </c>
      <c r="L9" s="64" t="s">
        <v>383</v>
      </c>
      <c r="M9" s="64" t="s">
        <v>383</v>
      </c>
      <c r="N9" s="64" t="s">
        <v>383</v>
      </c>
      <c r="O9" s="64" t="s">
        <v>383</v>
      </c>
      <c r="P9" s="64" t="s">
        <v>383</v>
      </c>
      <c r="Q9" s="64" t="s">
        <v>383</v>
      </c>
      <c r="R9" s="64" t="s">
        <v>383</v>
      </c>
      <c r="S9" s="64" t="s">
        <v>383</v>
      </c>
      <c r="T9" s="64" t="s">
        <v>383</v>
      </c>
      <c r="U9" s="64" t="s">
        <v>383</v>
      </c>
      <c r="V9" s="64" t="s">
        <v>383</v>
      </c>
      <c r="W9" s="64" t="s">
        <v>383</v>
      </c>
      <c r="X9" s="64" t="s">
        <v>383</v>
      </c>
      <c r="Y9" s="64" t="s">
        <v>383</v>
      </c>
      <c r="Z9" s="64" t="s">
        <v>383</v>
      </c>
      <c r="AA9" s="64" t="s">
        <v>383</v>
      </c>
      <c r="AB9" s="64" t="s">
        <v>383</v>
      </c>
      <c r="AC9" s="64" t="s">
        <v>383</v>
      </c>
      <c r="AD9" s="64" t="s">
        <v>383</v>
      </c>
      <c r="AE9" s="145" t="s">
        <v>383</v>
      </c>
      <c r="AF9" s="10"/>
    </row>
    <row r="10" spans="1:32" ht="15" customHeight="1" thickBot="1" x14ac:dyDescent="0.3">
      <c r="A10" s="150">
        <v>5</v>
      </c>
      <c r="B10" s="14" t="s">
        <v>17</v>
      </c>
      <c r="C10" s="67" t="s">
        <v>383</v>
      </c>
      <c r="D10" s="67" t="s">
        <v>383</v>
      </c>
      <c r="E10" s="67" t="s">
        <v>383</v>
      </c>
      <c r="F10" s="67" t="s">
        <v>383</v>
      </c>
      <c r="G10" s="67" t="s">
        <v>383</v>
      </c>
      <c r="H10" s="67" t="s">
        <v>383</v>
      </c>
      <c r="I10" s="67" t="s">
        <v>383</v>
      </c>
      <c r="J10" s="67" t="s">
        <v>383</v>
      </c>
      <c r="K10" s="67" t="s">
        <v>383</v>
      </c>
      <c r="L10" s="67" t="s">
        <v>383</v>
      </c>
      <c r="M10" s="67" t="s">
        <v>383</v>
      </c>
      <c r="N10" s="67" t="s">
        <v>383</v>
      </c>
      <c r="O10" s="67" t="s">
        <v>383</v>
      </c>
      <c r="P10" s="67" t="s">
        <v>383</v>
      </c>
      <c r="Q10" s="67" t="s">
        <v>383</v>
      </c>
      <c r="R10" s="67" t="s">
        <v>383</v>
      </c>
      <c r="S10" s="67" t="s">
        <v>383</v>
      </c>
      <c r="T10" s="67" t="s">
        <v>383</v>
      </c>
      <c r="U10" s="67" t="s">
        <v>383</v>
      </c>
      <c r="V10" s="67" t="s">
        <v>383</v>
      </c>
      <c r="W10" s="67" t="s">
        <v>383</v>
      </c>
      <c r="X10" s="67" t="s">
        <v>383</v>
      </c>
      <c r="Y10" s="67" t="s">
        <v>383</v>
      </c>
      <c r="Z10" s="67" t="s">
        <v>383</v>
      </c>
      <c r="AA10" s="67" t="s">
        <v>383</v>
      </c>
      <c r="AB10" s="67" t="s">
        <v>383</v>
      </c>
      <c r="AC10" s="67" t="s">
        <v>383</v>
      </c>
      <c r="AD10" s="67" t="s">
        <v>383</v>
      </c>
      <c r="AE10" s="151" t="s">
        <v>383</v>
      </c>
    </row>
    <row r="11" spans="1:32" s="11" customFormat="1" ht="15" customHeight="1" thickBot="1" x14ac:dyDescent="0.3">
      <c r="A11" s="144" t="s">
        <v>18</v>
      </c>
      <c r="B11" s="9" t="s">
        <v>19</v>
      </c>
      <c r="C11" s="64">
        <v>34</v>
      </c>
      <c r="D11" s="64">
        <v>27</v>
      </c>
      <c r="E11" s="64">
        <v>26</v>
      </c>
      <c r="F11" s="64">
        <v>28</v>
      </c>
      <c r="G11" s="64">
        <v>23</v>
      </c>
      <c r="H11" s="64">
        <v>20</v>
      </c>
      <c r="I11" s="64">
        <v>18</v>
      </c>
      <c r="J11" s="64">
        <v>19</v>
      </c>
      <c r="K11" s="64">
        <v>17</v>
      </c>
      <c r="L11" s="64">
        <v>23</v>
      </c>
      <c r="M11" s="64">
        <v>29</v>
      </c>
      <c r="N11" s="64">
        <v>37</v>
      </c>
      <c r="O11" s="64">
        <v>38</v>
      </c>
      <c r="P11" s="64">
        <v>33</v>
      </c>
      <c r="Q11" s="64">
        <v>34</v>
      </c>
      <c r="R11" s="64">
        <v>33</v>
      </c>
      <c r="S11" s="64">
        <v>29</v>
      </c>
      <c r="T11" s="64">
        <v>31</v>
      </c>
      <c r="U11" s="64">
        <v>29</v>
      </c>
      <c r="V11" s="64">
        <v>35</v>
      </c>
      <c r="W11" s="64">
        <v>37</v>
      </c>
      <c r="X11" s="64">
        <v>34</v>
      </c>
      <c r="Y11" s="64">
        <v>26</v>
      </c>
      <c r="Z11" s="64">
        <v>28</v>
      </c>
      <c r="AA11" s="64">
        <v>25</v>
      </c>
      <c r="AB11" s="64">
        <v>25</v>
      </c>
      <c r="AC11" s="64">
        <v>27</v>
      </c>
      <c r="AD11" s="64">
        <v>30</v>
      </c>
      <c r="AE11" s="145">
        <v>27</v>
      </c>
      <c r="AF11" s="10"/>
    </row>
    <row r="12" spans="1:32" ht="15" customHeight="1" x14ac:dyDescent="0.25">
      <c r="A12" s="152">
        <v>11</v>
      </c>
      <c r="B12" s="15" t="s">
        <v>20</v>
      </c>
      <c r="C12" s="68" t="s">
        <v>383</v>
      </c>
      <c r="D12" s="68" t="s">
        <v>383</v>
      </c>
      <c r="E12" s="68" t="s">
        <v>383</v>
      </c>
      <c r="F12" s="68">
        <v>8</v>
      </c>
      <c r="G12" s="68" t="s">
        <v>383</v>
      </c>
      <c r="H12" s="68" t="s">
        <v>383</v>
      </c>
      <c r="I12" s="68" t="s">
        <v>383</v>
      </c>
      <c r="J12" s="68" t="s">
        <v>383</v>
      </c>
      <c r="K12" s="68" t="s">
        <v>383</v>
      </c>
      <c r="L12" s="68" t="s">
        <v>383</v>
      </c>
      <c r="M12" s="68" t="s">
        <v>383</v>
      </c>
      <c r="N12" s="68" t="s">
        <v>383</v>
      </c>
      <c r="O12" s="68" t="s">
        <v>383</v>
      </c>
      <c r="P12" s="68" t="s">
        <v>383</v>
      </c>
      <c r="Q12" s="68" t="s">
        <v>383</v>
      </c>
      <c r="R12" s="68" t="s">
        <v>383</v>
      </c>
      <c r="S12" s="68" t="s">
        <v>383</v>
      </c>
      <c r="T12" s="68" t="s">
        <v>383</v>
      </c>
      <c r="U12" s="68" t="s">
        <v>383</v>
      </c>
      <c r="V12" s="68" t="s">
        <v>383</v>
      </c>
      <c r="W12" s="68" t="s">
        <v>383</v>
      </c>
      <c r="X12" s="68" t="s">
        <v>383</v>
      </c>
      <c r="Y12" s="68" t="s">
        <v>383</v>
      </c>
      <c r="Z12" s="68" t="s">
        <v>383</v>
      </c>
      <c r="AA12" s="68">
        <v>5</v>
      </c>
      <c r="AB12" s="68" t="s">
        <v>383</v>
      </c>
      <c r="AC12" s="68" t="s">
        <v>383</v>
      </c>
      <c r="AD12" s="68" t="s">
        <v>383</v>
      </c>
      <c r="AE12" s="153" t="s">
        <v>383</v>
      </c>
    </row>
    <row r="13" spans="1:32" ht="15" customHeight="1" x14ac:dyDescent="0.25">
      <c r="A13" s="154">
        <v>13</v>
      </c>
      <c r="B13" s="16" t="s">
        <v>21</v>
      </c>
      <c r="C13" s="69" t="s">
        <v>383</v>
      </c>
      <c r="D13" s="69" t="s">
        <v>383</v>
      </c>
      <c r="E13" s="69" t="s">
        <v>383</v>
      </c>
      <c r="F13" s="69" t="s">
        <v>383</v>
      </c>
      <c r="G13" s="69" t="s">
        <v>383</v>
      </c>
      <c r="H13" s="69" t="s">
        <v>383</v>
      </c>
      <c r="I13" s="69" t="s">
        <v>383</v>
      </c>
      <c r="J13" s="69" t="s">
        <v>383</v>
      </c>
      <c r="K13" s="69" t="s">
        <v>383</v>
      </c>
      <c r="L13" s="69" t="s">
        <v>383</v>
      </c>
      <c r="M13" s="69" t="s">
        <v>383</v>
      </c>
      <c r="N13" s="69" t="s">
        <v>383</v>
      </c>
      <c r="O13" s="69" t="s">
        <v>383</v>
      </c>
      <c r="P13" s="69" t="s">
        <v>383</v>
      </c>
      <c r="Q13" s="69" t="s">
        <v>383</v>
      </c>
      <c r="R13" s="69" t="s">
        <v>383</v>
      </c>
      <c r="S13" s="69" t="s">
        <v>383</v>
      </c>
      <c r="T13" s="69" t="s">
        <v>383</v>
      </c>
      <c r="U13" s="69" t="s">
        <v>383</v>
      </c>
      <c r="V13" s="69" t="s">
        <v>383</v>
      </c>
      <c r="W13" s="69" t="s">
        <v>383</v>
      </c>
      <c r="X13" s="69" t="s">
        <v>383</v>
      </c>
      <c r="Y13" s="69" t="s">
        <v>383</v>
      </c>
      <c r="Z13" s="69" t="s">
        <v>383</v>
      </c>
      <c r="AA13" s="69" t="s">
        <v>383</v>
      </c>
      <c r="AB13" s="69" t="s">
        <v>383</v>
      </c>
      <c r="AC13" s="69" t="s">
        <v>383</v>
      </c>
      <c r="AD13" s="69" t="s">
        <v>383</v>
      </c>
      <c r="AE13" s="155" t="s">
        <v>383</v>
      </c>
    </row>
    <row r="14" spans="1:32" ht="15" customHeight="1" thickBot="1" x14ac:dyDescent="0.3">
      <c r="A14" s="152">
        <v>14</v>
      </c>
      <c r="B14" s="15" t="s">
        <v>22</v>
      </c>
      <c r="C14" s="68">
        <v>24</v>
      </c>
      <c r="D14" s="68">
        <v>21</v>
      </c>
      <c r="E14" s="68">
        <v>18</v>
      </c>
      <c r="F14" s="68" t="s">
        <v>383</v>
      </c>
      <c r="G14" s="68">
        <v>19</v>
      </c>
      <c r="H14" s="68">
        <v>16</v>
      </c>
      <c r="I14" s="68">
        <v>16</v>
      </c>
      <c r="J14" s="68">
        <v>15</v>
      </c>
      <c r="K14" s="68">
        <v>13</v>
      </c>
      <c r="L14" s="68">
        <v>19</v>
      </c>
      <c r="M14" s="68">
        <v>26</v>
      </c>
      <c r="N14" s="68">
        <v>33</v>
      </c>
      <c r="O14" s="68">
        <v>34</v>
      </c>
      <c r="P14" s="68">
        <v>28</v>
      </c>
      <c r="Q14" s="68">
        <v>28</v>
      </c>
      <c r="R14" s="68">
        <v>29</v>
      </c>
      <c r="S14" s="68">
        <v>26</v>
      </c>
      <c r="T14" s="68">
        <v>25</v>
      </c>
      <c r="U14" s="68">
        <v>25</v>
      </c>
      <c r="V14" s="68">
        <v>31</v>
      </c>
      <c r="W14" s="68">
        <v>33</v>
      </c>
      <c r="X14" s="68">
        <v>29</v>
      </c>
      <c r="Y14" s="68">
        <v>22</v>
      </c>
      <c r="Z14" s="68">
        <v>22</v>
      </c>
      <c r="AA14" s="68" t="s">
        <v>383</v>
      </c>
      <c r="AB14" s="68">
        <v>22</v>
      </c>
      <c r="AC14" s="68">
        <v>24</v>
      </c>
      <c r="AD14" s="68">
        <v>28</v>
      </c>
      <c r="AE14" s="153">
        <v>25</v>
      </c>
    </row>
    <row r="15" spans="1:32" s="11" customFormat="1" ht="15" customHeight="1" thickBot="1" x14ac:dyDescent="0.3">
      <c r="A15" s="144" t="s">
        <v>23</v>
      </c>
      <c r="B15" s="9" t="s">
        <v>24</v>
      </c>
      <c r="C15" s="64">
        <v>639</v>
      </c>
      <c r="D15" s="64">
        <v>653</v>
      </c>
      <c r="E15" s="64">
        <v>711</v>
      </c>
      <c r="F15" s="64">
        <v>733</v>
      </c>
      <c r="G15" s="64">
        <v>607</v>
      </c>
      <c r="H15" s="64">
        <v>553</v>
      </c>
      <c r="I15" s="64">
        <v>505</v>
      </c>
      <c r="J15" s="64">
        <v>503</v>
      </c>
      <c r="K15" s="64">
        <v>516</v>
      </c>
      <c r="L15" s="64">
        <v>520</v>
      </c>
      <c r="M15" s="64">
        <v>530</v>
      </c>
      <c r="N15" s="64">
        <v>550</v>
      </c>
      <c r="O15" s="64">
        <v>550</v>
      </c>
      <c r="P15" s="64">
        <v>558</v>
      </c>
      <c r="Q15" s="64">
        <v>544</v>
      </c>
      <c r="R15" s="64">
        <v>544</v>
      </c>
      <c r="S15" s="64">
        <v>553</v>
      </c>
      <c r="T15" s="64">
        <v>583</v>
      </c>
      <c r="U15" s="64">
        <v>582</v>
      </c>
      <c r="V15" s="64">
        <v>586</v>
      </c>
      <c r="W15" s="64">
        <v>559</v>
      </c>
      <c r="X15" s="64">
        <v>550</v>
      </c>
      <c r="Y15" s="64">
        <v>528</v>
      </c>
      <c r="Z15" s="64">
        <v>498</v>
      </c>
      <c r="AA15" s="64">
        <v>483</v>
      </c>
      <c r="AB15" s="64">
        <v>480</v>
      </c>
      <c r="AC15" s="64">
        <v>496</v>
      </c>
      <c r="AD15" s="64">
        <v>485</v>
      </c>
      <c r="AE15" s="145">
        <v>490</v>
      </c>
      <c r="AF15" s="10"/>
    </row>
    <row r="16" spans="1:32" ht="15" customHeight="1" x14ac:dyDescent="0.25">
      <c r="A16" s="152">
        <v>15</v>
      </c>
      <c r="B16" s="15" t="s">
        <v>25</v>
      </c>
      <c r="C16" s="68">
        <v>108</v>
      </c>
      <c r="D16" s="68">
        <v>112</v>
      </c>
      <c r="E16" s="68">
        <v>134</v>
      </c>
      <c r="F16" s="68">
        <v>146</v>
      </c>
      <c r="G16" s="68">
        <v>118</v>
      </c>
      <c r="H16" s="68">
        <v>110</v>
      </c>
      <c r="I16" s="68">
        <v>96</v>
      </c>
      <c r="J16" s="68">
        <v>102</v>
      </c>
      <c r="K16" s="68">
        <v>110</v>
      </c>
      <c r="L16" s="68">
        <v>114</v>
      </c>
      <c r="M16" s="68">
        <v>125</v>
      </c>
      <c r="N16" s="68">
        <v>132</v>
      </c>
      <c r="O16" s="68">
        <v>133</v>
      </c>
      <c r="P16" s="68">
        <v>146</v>
      </c>
      <c r="Q16" s="68">
        <v>143</v>
      </c>
      <c r="R16" s="68">
        <v>151</v>
      </c>
      <c r="S16" s="68">
        <v>158</v>
      </c>
      <c r="T16" s="68">
        <v>175</v>
      </c>
      <c r="U16" s="68">
        <v>175</v>
      </c>
      <c r="V16" s="68">
        <v>184</v>
      </c>
      <c r="W16" s="68">
        <v>161</v>
      </c>
      <c r="X16" s="68">
        <v>167</v>
      </c>
      <c r="Y16" s="68">
        <v>163</v>
      </c>
      <c r="Z16" s="68">
        <v>148</v>
      </c>
      <c r="AA16" s="68">
        <v>139</v>
      </c>
      <c r="AB16" s="68">
        <v>141</v>
      </c>
      <c r="AC16" s="68">
        <v>156</v>
      </c>
      <c r="AD16" s="68">
        <v>160</v>
      </c>
      <c r="AE16" s="153">
        <v>168</v>
      </c>
    </row>
    <row r="17" spans="1:31" ht="15" customHeight="1" x14ac:dyDescent="0.25">
      <c r="A17" s="156">
        <v>16</v>
      </c>
      <c r="B17" s="17" t="s">
        <v>26</v>
      </c>
      <c r="C17" s="70" t="s">
        <v>383</v>
      </c>
      <c r="D17" s="70" t="s">
        <v>383</v>
      </c>
      <c r="E17" s="70" t="s">
        <v>383</v>
      </c>
      <c r="F17" s="70" t="s">
        <v>383</v>
      </c>
      <c r="G17" s="70" t="s">
        <v>383</v>
      </c>
      <c r="H17" s="70" t="s">
        <v>383</v>
      </c>
      <c r="I17" s="70" t="s">
        <v>383</v>
      </c>
      <c r="J17" s="70" t="s">
        <v>383</v>
      </c>
      <c r="K17" s="70" t="s">
        <v>383</v>
      </c>
      <c r="L17" s="70" t="s">
        <v>383</v>
      </c>
      <c r="M17" s="70" t="s">
        <v>383</v>
      </c>
      <c r="N17" s="70" t="s">
        <v>383</v>
      </c>
      <c r="O17" s="70" t="s">
        <v>383</v>
      </c>
      <c r="P17" s="70" t="s">
        <v>383</v>
      </c>
      <c r="Q17" s="70" t="s">
        <v>383</v>
      </c>
      <c r="R17" s="70" t="s">
        <v>383</v>
      </c>
      <c r="S17" s="70" t="s">
        <v>383</v>
      </c>
      <c r="T17" s="70" t="s">
        <v>383</v>
      </c>
      <c r="U17" s="70" t="s">
        <v>383</v>
      </c>
      <c r="V17" s="70" t="s">
        <v>383</v>
      </c>
      <c r="W17" s="70" t="s">
        <v>383</v>
      </c>
      <c r="X17" s="70" t="s">
        <v>383</v>
      </c>
      <c r="Y17" s="70" t="s">
        <v>383</v>
      </c>
      <c r="Z17" s="70" t="s">
        <v>383</v>
      </c>
      <c r="AA17" s="70" t="s">
        <v>383</v>
      </c>
      <c r="AB17" s="70" t="s">
        <v>383</v>
      </c>
      <c r="AC17" s="70" t="s">
        <v>383</v>
      </c>
      <c r="AD17" s="70" t="s">
        <v>383</v>
      </c>
      <c r="AE17" s="157" t="s">
        <v>383</v>
      </c>
    </row>
    <row r="18" spans="1:31" ht="15" customHeight="1" x14ac:dyDescent="0.25">
      <c r="A18" s="156">
        <v>17</v>
      </c>
      <c r="B18" s="17" t="s">
        <v>27</v>
      </c>
      <c r="C18" s="70">
        <v>76</v>
      </c>
      <c r="D18" s="70">
        <v>78</v>
      </c>
      <c r="E18" s="70">
        <v>75</v>
      </c>
      <c r="F18" s="70">
        <v>74</v>
      </c>
      <c r="G18" s="70">
        <v>62</v>
      </c>
      <c r="H18" s="70">
        <v>56</v>
      </c>
      <c r="I18" s="70">
        <v>51</v>
      </c>
      <c r="J18" s="70">
        <v>51</v>
      </c>
      <c r="K18" s="70">
        <v>48</v>
      </c>
      <c r="L18" s="70">
        <v>49</v>
      </c>
      <c r="M18" s="70">
        <v>49</v>
      </c>
      <c r="N18" s="70">
        <v>49</v>
      </c>
      <c r="O18" s="70">
        <v>47</v>
      </c>
      <c r="P18" s="70">
        <v>46</v>
      </c>
      <c r="Q18" s="70">
        <v>44</v>
      </c>
      <c r="R18" s="70">
        <v>43</v>
      </c>
      <c r="S18" s="70">
        <v>42</v>
      </c>
      <c r="T18" s="70">
        <v>42</v>
      </c>
      <c r="U18" s="70">
        <v>40</v>
      </c>
      <c r="V18" s="70">
        <v>42</v>
      </c>
      <c r="W18" s="70">
        <v>38</v>
      </c>
      <c r="X18" s="70">
        <v>36</v>
      </c>
      <c r="Y18" s="70">
        <v>29</v>
      </c>
      <c r="Z18" s="70">
        <v>24</v>
      </c>
      <c r="AA18" s="70">
        <v>24</v>
      </c>
      <c r="AB18" s="70">
        <v>22</v>
      </c>
      <c r="AC18" s="70">
        <v>19</v>
      </c>
      <c r="AD18" s="70">
        <v>14</v>
      </c>
      <c r="AE18" s="157">
        <v>16</v>
      </c>
    </row>
    <row r="19" spans="1:31" ht="15" customHeight="1" x14ac:dyDescent="0.25">
      <c r="A19" s="156">
        <v>18</v>
      </c>
      <c r="B19" s="17" t="s">
        <v>28</v>
      </c>
      <c r="C19" s="70">
        <v>37</v>
      </c>
      <c r="D19" s="70">
        <v>38</v>
      </c>
      <c r="E19" s="70">
        <v>33</v>
      </c>
      <c r="F19" s="70">
        <v>34</v>
      </c>
      <c r="G19" s="70">
        <v>28</v>
      </c>
      <c r="H19" s="70">
        <v>25</v>
      </c>
      <c r="I19" s="70">
        <v>17</v>
      </c>
      <c r="J19" s="70">
        <v>22</v>
      </c>
      <c r="K19" s="70">
        <v>24</v>
      </c>
      <c r="L19" s="70">
        <v>25</v>
      </c>
      <c r="M19" s="70">
        <v>24</v>
      </c>
      <c r="N19" s="70">
        <v>27</v>
      </c>
      <c r="O19" s="70">
        <v>26</v>
      </c>
      <c r="P19" s="70">
        <v>24</v>
      </c>
      <c r="Q19" s="70">
        <v>23</v>
      </c>
      <c r="R19" s="70">
        <v>22</v>
      </c>
      <c r="S19" s="70">
        <v>23</v>
      </c>
      <c r="T19" s="70">
        <v>22</v>
      </c>
      <c r="U19" s="70">
        <v>21</v>
      </c>
      <c r="V19" s="70">
        <v>19</v>
      </c>
      <c r="W19" s="70">
        <v>20</v>
      </c>
      <c r="X19" s="70">
        <v>18</v>
      </c>
      <c r="Y19" s="70">
        <v>16</v>
      </c>
      <c r="Z19" s="70">
        <v>16</v>
      </c>
      <c r="AA19" s="70">
        <v>15</v>
      </c>
      <c r="AB19" s="70">
        <v>15</v>
      </c>
      <c r="AC19" s="70">
        <v>16</v>
      </c>
      <c r="AD19" s="70">
        <v>17</v>
      </c>
      <c r="AE19" s="157">
        <v>16</v>
      </c>
    </row>
    <row r="20" spans="1:31" ht="15" customHeight="1" x14ac:dyDescent="0.25">
      <c r="A20" s="156">
        <v>19</v>
      </c>
      <c r="B20" s="17" t="s">
        <v>108</v>
      </c>
      <c r="C20" s="70">
        <v>15</v>
      </c>
      <c r="D20" s="70">
        <v>15</v>
      </c>
      <c r="E20" s="70">
        <v>13</v>
      </c>
      <c r="F20" s="70">
        <v>13</v>
      </c>
      <c r="G20" s="70">
        <v>11</v>
      </c>
      <c r="H20" s="70">
        <v>10</v>
      </c>
      <c r="I20" s="70">
        <v>8</v>
      </c>
      <c r="J20" s="70">
        <v>8</v>
      </c>
      <c r="K20" s="70">
        <v>8</v>
      </c>
      <c r="L20" s="70">
        <v>7</v>
      </c>
      <c r="M20" s="70">
        <v>6</v>
      </c>
      <c r="N20" s="70">
        <v>6</v>
      </c>
      <c r="O20" s="70">
        <v>6</v>
      </c>
      <c r="P20" s="70">
        <v>6</v>
      </c>
      <c r="Q20" s="70">
        <v>5</v>
      </c>
      <c r="R20" s="70">
        <v>6</v>
      </c>
      <c r="S20" s="70">
        <v>5</v>
      </c>
      <c r="T20" s="70">
        <v>5</v>
      </c>
      <c r="U20" s="70">
        <v>5</v>
      </c>
      <c r="V20" s="70">
        <v>5</v>
      </c>
      <c r="W20" s="70">
        <v>5</v>
      </c>
      <c r="X20" s="70" t="s">
        <v>383</v>
      </c>
      <c r="Y20" s="70" t="s">
        <v>383</v>
      </c>
      <c r="Z20" s="70" t="s">
        <v>383</v>
      </c>
      <c r="AA20" s="70" t="s">
        <v>383</v>
      </c>
      <c r="AB20" s="70" t="s">
        <v>383</v>
      </c>
      <c r="AC20" s="70" t="s">
        <v>383</v>
      </c>
      <c r="AD20" s="70" t="s">
        <v>383</v>
      </c>
      <c r="AE20" s="157" t="s">
        <v>383</v>
      </c>
    </row>
    <row r="21" spans="1:31" ht="15" customHeight="1" x14ac:dyDescent="0.25">
      <c r="A21" s="156">
        <v>20</v>
      </c>
      <c r="B21" s="17" t="s">
        <v>30</v>
      </c>
      <c r="C21" s="70">
        <v>13</v>
      </c>
      <c r="D21" s="70">
        <v>11</v>
      </c>
      <c r="E21" s="70">
        <v>12</v>
      </c>
      <c r="F21" s="70">
        <v>12</v>
      </c>
      <c r="G21" s="70">
        <v>9</v>
      </c>
      <c r="H21" s="70">
        <v>10</v>
      </c>
      <c r="I21" s="70">
        <v>10</v>
      </c>
      <c r="J21" s="70">
        <v>10</v>
      </c>
      <c r="K21" s="70">
        <v>14</v>
      </c>
      <c r="L21" s="70">
        <v>17</v>
      </c>
      <c r="M21" s="70">
        <v>16</v>
      </c>
      <c r="N21" s="70">
        <v>16</v>
      </c>
      <c r="O21" s="70">
        <v>20</v>
      </c>
      <c r="P21" s="70">
        <v>19</v>
      </c>
      <c r="Q21" s="70">
        <v>17</v>
      </c>
      <c r="R21" s="70">
        <v>20</v>
      </c>
      <c r="S21" s="70">
        <v>22</v>
      </c>
      <c r="T21" s="70">
        <v>21</v>
      </c>
      <c r="U21" s="70">
        <v>19</v>
      </c>
      <c r="V21" s="70">
        <v>16</v>
      </c>
      <c r="W21" s="70">
        <v>17</v>
      </c>
      <c r="X21" s="70">
        <v>15</v>
      </c>
      <c r="Y21" s="70">
        <v>13</v>
      </c>
      <c r="Z21" s="70">
        <v>15</v>
      </c>
      <c r="AA21" s="70">
        <v>19</v>
      </c>
      <c r="AB21" s="70">
        <v>15</v>
      </c>
      <c r="AC21" s="70">
        <v>12</v>
      </c>
      <c r="AD21" s="70">
        <v>12</v>
      </c>
      <c r="AE21" s="157">
        <v>11</v>
      </c>
    </row>
    <row r="22" spans="1:31" ht="15" customHeight="1" x14ac:dyDescent="0.25">
      <c r="A22" s="156">
        <v>21</v>
      </c>
      <c r="B22" s="17" t="s">
        <v>31</v>
      </c>
      <c r="C22" s="70">
        <v>14</v>
      </c>
      <c r="D22" s="70">
        <v>14</v>
      </c>
      <c r="E22" s="70">
        <v>17</v>
      </c>
      <c r="F22" s="70">
        <v>12</v>
      </c>
      <c r="G22" s="70">
        <v>12</v>
      </c>
      <c r="H22" s="70">
        <v>12</v>
      </c>
      <c r="I22" s="70">
        <v>12</v>
      </c>
      <c r="J22" s="70">
        <v>11</v>
      </c>
      <c r="K22" s="70">
        <v>10</v>
      </c>
      <c r="L22" s="70">
        <v>9</v>
      </c>
      <c r="M22" s="70">
        <v>10</v>
      </c>
      <c r="N22" s="70">
        <v>8</v>
      </c>
      <c r="O22" s="70">
        <v>9</v>
      </c>
      <c r="P22" s="70">
        <v>7</v>
      </c>
      <c r="Q22" s="70">
        <v>7</v>
      </c>
      <c r="R22" s="70">
        <v>7</v>
      </c>
      <c r="S22" s="70">
        <v>8</v>
      </c>
      <c r="T22" s="70">
        <v>10</v>
      </c>
      <c r="U22" s="70">
        <v>9</v>
      </c>
      <c r="V22" s="70">
        <v>10</v>
      </c>
      <c r="W22" s="70">
        <v>10</v>
      </c>
      <c r="X22" s="70">
        <v>10</v>
      </c>
      <c r="Y22" s="70">
        <v>9</v>
      </c>
      <c r="Z22" s="70">
        <v>9</v>
      </c>
      <c r="AA22" s="70">
        <v>8</v>
      </c>
      <c r="AB22" s="70">
        <v>7</v>
      </c>
      <c r="AC22" s="70">
        <v>7</v>
      </c>
      <c r="AD22" s="70">
        <v>7</v>
      </c>
      <c r="AE22" s="157">
        <v>7</v>
      </c>
    </row>
    <row r="23" spans="1:31" ht="15" customHeight="1" x14ac:dyDescent="0.25">
      <c r="A23" s="156">
        <v>22</v>
      </c>
      <c r="B23" s="17" t="s">
        <v>98</v>
      </c>
      <c r="C23" s="70">
        <v>21</v>
      </c>
      <c r="D23" s="70">
        <v>20</v>
      </c>
      <c r="E23" s="70">
        <v>33</v>
      </c>
      <c r="F23" s="70">
        <v>31</v>
      </c>
      <c r="G23" s="70">
        <v>23</v>
      </c>
      <c r="H23" s="70">
        <v>18</v>
      </c>
      <c r="I23" s="70">
        <v>17</v>
      </c>
      <c r="J23" s="70">
        <v>23</v>
      </c>
      <c r="K23" s="70">
        <v>16</v>
      </c>
      <c r="L23" s="70">
        <v>19</v>
      </c>
      <c r="M23" s="70">
        <v>17</v>
      </c>
      <c r="N23" s="70">
        <v>18</v>
      </c>
      <c r="O23" s="70">
        <v>15</v>
      </c>
      <c r="P23" s="70">
        <v>16</v>
      </c>
      <c r="Q23" s="70">
        <v>17</v>
      </c>
      <c r="R23" s="70">
        <v>21</v>
      </c>
      <c r="S23" s="70">
        <v>19</v>
      </c>
      <c r="T23" s="70">
        <v>21</v>
      </c>
      <c r="U23" s="70">
        <v>23</v>
      </c>
      <c r="V23" s="70">
        <v>19</v>
      </c>
      <c r="W23" s="70">
        <v>22</v>
      </c>
      <c r="X23" s="70">
        <v>23</v>
      </c>
      <c r="Y23" s="70">
        <v>24</v>
      </c>
      <c r="Z23" s="70">
        <v>23</v>
      </c>
      <c r="AA23" s="70">
        <v>20</v>
      </c>
      <c r="AB23" s="70">
        <v>19</v>
      </c>
      <c r="AC23" s="70">
        <v>19</v>
      </c>
      <c r="AD23" s="70">
        <v>18</v>
      </c>
      <c r="AE23" s="157">
        <v>17</v>
      </c>
    </row>
    <row r="24" spans="1:31" ht="15" customHeight="1" x14ac:dyDescent="0.25">
      <c r="A24" s="156">
        <v>23</v>
      </c>
      <c r="B24" s="17" t="s">
        <v>33</v>
      </c>
      <c r="C24" s="70" t="s">
        <v>383</v>
      </c>
      <c r="D24" s="70" t="s">
        <v>383</v>
      </c>
      <c r="E24" s="70" t="s">
        <v>383</v>
      </c>
      <c r="F24" s="70" t="s">
        <v>383</v>
      </c>
      <c r="G24" s="70" t="s">
        <v>383</v>
      </c>
      <c r="H24" s="70" t="s">
        <v>383</v>
      </c>
      <c r="I24" s="70" t="s">
        <v>383</v>
      </c>
      <c r="J24" s="70" t="s">
        <v>383</v>
      </c>
      <c r="K24" s="70" t="s">
        <v>383</v>
      </c>
      <c r="L24" s="70" t="s">
        <v>383</v>
      </c>
      <c r="M24" s="70" t="s">
        <v>383</v>
      </c>
      <c r="N24" s="70" t="s">
        <v>383</v>
      </c>
      <c r="O24" s="70" t="s">
        <v>383</v>
      </c>
      <c r="P24" s="70" t="s">
        <v>383</v>
      </c>
      <c r="Q24" s="70" t="s">
        <v>383</v>
      </c>
      <c r="R24" s="70" t="s">
        <v>383</v>
      </c>
      <c r="S24" s="70" t="s">
        <v>383</v>
      </c>
      <c r="T24" s="70" t="s">
        <v>383</v>
      </c>
      <c r="U24" s="70" t="s">
        <v>383</v>
      </c>
      <c r="V24" s="70" t="s">
        <v>383</v>
      </c>
      <c r="W24" s="70" t="s">
        <v>383</v>
      </c>
      <c r="X24" s="70" t="s">
        <v>383</v>
      </c>
      <c r="Y24" s="70" t="s">
        <v>383</v>
      </c>
      <c r="Z24" s="70" t="s">
        <v>383</v>
      </c>
      <c r="AA24" s="70" t="s">
        <v>383</v>
      </c>
      <c r="AB24" s="70" t="s">
        <v>383</v>
      </c>
      <c r="AC24" s="70" t="s">
        <v>383</v>
      </c>
      <c r="AD24" s="70" t="s">
        <v>383</v>
      </c>
      <c r="AE24" s="157" t="s">
        <v>383</v>
      </c>
    </row>
    <row r="25" spans="1:31" ht="15" customHeight="1" x14ac:dyDescent="0.25">
      <c r="A25" s="156">
        <v>24</v>
      </c>
      <c r="B25" s="17" t="s">
        <v>34</v>
      </c>
      <c r="C25" s="70">
        <v>82</v>
      </c>
      <c r="D25" s="70">
        <v>83</v>
      </c>
      <c r="E25" s="70">
        <v>79</v>
      </c>
      <c r="F25" s="70">
        <v>81</v>
      </c>
      <c r="G25" s="70">
        <v>80</v>
      </c>
      <c r="H25" s="70">
        <v>75</v>
      </c>
      <c r="I25" s="70">
        <v>66</v>
      </c>
      <c r="J25" s="70">
        <v>62</v>
      </c>
      <c r="K25" s="70">
        <v>64</v>
      </c>
      <c r="L25" s="70">
        <v>64</v>
      </c>
      <c r="M25" s="70">
        <v>67</v>
      </c>
      <c r="N25" s="70">
        <v>68</v>
      </c>
      <c r="O25" s="70">
        <v>64</v>
      </c>
      <c r="P25" s="70">
        <v>64</v>
      </c>
      <c r="Q25" s="70">
        <v>62</v>
      </c>
      <c r="R25" s="70">
        <v>58</v>
      </c>
      <c r="S25" s="70">
        <v>58</v>
      </c>
      <c r="T25" s="70">
        <v>61</v>
      </c>
      <c r="U25" s="70">
        <v>60</v>
      </c>
      <c r="V25" s="70">
        <v>64</v>
      </c>
      <c r="W25" s="70">
        <v>65</v>
      </c>
      <c r="X25" s="70">
        <v>63</v>
      </c>
      <c r="Y25" s="70">
        <v>59</v>
      </c>
      <c r="Z25" s="70">
        <v>53</v>
      </c>
      <c r="AA25" s="70">
        <v>51</v>
      </c>
      <c r="AB25" s="70">
        <v>51</v>
      </c>
      <c r="AC25" s="70">
        <v>45</v>
      </c>
      <c r="AD25" s="70">
        <v>46</v>
      </c>
      <c r="AE25" s="157">
        <v>45</v>
      </c>
    </row>
    <row r="26" spans="1:31" ht="15" customHeight="1" x14ac:dyDescent="0.25">
      <c r="A26" s="156">
        <v>25</v>
      </c>
      <c r="B26" s="17" t="s">
        <v>35</v>
      </c>
      <c r="C26" s="70">
        <v>60</v>
      </c>
      <c r="D26" s="70">
        <v>63</v>
      </c>
      <c r="E26" s="70">
        <v>69</v>
      </c>
      <c r="F26" s="70">
        <v>71</v>
      </c>
      <c r="G26" s="70">
        <v>56</v>
      </c>
      <c r="H26" s="70">
        <v>49</v>
      </c>
      <c r="I26" s="70">
        <v>51</v>
      </c>
      <c r="J26" s="70">
        <v>49</v>
      </c>
      <c r="K26" s="70">
        <v>49</v>
      </c>
      <c r="L26" s="70">
        <v>46</v>
      </c>
      <c r="M26" s="70">
        <v>43</v>
      </c>
      <c r="N26" s="70">
        <v>45</v>
      </c>
      <c r="O26" s="70">
        <v>41</v>
      </c>
      <c r="P26" s="70">
        <v>40</v>
      </c>
      <c r="Q26" s="70">
        <v>41</v>
      </c>
      <c r="R26" s="70">
        <v>40</v>
      </c>
      <c r="S26" s="70">
        <v>41</v>
      </c>
      <c r="T26" s="70">
        <v>40</v>
      </c>
      <c r="U26" s="70">
        <v>43</v>
      </c>
      <c r="V26" s="70">
        <v>43</v>
      </c>
      <c r="W26" s="70">
        <v>44</v>
      </c>
      <c r="X26" s="70">
        <v>40</v>
      </c>
      <c r="Y26" s="70">
        <v>41</v>
      </c>
      <c r="Z26" s="70">
        <v>39</v>
      </c>
      <c r="AA26" s="70">
        <v>39</v>
      </c>
      <c r="AB26" s="70">
        <v>40</v>
      </c>
      <c r="AC26" s="70">
        <v>42</v>
      </c>
      <c r="AD26" s="70">
        <v>41</v>
      </c>
      <c r="AE26" s="157">
        <v>39</v>
      </c>
    </row>
    <row r="27" spans="1:31" ht="15" customHeight="1" x14ac:dyDescent="0.25">
      <c r="A27" s="156">
        <v>26</v>
      </c>
      <c r="B27" s="17" t="s">
        <v>36</v>
      </c>
      <c r="C27" s="70">
        <v>28</v>
      </c>
      <c r="D27" s="70">
        <v>32</v>
      </c>
      <c r="E27" s="70">
        <v>42</v>
      </c>
      <c r="F27" s="70">
        <v>43</v>
      </c>
      <c r="G27" s="70">
        <v>33</v>
      </c>
      <c r="H27" s="70">
        <v>29</v>
      </c>
      <c r="I27" s="70">
        <v>32</v>
      </c>
      <c r="J27" s="70">
        <v>32</v>
      </c>
      <c r="K27" s="70">
        <v>34</v>
      </c>
      <c r="L27" s="70">
        <v>38</v>
      </c>
      <c r="M27" s="70">
        <v>38</v>
      </c>
      <c r="N27" s="70">
        <v>43</v>
      </c>
      <c r="O27" s="70">
        <v>41</v>
      </c>
      <c r="P27" s="70">
        <v>39</v>
      </c>
      <c r="Q27" s="70">
        <v>40</v>
      </c>
      <c r="R27" s="70">
        <v>36</v>
      </c>
      <c r="S27" s="70">
        <v>39</v>
      </c>
      <c r="T27" s="70">
        <v>44</v>
      </c>
      <c r="U27" s="70">
        <v>47</v>
      </c>
      <c r="V27" s="70">
        <v>46</v>
      </c>
      <c r="W27" s="70">
        <v>40</v>
      </c>
      <c r="X27" s="70">
        <v>39</v>
      </c>
      <c r="Y27" s="70">
        <v>42</v>
      </c>
      <c r="Z27" s="70">
        <v>40</v>
      </c>
      <c r="AA27" s="70">
        <v>37</v>
      </c>
      <c r="AB27" s="70">
        <v>38</v>
      </c>
      <c r="AC27" s="70">
        <v>42</v>
      </c>
      <c r="AD27" s="70">
        <v>43</v>
      </c>
      <c r="AE27" s="157">
        <v>40</v>
      </c>
    </row>
    <row r="28" spans="1:31" ht="15" customHeight="1" x14ac:dyDescent="0.25">
      <c r="A28" s="156">
        <v>27</v>
      </c>
      <c r="B28" s="17" t="s">
        <v>37</v>
      </c>
      <c r="C28" s="70">
        <v>24</v>
      </c>
      <c r="D28" s="70">
        <v>24</v>
      </c>
      <c r="E28" s="70">
        <v>25</v>
      </c>
      <c r="F28" s="70">
        <v>27</v>
      </c>
      <c r="G28" s="70">
        <v>26</v>
      </c>
      <c r="H28" s="70">
        <v>23</v>
      </c>
      <c r="I28" s="70">
        <v>21</v>
      </c>
      <c r="J28" s="70">
        <v>19</v>
      </c>
      <c r="K28" s="70">
        <v>20</v>
      </c>
      <c r="L28" s="70">
        <v>20</v>
      </c>
      <c r="M28" s="70">
        <v>18</v>
      </c>
      <c r="N28" s="70">
        <v>16</v>
      </c>
      <c r="O28" s="70">
        <v>17</v>
      </c>
      <c r="P28" s="70">
        <v>16</v>
      </c>
      <c r="Q28" s="70">
        <v>16</v>
      </c>
      <c r="R28" s="70">
        <v>15</v>
      </c>
      <c r="S28" s="70">
        <v>13</v>
      </c>
      <c r="T28" s="70">
        <v>14</v>
      </c>
      <c r="U28" s="70">
        <v>11</v>
      </c>
      <c r="V28" s="70">
        <v>9</v>
      </c>
      <c r="W28" s="70">
        <v>10</v>
      </c>
      <c r="X28" s="70">
        <v>10</v>
      </c>
      <c r="Y28" s="70">
        <v>9</v>
      </c>
      <c r="Z28" s="70">
        <v>10</v>
      </c>
      <c r="AA28" s="70">
        <v>9</v>
      </c>
      <c r="AB28" s="70">
        <v>10</v>
      </c>
      <c r="AC28" s="70">
        <v>11</v>
      </c>
      <c r="AD28" s="70">
        <v>11</v>
      </c>
      <c r="AE28" s="157">
        <v>10</v>
      </c>
    </row>
    <row r="29" spans="1:31" ht="15" customHeight="1" x14ac:dyDescent="0.25">
      <c r="A29" s="156">
        <v>28</v>
      </c>
      <c r="B29" s="17" t="s">
        <v>38</v>
      </c>
      <c r="C29" s="70">
        <v>66</v>
      </c>
      <c r="D29" s="70">
        <v>66</v>
      </c>
      <c r="E29" s="70">
        <v>73</v>
      </c>
      <c r="F29" s="70">
        <v>80</v>
      </c>
      <c r="G29" s="70">
        <v>69</v>
      </c>
      <c r="H29" s="70">
        <v>63</v>
      </c>
      <c r="I29" s="70">
        <v>55</v>
      </c>
      <c r="J29" s="70">
        <v>53</v>
      </c>
      <c r="K29" s="70">
        <v>60</v>
      </c>
      <c r="L29" s="70">
        <v>57</v>
      </c>
      <c r="M29" s="70">
        <v>61</v>
      </c>
      <c r="N29" s="70">
        <v>66</v>
      </c>
      <c r="O29" s="70">
        <v>68</v>
      </c>
      <c r="P29" s="70">
        <v>67</v>
      </c>
      <c r="Q29" s="70">
        <v>67</v>
      </c>
      <c r="R29" s="70">
        <v>67</v>
      </c>
      <c r="S29" s="70">
        <v>67</v>
      </c>
      <c r="T29" s="70">
        <v>73</v>
      </c>
      <c r="U29" s="70">
        <v>70</v>
      </c>
      <c r="V29" s="70">
        <v>70</v>
      </c>
      <c r="W29" s="70">
        <v>66</v>
      </c>
      <c r="X29" s="70">
        <v>68</v>
      </c>
      <c r="Y29" s="70">
        <v>64</v>
      </c>
      <c r="Z29" s="70">
        <v>63</v>
      </c>
      <c r="AA29" s="70">
        <v>65</v>
      </c>
      <c r="AB29" s="70">
        <v>68</v>
      </c>
      <c r="AC29" s="70">
        <v>70</v>
      </c>
      <c r="AD29" s="70">
        <v>64</v>
      </c>
      <c r="AE29" s="157">
        <v>64</v>
      </c>
    </row>
    <row r="30" spans="1:31" ht="15" customHeight="1" x14ac:dyDescent="0.25">
      <c r="A30" s="156">
        <v>29</v>
      </c>
      <c r="B30" s="17" t="s">
        <v>39</v>
      </c>
      <c r="C30" s="70">
        <v>34</v>
      </c>
      <c r="D30" s="70">
        <v>34</v>
      </c>
      <c r="E30" s="70">
        <v>41</v>
      </c>
      <c r="F30" s="70">
        <v>40</v>
      </c>
      <c r="G30" s="70">
        <v>30</v>
      </c>
      <c r="H30" s="70">
        <v>28</v>
      </c>
      <c r="I30" s="70">
        <v>24</v>
      </c>
      <c r="J30" s="70">
        <v>23</v>
      </c>
      <c r="K30" s="70">
        <v>20</v>
      </c>
      <c r="L30" s="70">
        <v>19</v>
      </c>
      <c r="M30" s="70">
        <v>17</v>
      </c>
      <c r="N30" s="70">
        <v>17</v>
      </c>
      <c r="O30" s="70">
        <v>18</v>
      </c>
      <c r="P30" s="70">
        <v>19</v>
      </c>
      <c r="Q30" s="70">
        <v>19</v>
      </c>
      <c r="R30" s="70">
        <v>18</v>
      </c>
      <c r="S30" s="70">
        <v>17</v>
      </c>
      <c r="T30" s="70">
        <v>15</v>
      </c>
      <c r="U30" s="70">
        <v>15</v>
      </c>
      <c r="V30" s="70">
        <v>15</v>
      </c>
      <c r="W30" s="70">
        <v>16</v>
      </c>
      <c r="X30" s="70">
        <v>16</v>
      </c>
      <c r="Y30" s="70">
        <v>16</v>
      </c>
      <c r="Z30" s="70">
        <v>16</v>
      </c>
      <c r="AA30" s="70">
        <v>16</v>
      </c>
      <c r="AB30" s="70">
        <v>15</v>
      </c>
      <c r="AC30" s="70">
        <v>16</v>
      </c>
      <c r="AD30" s="70">
        <v>13</v>
      </c>
      <c r="AE30" s="157">
        <v>16</v>
      </c>
    </row>
    <row r="31" spans="1:31" ht="15" customHeight="1" x14ac:dyDescent="0.25">
      <c r="A31" s="156">
        <v>30</v>
      </c>
      <c r="B31" s="17" t="s">
        <v>40</v>
      </c>
      <c r="C31" s="70">
        <v>5</v>
      </c>
      <c r="D31" s="70" t="s">
        <v>383</v>
      </c>
      <c r="E31" s="70" t="s">
        <v>383</v>
      </c>
      <c r="F31" s="70" t="s">
        <v>383</v>
      </c>
      <c r="G31" s="70" t="s">
        <v>383</v>
      </c>
      <c r="H31" s="70" t="s">
        <v>383</v>
      </c>
      <c r="I31" s="70" t="s">
        <v>383</v>
      </c>
      <c r="J31" s="70" t="s">
        <v>383</v>
      </c>
      <c r="K31" s="70" t="s">
        <v>383</v>
      </c>
      <c r="L31" s="70" t="s">
        <v>383</v>
      </c>
      <c r="M31" s="70" t="s">
        <v>383</v>
      </c>
      <c r="N31" s="70" t="s">
        <v>383</v>
      </c>
      <c r="O31" s="70">
        <v>4</v>
      </c>
      <c r="P31" s="70">
        <v>4</v>
      </c>
      <c r="Q31" s="70">
        <v>4</v>
      </c>
      <c r="R31" s="70">
        <v>4</v>
      </c>
      <c r="S31" s="70">
        <v>4</v>
      </c>
      <c r="T31" s="70">
        <v>4</v>
      </c>
      <c r="U31" s="70">
        <v>4</v>
      </c>
      <c r="V31" s="70">
        <v>4</v>
      </c>
      <c r="W31" s="70">
        <v>4</v>
      </c>
      <c r="X31" s="70" t="s">
        <v>383</v>
      </c>
      <c r="Y31" s="70" t="s">
        <v>383</v>
      </c>
      <c r="Z31" s="70" t="s">
        <v>383</v>
      </c>
      <c r="AA31" s="70" t="s">
        <v>383</v>
      </c>
      <c r="AB31" s="70" t="s">
        <v>383</v>
      </c>
      <c r="AC31" s="70" t="s">
        <v>383</v>
      </c>
      <c r="AD31" s="70" t="s">
        <v>383</v>
      </c>
      <c r="AE31" s="157" t="s">
        <v>383</v>
      </c>
    </row>
    <row r="32" spans="1:31" ht="15" customHeight="1" x14ac:dyDescent="0.25">
      <c r="A32" s="156">
        <v>31</v>
      </c>
      <c r="B32" s="17" t="s">
        <v>41</v>
      </c>
      <c r="C32" s="70">
        <v>10</v>
      </c>
      <c r="D32" s="70">
        <v>14</v>
      </c>
      <c r="E32" s="70">
        <v>13</v>
      </c>
      <c r="F32" s="70">
        <v>11</v>
      </c>
      <c r="G32" s="70">
        <v>10</v>
      </c>
      <c r="H32" s="70">
        <v>10</v>
      </c>
      <c r="I32" s="70">
        <v>8</v>
      </c>
      <c r="J32" s="70">
        <v>7</v>
      </c>
      <c r="K32" s="70">
        <v>6</v>
      </c>
      <c r="L32" s="70">
        <v>4</v>
      </c>
      <c r="M32" s="70">
        <v>4</v>
      </c>
      <c r="N32" s="70">
        <v>5</v>
      </c>
      <c r="O32" s="70">
        <v>5</v>
      </c>
      <c r="P32" s="70">
        <v>5</v>
      </c>
      <c r="Q32" s="70">
        <v>4</v>
      </c>
      <c r="R32" s="70">
        <v>4</v>
      </c>
      <c r="S32" s="70">
        <v>4</v>
      </c>
      <c r="T32" s="70">
        <v>4</v>
      </c>
      <c r="U32" s="70">
        <v>4</v>
      </c>
      <c r="V32" s="70">
        <v>4</v>
      </c>
      <c r="W32" s="70">
        <v>4</v>
      </c>
      <c r="X32" s="70">
        <v>4</v>
      </c>
      <c r="Y32" s="70">
        <v>5</v>
      </c>
      <c r="Z32" s="70">
        <v>4</v>
      </c>
      <c r="AA32" s="70">
        <v>4</v>
      </c>
      <c r="AB32" s="70">
        <v>4</v>
      </c>
      <c r="AC32" s="70">
        <v>4</v>
      </c>
      <c r="AD32" s="70">
        <v>4</v>
      </c>
      <c r="AE32" s="157">
        <v>4</v>
      </c>
    </row>
    <row r="33" spans="1:32" ht="15" customHeight="1" x14ac:dyDescent="0.25">
      <c r="A33" s="156">
        <v>32</v>
      </c>
      <c r="B33" s="17" t="s">
        <v>42</v>
      </c>
      <c r="C33" s="70">
        <v>4</v>
      </c>
      <c r="D33" s="70">
        <v>4</v>
      </c>
      <c r="E33" s="70" t="s">
        <v>383</v>
      </c>
      <c r="F33" s="70" t="s">
        <v>383</v>
      </c>
      <c r="G33" s="70" t="s">
        <v>383</v>
      </c>
      <c r="H33" s="70" t="s">
        <v>383</v>
      </c>
      <c r="I33" s="70" t="s">
        <v>383</v>
      </c>
      <c r="J33" s="70" t="s">
        <v>383</v>
      </c>
      <c r="K33" s="70" t="s">
        <v>383</v>
      </c>
      <c r="L33" s="70" t="s">
        <v>383</v>
      </c>
      <c r="M33" s="70" t="s">
        <v>383</v>
      </c>
      <c r="N33" s="70" t="s">
        <v>383</v>
      </c>
      <c r="O33" s="70" t="s">
        <v>383</v>
      </c>
      <c r="P33" s="70" t="s">
        <v>383</v>
      </c>
      <c r="Q33" s="70" t="s">
        <v>383</v>
      </c>
      <c r="R33" s="70" t="s">
        <v>383</v>
      </c>
      <c r="S33" s="70" t="s">
        <v>383</v>
      </c>
      <c r="T33" s="70" t="s">
        <v>383</v>
      </c>
      <c r="U33" s="70" t="s">
        <v>383</v>
      </c>
      <c r="V33" s="70" t="s">
        <v>383</v>
      </c>
      <c r="W33" s="70" t="s">
        <v>383</v>
      </c>
      <c r="X33" s="70" t="s">
        <v>383</v>
      </c>
      <c r="Y33" s="70" t="s">
        <v>383</v>
      </c>
      <c r="Z33" s="70" t="s">
        <v>383</v>
      </c>
      <c r="AA33" s="70" t="s">
        <v>383</v>
      </c>
      <c r="AB33" s="70" t="s">
        <v>383</v>
      </c>
      <c r="AC33" s="70" t="s">
        <v>383</v>
      </c>
      <c r="AD33" s="70" t="s">
        <v>383</v>
      </c>
      <c r="AE33" s="157" t="s">
        <v>383</v>
      </c>
    </row>
    <row r="34" spans="1:32" ht="15" customHeight="1" x14ac:dyDescent="0.25">
      <c r="A34" s="156">
        <v>33</v>
      </c>
      <c r="B34" s="17" t="s">
        <v>43</v>
      </c>
      <c r="C34" s="70" t="s">
        <v>383</v>
      </c>
      <c r="D34" s="70" t="s">
        <v>383</v>
      </c>
      <c r="E34" s="70" t="s">
        <v>383</v>
      </c>
      <c r="F34" s="70" t="s">
        <v>383</v>
      </c>
      <c r="G34" s="70" t="s">
        <v>383</v>
      </c>
      <c r="H34" s="70" t="s">
        <v>383</v>
      </c>
      <c r="I34" s="70" t="s">
        <v>383</v>
      </c>
      <c r="J34" s="70" t="s">
        <v>383</v>
      </c>
      <c r="K34" s="70" t="s">
        <v>383</v>
      </c>
      <c r="L34" s="70" t="s">
        <v>383</v>
      </c>
      <c r="M34" s="70" t="s">
        <v>383</v>
      </c>
      <c r="N34" s="70" t="s">
        <v>383</v>
      </c>
      <c r="O34" s="70" t="s">
        <v>383</v>
      </c>
      <c r="P34" s="70" t="s">
        <v>383</v>
      </c>
      <c r="Q34" s="70" t="s">
        <v>383</v>
      </c>
      <c r="R34" s="70" t="s">
        <v>383</v>
      </c>
      <c r="S34" s="70" t="s">
        <v>383</v>
      </c>
      <c r="T34" s="70" t="s">
        <v>383</v>
      </c>
      <c r="U34" s="70" t="s">
        <v>383</v>
      </c>
      <c r="V34" s="70" t="s">
        <v>383</v>
      </c>
      <c r="W34" s="70" t="s">
        <v>383</v>
      </c>
      <c r="X34" s="70" t="s">
        <v>383</v>
      </c>
      <c r="Y34" s="70" t="s">
        <v>383</v>
      </c>
      <c r="Z34" s="70" t="s">
        <v>383</v>
      </c>
      <c r="AA34" s="70" t="s">
        <v>383</v>
      </c>
      <c r="AB34" s="70" t="s">
        <v>383</v>
      </c>
      <c r="AC34" s="70" t="s">
        <v>383</v>
      </c>
      <c r="AD34" s="70" t="s">
        <v>383</v>
      </c>
      <c r="AE34" s="157" t="s">
        <v>383</v>
      </c>
    </row>
    <row r="35" spans="1:32" ht="15" customHeight="1" x14ac:dyDescent="0.25">
      <c r="A35" s="156">
        <v>34</v>
      </c>
      <c r="B35" s="17" t="s">
        <v>44</v>
      </c>
      <c r="C35" s="70">
        <v>17</v>
      </c>
      <c r="D35" s="70">
        <v>15</v>
      </c>
      <c r="E35" s="70">
        <v>15</v>
      </c>
      <c r="F35" s="70">
        <v>19</v>
      </c>
      <c r="G35" s="70">
        <v>13</v>
      </c>
      <c r="H35" s="70">
        <v>13</v>
      </c>
      <c r="I35" s="70">
        <v>12</v>
      </c>
      <c r="J35" s="70">
        <v>9</v>
      </c>
      <c r="K35" s="70">
        <v>11</v>
      </c>
      <c r="L35" s="70">
        <v>9</v>
      </c>
      <c r="M35" s="70">
        <v>10</v>
      </c>
      <c r="N35" s="70">
        <v>8</v>
      </c>
      <c r="O35" s="70">
        <v>8</v>
      </c>
      <c r="P35" s="70">
        <v>8</v>
      </c>
      <c r="Q35" s="70">
        <v>7</v>
      </c>
      <c r="R35" s="70">
        <v>7</v>
      </c>
      <c r="S35" s="70">
        <v>7</v>
      </c>
      <c r="T35" s="70">
        <v>6</v>
      </c>
      <c r="U35" s="70">
        <v>7</v>
      </c>
      <c r="V35" s="70">
        <v>7</v>
      </c>
      <c r="W35" s="70">
        <v>6</v>
      </c>
      <c r="X35" s="70">
        <v>5</v>
      </c>
      <c r="Y35" s="70">
        <v>4</v>
      </c>
      <c r="Z35" s="70">
        <v>4</v>
      </c>
      <c r="AA35" s="70">
        <v>4</v>
      </c>
      <c r="AB35" s="70">
        <v>4</v>
      </c>
      <c r="AC35" s="70">
        <v>4</v>
      </c>
      <c r="AD35" s="70">
        <v>5</v>
      </c>
      <c r="AE35" s="157">
        <v>4</v>
      </c>
    </row>
    <row r="36" spans="1:32" ht="15" customHeight="1" x14ac:dyDescent="0.25">
      <c r="A36" s="156">
        <v>35</v>
      </c>
      <c r="B36" s="17" t="s">
        <v>45</v>
      </c>
      <c r="C36" s="70" t="s">
        <v>383</v>
      </c>
      <c r="D36" s="70" t="s">
        <v>383</v>
      </c>
      <c r="E36" s="70">
        <v>5</v>
      </c>
      <c r="F36" s="70">
        <v>6</v>
      </c>
      <c r="G36" s="70" t="s">
        <v>383</v>
      </c>
      <c r="H36" s="70" t="s">
        <v>383</v>
      </c>
      <c r="I36" s="70" t="s">
        <v>383</v>
      </c>
      <c r="J36" s="70" t="s">
        <v>383</v>
      </c>
      <c r="K36" s="70" t="s">
        <v>383</v>
      </c>
      <c r="L36" s="70" t="s">
        <v>383</v>
      </c>
      <c r="M36" s="70" t="s">
        <v>383</v>
      </c>
      <c r="N36" s="70" t="s">
        <v>383</v>
      </c>
      <c r="O36" s="70" t="s">
        <v>383</v>
      </c>
      <c r="P36" s="70" t="s">
        <v>383</v>
      </c>
      <c r="Q36" s="70" t="s">
        <v>383</v>
      </c>
      <c r="R36" s="70" t="s">
        <v>383</v>
      </c>
      <c r="S36" s="70" t="s">
        <v>383</v>
      </c>
      <c r="T36" s="70" t="s">
        <v>383</v>
      </c>
      <c r="U36" s="70" t="s">
        <v>383</v>
      </c>
      <c r="V36" s="70" t="s">
        <v>383</v>
      </c>
      <c r="W36" s="70" t="s">
        <v>383</v>
      </c>
      <c r="X36" s="70" t="s">
        <v>383</v>
      </c>
      <c r="Y36" s="70" t="s">
        <v>383</v>
      </c>
      <c r="Z36" s="70" t="s">
        <v>383</v>
      </c>
      <c r="AA36" s="70" t="s">
        <v>383</v>
      </c>
      <c r="AB36" s="70" t="s">
        <v>383</v>
      </c>
      <c r="AC36" s="70" t="s">
        <v>383</v>
      </c>
      <c r="AD36" s="70" t="s">
        <v>383</v>
      </c>
      <c r="AE36" s="157">
        <v>4</v>
      </c>
    </row>
    <row r="37" spans="1:32" ht="15" customHeight="1" x14ac:dyDescent="0.25">
      <c r="A37" s="156">
        <v>36</v>
      </c>
      <c r="B37" s="17" t="s">
        <v>46</v>
      </c>
      <c r="C37" s="70">
        <v>20</v>
      </c>
      <c r="D37" s="70">
        <v>22</v>
      </c>
      <c r="E37" s="70">
        <v>21</v>
      </c>
      <c r="F37" s="70">
        <v>21</v>
      </c>
      <c r="G37" s="70">
        <v>15</v>
      </c>
      <c r="H37" s="70">
        <v>12</v>
      </c>
      <c r="I37" s="70">
        <v>13</v>
      </c>
      <c r="J37" s="70">
        <v>11</v>
      </c>
      <c r="K37" s="70">
        <v>12</v>
      </c>
      <c r="L37" s="70">
        <v>12</v>
      </c>
      <c r="M37" s="70">
        <v>12</v>
      </c>
      <c r="N37" s="70">
        <v>12</v>
      </c>
      <c r="O37" s="70">
        <v>15</v>
      </c>
      <c r="P37" s="70">
        <v>14</v>
      </c>
      <c r="Q37" s="70">
        <v>13</v>
      </c>
      <c r="R37" s="70">
        <v>12</v>
      </c>
      <c r="S37" s="70">
        <v>12</v>
      </c>
      <c r="T37" s="70">
        <v>13</v>
      </c>
      <c r="U37" s="70">
        <v>13</v>
      </c>
      <c r="V37" s="70">
        <v>14</v>
      </c>
      <c r="W37" s="70">
        <v>16</v>
      </c>
      <c r="X37" s="70">
        <v>17</v>
      </c>
      <c r="Y37" s="70">
        <v>17</v>
      </c>
      <c r="Z37" s="70">
        <v>20</v>
      </c>
      <c r="AA37" s="70">
        <v>18</v>
      </c>
      <c r="AB37" s="70">
        <v>17</v>
      </c>
      <c r="AC37" s="70">
        <v>18</v>
      </c>
      <c r="AD37" s="70">
        <v>16</v>
      </c>
      <c r="AE37" s="157">
        <v>18</v>
      </c>
    </row>
    <row r="38" spans="1:32" ht="15" customHeight="1" thickBot="1" x14ac:dyDescent="0.3">
      <c r="A38" s="152">
        <v>37</v>
      </c>
      <c r="B38" s="15" t="s">
        <v>47</v>
      </c>
      <c r="C38" s="68" t="s">
        <v>383</v>
      </c>
      <c r="D38" s="68" t="s">
        <v>383</v>
      </c>
      <c r="E38" s="68">
        <v>5</v>
      </c>
      <c r="F38" s="68">
        <v>4</v>
      </c>
      <c r="G38" s="68">
        <v>4</v>
      </c>
      <c r="H38" s="68" t="s">
        <v>383</v>
      </c>
      <c r="I38" s="68" t="s">
        <v>383</v>
      </c>
      <c r="J38" s="68" t="s">
        <v>383</v>
      </c>
      <c r="K38" s="68">
        <v>4</v>
      </c>
      <c r="L38" s="68">
        <v>4</v>
      </c>
      <c r="M38" s="68">
        <v>5</v>
      </c>
      <c r="N38" s="68">
        <v>6</v>
      </c>
      <c r="O38" s="68">
        <v>9</v>
      </c>
      <c r="P38" s="68">
        <v>13</v>
      </c>
      <c r="Q38" s="68">
        <v>10</v>
      </c>
      <c r="R38" s="68">
        <v>9</v>
      </c>
      <c r="S38" s="68">
        <v>10</v>
      </c>
      <c r="T38" s="68">
        <v>10</v>
      </c>
      <c r="U38" s="68">
        <v>12</v>
      </c>
      <c r="V38" s="68">
        <v>11</v>
      </c>
      <c r="W38" s="68">
        <v>11</v>
      </c>
      <c r="X38" s="68">
        <v>8</v>
      </c>
      <c r="Y38" s="68">
        <v>7</v>
      </c>
      <c r="Z38" s="68">
        <v>6</v>
      </c>
      <c r="AA38" s="68">
        <v>7</v>
      </c>
      <c r="AB38" s="68">
        <v>5</v>
      </c>
      <c r="AC38" s="68">
        <v>5</v>
      </c>
      <c r="AD38" s="68">
        <v>5</v>
      </c>
      <c r="AE38" s="153">
        <v>5</v>
      </c>
    </row>
    <row r="39" spans="1:32" s="11" customFormat="1" ht="15" customHeight="1" thickBot="1" x14ac:dyDescent="0.3">
      <c r="A39" s="144" t="s">
        <v>48</v>
      </c>
      <c r="B39" s="9" t="s">
        <v>49</v>
      </c>
      <c r="C39" s="64">
        <v>19</v>
      </c>
      <c r="D39" s="64">
        <v>17</v>
      </c>
      <c r="E39" s="64">
        <v>22</v>
      </c>
      <c r="F39" s="64">
        <v>25</v>
      </c>
      <c r="G39" s="64">
        <v>23</v>
      </c>
      <c r="H39" s="64">
        <v>22</v>
      </c>
      <c r="I39" s="64">
        <v>22</v>
      </c>
      <c r="J39" s="64">
        <v>21</v>
      </c>
      <c r="K39" s="64">
        <v>21</v>
      </c>
      <c r="L39" s="64">
        <v>19</v>
      </c>
      <c r="M39" s="64">
        <v>19</v>
      </c>
      <c r="N39" s="64">
        <v>18</v>
      </c>
      <c r="O39" s="64">
        <v>18</v>
      </c>
      <c r="P39" s="64">
        <v>20</v>
      </c>
      <c r="Q39" s="64">
        <v>20</v>
      </c>
      <c r="R39" s="64">
        <v>19</v>
      </c>
      <c r="S39" s="64">
        <v>20</v>
      </c>
      <c r="T39" s="64">
        <v>21</v>
      </c>
      <c r="U39" s="64">
        <v>18</v>
      </c>
      <c r="V39" s="64">
        <v>19</v>
      </c>
      <c r="W39" s="64">
        <v>19</v>
      </c>
      <c r="X39" s="64">
        <v>17</v>
      </c>
      <c r="Y39" s="64">
        <v>16</v>
      </c>
      <c r="Z39" s="64">
        <v>18</v>
      </c>
      <c r="AA39" s="64">
        <v>17</v>
      </c>
      <c r="AB39" s="64">
        <v>17</v>
      </c>
      <c r="AC39" s="64">
        <v>16</v>
      </c>
      <c r="AD39" s="64">
        <v>18</v>
      </c>
      <c r="AE39" s="145">
        <v>18</v>
      </c>
      <c r="AF39" s="10"/>
    </row>
    <row r="40" spans="1:32" ht="15" customHeight="1" x14ac:dyDescent="0.25">
      <c r="A40" s="146">
        <v>40</v>
      </c>
      <c r="B40" s="12" t="s">
        <v>50</v>
      </c>
      <c r="C40" s="65">
        <v>7</v>
      </c>
      <c r="D40" s="65">
        <v>5</v>
      </c>
      <c r="E40" s="65">
        <v>10</v>
      </c>
      <c r="F40" s="65">
        <v>12</v>
      </c>
      <c r="G40" s="65">
        <v>11</v>
      </c>
      <c r="H40" s="65">
        <v>10</v>
      </c>
      <c r="I40" s="65">
        <v>10</v>
      </c>
      <c r="J40" s="65">
        <v>9</v>
      </c>
      <c r="K40" s="65">
        <v>8</v>
      </c>
      <c r="L40" s="65">
        <v>5</v>
      </c>
      <c r="M40" s="65">
        <v>5</v>
      </c>
      <c r="N40" s="65">
        <v>6</v>
      </c>
      <c r="O40" s="65">
        <v>6</v>
      </c>
      <c r="P40" s="65">
        <v>7</v>
      </c>
      <c r="Q40" s="65">
        <v>7</v>
      </c>
      <c r="R40" s="65">
        <v>6</v>
      </c>
      <c r="S40" s="65">
        <v>6</v>
      </c>
      <c r="T40" s="65">
        <v>7</v>
      </c>
      <c r="U40" s="65">
        <v>5</v>
      </c>
      <c r="V40" s="65">
        <v>6</v>
      </c>
      <c r="W40" s="65">
        <v>6</v>
      </c>
      <c r="X40" s="65">
        <v>5</v>
      </c>
      <c r="Y40" s="65">
        <v>5</v>
      </c>
      <c r="Z40" s="65">
        <v>7</v>
      </c>
      <c r="AA40" s="65">
        <v>7</v>
      </c>
      <c r="AB40" s="65">
        <v>7</v>
      </c>
      <c r="AC40" s="65">
        <v>7</v>
      </c>
      <c r="AD40" s="65">
        <v>8</v>
      </c>
      <c r="AE40" s="147">
        <v>9</v>
      </c>
    </row>
    <row r="41" spans="1:32" ht="15" customHeight="1" thickBot="1" x14ac:dyDescent="0.3">
      <c r="A41" s="158">
        <v>41</v>
      </c>
      <c r="B41" s="18" t="s">
        <v>51</v>
      </c>
      <c r="C41" s="71">
        <v>12</v>
      </c>
      <c r="D41" s="71">
        <v>12</v>
      </c>
      <c r="E41" s="71">
        <v>12</v>
      </c>
      <c r="F41" s="71">
        <v>13</v>
      </c>
      <c r="G41" s="71">
        <v>12</v>
      </c>
      <c r="H41" s="71">
        <v>12</v>
      </c>
      <c r="I41" s="71">
        <v>12</v>
      </c>
      <c r="J41" s="71">
        <v>12</v>
      </c>
      <c r="K41" s="71">
        <v>13</v>
      </c>
      <c r="L41" s="71">
        <v>14</v>
      </c>
      <c r="M41" s="71">
        <v>14</v>
      </c>
      <c r="N41" s="71">
        <v>12</v>
      </c>
      <c r="O41" s="71">
        <v>12</v>
      </c>
      <c r="P41" s="71">
        <v>13</v>
      </c>
      <c r="Q41" s="71">
        <v>13</v>
      </c>
      <c r="R41" s="71">
        <v>13</v>
      </c>
      <c r="S41" s="71">
        <v>14</v>
      </c>
      <c r="T41" s="71">
        <v>14</v>
      </c>
      <c r="U41" s="71">
        <v>13</v>
      </c>
      <c r="V41" s="71">
        <v>13</v>
      </c>
      <c r="W41" s="71">
        <v>13</v>
      </c>
      <c r="X41" s="71">
        <v>12</v>
      </c>
      <c r="Y41" s="71">
        <v>11</v>
      </c>
      <c r="Z41" s="71">
        <v>11</v>
      </c>
      <c r="AA41" s="71">
        <v>10</v>
      </c>
      <c r="AB41" s="71">
        <v>10</v>
      </c>
      <c r="AC41" s="71">
        <v>9</v>
      </c>
      <c r="AD41" s="71">
        <v>10</v>
      </c>
      <c r="AE41" s="159">
        <v>9</v>
      </c>
    </row>
    <row r="42" spans="1:32" s="11" customFormat="1" ht="15" customHeight="1" thickBot="1" x14ac:dyDescent="0.3">
      <c r="A42" s="160" t="s">
        <v>52</v>
      </c>
      <c r="B42" s="19" t="s">
        <v>53</v>
      </c>
      <c r="C42" s="64">
        <v>141</v>
      </c>
      <c r="D42" s="64">
        <v>131</v>
      </c>
      <c r="E42" s="64">
        <v>166</v>
      </c>
      <c r="F42" s="64">
        <v>182</v>
      </c>
      <c r="G42" s="64">
        <v>173</v>
      </c>
      <c r="H42" s="64">
        <v>176</v>
      </c>
      <c r="I42" s="64">
        <v>180</v>
      </c>
      <c r="J42" s="64">
        <v>171</v>
      </c>
      <c r="K42" s="64">
        <v>170</v>
      </c>
      <c r="L42" s="64">
        <v>197</v>
      </c>
      <c r="M42" s="64">
        <v>215</v>
      </c>
      <c r="N42" s="64">
        <v>251</v>
      </c>
      <c r="O42" s="64">
        <v>264</v>
      </c>
      <c r="P42" s="64">
        <v>282</v>
      </c>
      <c r="Q42" s="64">
        <v>317</v>
      </c>
      <c r="R42" s="64">
        <v>331</v>
      </c>
      <c r="S42" s="64">
        <v>319</v>
      </c>
      <c r="T42" s="64">
        <v>327</v>
      </c>
      <c r="U42" s="64">
        <v>332</v>
      </c>
      <c r="V42" s="64">
        <v>342</v>
      </c>
      <c r="W42" s="64">
        <v>337</v>
      </c>
      <c r="X42" s="64">
        <v>347</v>
      </c>
      <c r="Y42" s="64">
        <v>342</v>
      </c>
      <c r="Z42" s="64">
        <v>320</v>
      </c>
      <c r="AA42" s="64">
        <v>280</v>
      </c>
      <c r="AB42" s="64">
        <v>311</v>
      </c>
      <c r="AC42" s="64">
        <v>325</v>
      </c>
      <c r="AD42" s="64">
        <v>306</v>
      </c>
      <c r="AE42" s="145">
        <v>302</v>
      </c>
      <c r="AF42" s="10"/>
    </row>
    <row r="43" spans="1:32" ht="15" customHeight="1" thickBot="1" x14ac:dyDescent="0.3">
      <c r="A43" s="150">
        <v>45</v>
      </c>
      <c r="B43" s="14" t="s">
        <v>54</v>
      </c>
      <c r="C43" s="67">
        <v>141</v>
      </c>
      <c r="D43" s="67">
        <v>131</v>
      </c>
      <c r="E43" s="67">
        <v>166</v>
      </c>
      <c r="F43" s="67">
        <v>182</v>
      </c>
      <c r="G43" s="67">
        <v>173</v>
      </c>
      <c r="H43" s="67">
        <v>176</v>
      </c>
      <c r="I43" s="67">
        <v>180</v>
      </c>
      <c r="J43" s="67">
        <v>171</v>
      </c>
      <c r="K43" s="67">
        <v>170</v>
      </c>
      <c r="L43" s="67">
        <v>197</v>
      </c>
      <c r="M43" s="67">
        <v>215</v>
      </c>
      <c r="N43" s="67">
        <v>251</v>
      </c>
      <c r="O43" s="67">
        <v>264</v>
      </c>
      <c r="P43" s="67">
        <v>282</v>
      </c>
      <c r="Q43" s="67">
        <v>317</v>
      </c>
      <c r="R43" s="67">
        <v>331</v>
      </c>
      <c r="S43" s="67">
        <v>319</v>
      </c>
      <c r="T43" s="67">
        <v>327</v>
      </c>
      <c r="U43" s="67">
        <v>332</v>
      </c>
      <c r="V43" s="67">
        <v>342</v>
      </c>
      <c r="W43" s="67">
        <v>337</v>
      </c>
      <c r="X43" s="67">
        <v>347</v>
      </c>
      <c r="Y43" s="67">
        <v>342</v>
      </c>
      <c r="Z43" s="67">
        <v>320</v>
      </c>
      <c r="AA43" s="67">
        <v>280</v>
      </c>
      <c r="AB43" s="67">
        <v>311</v>
      </c>
      <c r="AC43" s="67">
        <v>325</v>
      </c>
      <c r="AD43" s="67">
        <v>306</v>
      </c>
      <c r="AE43" s="151">
        <v>302</v>
      </c>
    </row>
    <row r="44" spans="1:32" s="11" customFormat="1" ht="15" customHeight="1" thickBot="1" x14ac:dyDescent="0.3">
      <c r="A44" s="144" t="s">
        <v>55</v>
      </c>
      <c r="B44" s="9" t="s">
        <v>56</v>
      </c>
      <c r="C44" s="64">
        <v>733</v>
      </c>
      <c r="D44" s="64">
        <v>741</v>
      </c>
      <c r="E44" s="64">
        <v>880</v>
      </c>
      <c r="F44" s="64">
        <v>889</v>
      </c>
      <c r="G44" s="64">
        <v>760</v>
      </c>
      <c r="H44" s="64">
        <v>776</v>
      </c>
      <c r="I44" s="64">
        <v>765</v>
      </c>
      <c r="J44" s="64">
        <v>850</v>
      </c>
      <c r="K44" s="64">
        <v>925</v>
      </c>
      <c r="L44" s="64">
        <v>1016</v>
      </c>
      <c r="M44" s="64">
        <v>1142</v>
      </c>
      <c r="N44" s="64">
        <v>1235</v>
      </c>
      <c r="O44" s="64">
        <v>1312</v>
      </c>
      <c r="P44" s="64">
        <v>1419</v>
      </c>
      <c r="Q44" s="64">
        <v>1488</v>
      </c>
      <c r="R44" s="64">
        <v>1575</v>
      </c>
      <c r="S44" s="64">
        <v>1647</v>
      </c>
      <c r="T44" s="64">
        <v>1652</v>
      </c>
      <c r="U44" s="64">
        <v>1650</v>
      </c>
      <c r="V44" s="64">
        <v>1724</v>
      </c>
      <c r="W44" s="64">
        <v>1699</v>
      </c>
      <c r="X44" s="64">
        <v>1723</v>
      </c>
      <c r="Y44" s="64">
        <v>1753</v>
      </c>
      <c r="Z44" s="64">
        <v>1700</v>
      </c>
      <c r="AA44" s="64">
        <v>1594</v>
      </c>
      <c r="AB44" s="64">
        <v>1616</v>
      </c>
      <c r="AC44" s="64">
        <v>1796</v>
      </c>
      <c r="AD44" s="64">
        <v>1831</v>
      </c>
      <c r="AE44" s="145">
        <v>1841</v>
      </c>
      <c r="AF44" s="10"/>
    </row>
    <row r="45" spans="1:32" ht="15" customHeight="1" x14ac:dyDescent="0.25">
      <c r="A45" s="146">
        <v>50</v>
      </c>
      <c r="B45" s="12" t="s">
        <v>57</v>
      </c>
      <c r="C45" s="65">
        <v>112</v>
      </c>
      <c r="D45" s="65">
        <v>114</v>
      </c>
      <c r="E45" s="65">
        <v>143</v>
      </c>
      <c r="F45" s="65">
        <v>148</v>
      </c>
      <c r="G45" s="65">
        <v>128</v>
      </c>
      <c r="H45" s="65">
        <v>123</v>
      </c>
      <c r="I45" s="65">
        <v>112</v>
      </c>
      <c r="J45" s="65">
        <v>124</v>
      </c>
      <c r="K45" s="65">
        <v>134</v>
      </c>
      <c r="L45" s="65">
        <v>146</v>
      </c>
      <c r="M45" s="65">
        <v>158</v>
      </c>
      <c r="N45" s="65">
        <v>174</v>
      </c>
      <c r="O45" s="65">
        <v>197</v>
      </c>
      <c r="P45" s="65">
        <v>197</v>
      </c>
      <c r="Q45" s="65">
        <v>201</v>
      </c>
      <c r="R45" s="65">
        <v>218</v>
      </c>
      <c r="S45" s="65">
        <v>222</v>
      </c>
      <c r="T45" s="65">
        <v>243</v>
      </c>
      <c r="U45" s="65">
        <v>247</v>
      </c>
      <c r="V45" s="65">
        <v>247</v>
      </c>
      <c r="W45" s="65">
        <v>240</v>
      </c>
      <c r="X45" s="65">
        <v>243</v>
      </c>
      <c r="Y45" s="65">
        <v>254</v>
      </c>
      <c r="Z45" s="65">
        <v>250</v>
      </c>
      <c r="AA45" s="65">
        <v>243</v>
      </c>
      <c r="AB45" s="65">
        <v>245</v>
      </c>
      <c r="AC45" s="65">
        <v>264</v>
      </c>
      <c r="AD45" s="65">
        <v>260</v>
      </c>
      <c r="AE45" s="147">
        <v>257</v>
      </c>
    </row>
    <row r="46" spans="1:32" ht="15" customHeight="1" x14ac:dyDescent="0.25">
      <c r="A46" s="156">
        <v>51</v>
      </c>
      <c r="B46" s="17" t="s">
        <v>58</v>
      </c>
      <c r="C46" s="70">
        <v>144</v>
      </c>
      <c r="D46" s="70">
        <v>139</v>
      </c>
      <c r="E46" s="70">
        <v>200</v>
      </c>
      <c r="F46" s="70">
        <v>209</v>
      </c>
      <c r="G46" s="70">
        <v>160</v>
      </c>
      <c r="H46" s="70">
        <v>161</v>
      </c>
      <c r="I46" s="70">
        <v>155</v>
      </c>
      <c r="J46" s="70">
        <v>162</v>
      </c>
      <c r="K46" s="70">
        <v>163</v>
      </c>
      <c r="L46" s="70">
        <v>173</v>
      </c>
      <c r="M46" s="70">
        <v>183</v>
      </c>
      <c r="N46" s="70">
        <v>196</v>
      </c>
      <c r="O46" s="70">
        <v>193</v>
      </c>
      <c r="P46" s="70">
        <v>202</v>
      </c>
      <c r="Q46" s="70">
        <v>213</v>
      </c>
      <c r="R46" s="70">
        <v>224</v>
      </c>
      <c r="S46" s="70">
        <v>218</v>
      </c>
      <c r="T46" s="70">
        <v>221</v>
      </c>
      <c r="U46" s="70">
        <v>215</v>
      </c>
      <c r="V46" s="70">
        <v>212</v>
      </c>
      <c r="W46" s="70">
        <v>204</v>
      </c>
      <c r="X46" s="70">
        <v>207</v>
      </c>
      <c r="Y46" s="70">
        <v>199</v>
      </c>
      <c r="Z46" s="70">
        <v>208</v>
      </c>
      <c r="AA46" s="70">
        <v>216</v>
      </c>
      <c r="AB46" s="70">
        <v>222</v>
      </c>
      <c r="AC46" s="70">
        <v>241</v>
      </c>
      <c r="AD46" s="70">
        <v>249</v>
      </c>
      <c r="AE46" s="157">
        <v>250</v>
      </c>
    </row>
    <row r="47" spans="1:32" ht="15" customHeight="1" thickBot="1" x14ac:dyDescent="0.3">
      <c r="A47" s="158">
        <v>52</v>
      </c>
      <c r="B47" s="18" t="s">
        <v>59</v>
      </c>
      <c r="C47" s="71">
        <v>477</v>
      </c>
      <c r="D47" s="71">
        <v>488</v>
      </c>
      <c r="E47" s="71">
        <v>537</v>
      </c>
      <c r="F47" s="71">
        <v>532</v>
      </c>
      <c r="G47" s="71">
        <v>472</v>
      </c>
      <c r="H47" s="71">
        <v>492</v>
      </c>
      <c r="I47" s="71">
        <v>498</v>
      </c>
      <c r="J47" s="71">
        <v>564</v>
      </c>
      <c r="K47" s="71">
        <v>628</v>
      </c>
      <c r="L47" s="71">
        <v>697</v>
      </c>
      <c r="M47" s="71">
        <v>801</v>
      </c>
      <c r="N47" s="71">
        <v>865</v>
      </c>
      <c r="O47" s="71">
        <v>922</v>
      </c>
      <c r="P47" s="71">
        <v>1020</v>
      </c>
      <c r="Q47" s="71">
        <v>1074</v>
      </c>
      <c r="R47" s="71">
        <v>1133</v>
      </c>
      <c r="S47" s="71">
        <v>1207</v>
      </c>
      <c r="T47" s="71">
        <v>1188</v>
      </c>
      <c r="U47" s="71">
        <v>1188</v>
      </c>
      <c r="V47" s="71">
        <v>1265</v>
      </c>
      <c r="W47" s="71">
        <v>1255</v>
      </c>
      <c r="X47" s="71">
        <v>1273</v>
      </c>
      <c r="Y47" s="71">
        <v>1300</v>
      </c>
      <c r="Z47" s="71">
        <v>1242</v>
      </c>
      <c r="AA47" s="71">
        <v>1135</v>
      </c>
      <c r="AB47" s="71">
        <v>1149</v>
      </c>
      <c r="AC47" s="71">
        <v>1291</v>
      </c>
      <c r="AD47" s="71">
        <v>1322</v>
      </c>
      <c r="AE47" s="159">
        <v>1334</v>
      </c>
    </row>
    <row r="48" spans="1:32" s="11" customFormat="1" ht="15" customHeight="1" thickBot="1" x14ac:dyDescent="0.3">
      <c r="A48" s="160" t="s">
        <v>60</v>
      </c>
      <c r="B48" s="19" t="s">
        <v>61</v>
      </c>
      <c r="C48" s="64">
        <v>112</v>
      </c>
      <c r="D48" s="64">
        <v>109</v>
      </c>
      <c r="E48" s="64">
        <v>132</v>
      </c>
      <c r="F48" s="64">
        <v>135</v>
      </c>
      <c r="G48" s="64">
        <v>122</v>
      </c>
      <c r="H48" s="64">
        <v>115</v>
      </c>
      <c r="I48" s="64">
        <v>112</v>
      </c>
      <c r="J48" s="64">
        <v>139</v>
      </c>
      <c r="K48" s="64">
        <v>156</v>
      </c>
      <c r="L48" s="64">
        <v>181</v>
      </c>
      <c r="M48" s="64">
        <v>207</v>
      </c>
      <c r="N48" s="64">
        <v>231</v>
      </c>
      <c r="O48" s="64">
        <v>245</v>
      </c>
      <c r="P48" s="64">
        <v>279</v>
      </c>
      <c r="Q48" s="64">
        <v>297</v>
      </c>
      <c r="R48" s="64">
        <v>356</v>
      </c>
      <c r="S48" s="64">
        <v>380</v>
      </c>
      <c r="T48" s="64">
        <v>398</v>
      </c>
      <c r="U48" s="64">
        <v>402</v>
      </c>
      <c r="V48" s="64">
        <v>429</v>
      </c>
      <c r="W48" s="64">
        <v>406</v>
      </c>
      <c r="X48" s="64">
        <v>419</v>
      </c>
      <c r="Y48" s="64">
        <v>431</v>
      </c>
      <c r="Z48" s="64">
        <v>410</v>
      </c>
      <c r="AA48" s="64">
        <v>324</v>
      </c>
      <c r="AB48" s="64">
        <v>323</v>
      </c>
      <c r="AC48" s="64">
        <v>376</v>
      </c>
      <c r="AD48" s="64">
        <v>366</v>
      </c>
      <c r="AE48" s="145">
        <v>335</v>
      </c>
      <c r="AF48" s="10"/>
    </row>
    <row r="49" spans="1:32" ht="15" customHeight="1" thickBot="1" x14ac:dyDescent="0.3">
      <c r="A49" s="150">
        <v>55</v>
      </c>
      <c r="B49" s="14" t="s">
        <v>62</v>
      </c>
      <c r="C49" s="67">
        <v>112</v>
      </c>
      <c r="D49" s="67">
        <v>109</v>
      </c>
      <c r="E49" s="67">
        <v>132</v>
      </c>
      <c r="F49" s="67">
        <v>135</v>
      </c>
      <c r="G49" s="67">
        <v>122</v>
      </c>
      <c r="H49" s="67">
        <v>115</v>
      </c>
      <c r="I49" s="67">
        <v>112</v>
      </c>
      <c r="J49" s="67">
        <v>139</v>
      </c>
      <c r="K49" s="67">
        <v>156</v>
      </c>
      <c r="L49" s="67">
        <v>181</v>
      </c>
      <c r="M49" s="67">
        <v>207</v>
      </c>
      <c r="N49" s="67">
        <v>231</v>
      </c>
      <c r="O49" s="67">
        <v>245</v>
      </c>
      <c r="P49" s="67">
        <v>279</v>
      </c>
      <c r="Q49" s="67">
        <v>297</v>
      </c>
      <c r="R49" s="67">
        <v>356</v>
      </c>
      <c r="S49" s="67">
        <v>380</v>
      </c>
      <c r="T49" s="67">
        <v>398</v>
      </c>
      <c r="U49" s="67">
        <v>402</v>
      </c>
      <c r="V49" s="67">
        <v>429</v>
      </c>
      <c r="W49" s="67">
        <v>406</v>
      </c>
      <c r="X49" s="67">
        <v>419</v>
      </c>
      <c r="Y49" s="67">
        <v>431</v>
      </c>
      <c r="Z49" s="67">
        <v>410</v>
      </c>
      <c r="AA49" s="67">
        <v>324</v>
      </c>
      <c r="AB49" s="67">
        <v>323</v>
      </c>
      <c r="AC49" s="67">
        <v>376</v>
      </c>
      <c r="AD49" s="67">
        <v>366</v>
      </c>
      <c r="AE49" s="151">
        <v>335</v>
      </c>
    </row>
    <row r="50" spans="1:32" s="11" customFormat="1" ht="15" customHeight="1" thickBot="1" x14ac:dyDescent="0.3">
      <c r="A50" s="144" t="s">
        <v>63</v>
      </c>
      <c r="B50" s="9" t="s">
        <v>64</v>
      </c>
      <c r="C50" s="64">
        <v>159</v>
      </c>
      <c r="D50" s="64">
        <v>182</v>
      </c>
      <c r="E50" s="64">
        <v>218</v>
      </c>
      <c r="F50" s="64">
        <v>242</v>
      </c>
      <c r="G50" s="64">
        <v>199</v>
      </c>
      <c r="H50" s="64">
        <v>187</v>
      </c>
      <c r="I50" s="64">
        <v>178</v>
      </c>
      <c r="J50" s="64">
        <v>217</v>
      </c>
      <c r="K50" s="64">
        <v>237</v>
      </c>
      <c r="L50" s="64">
        <v>252</v>
      </c>
      <c r="M50" s="64">
        <v>283</v>
      </c>
      <c r="N50" s="64">
        <v>311</v>
      </c>
      <c r="O50" s="64">
        <v>323</v>
      </c>
      <c r="P50" s="64">
        <v>350</v>
      </c>
      <c r="Q50" s="64">
        <v>341</v>
      </c>
      <c r="R50" s="64">
        <v>378</v>
      </c>
      <c r="S50" s="64">
        <v>387</v>
      </c>
      <c r="T50" s="64">
        <v>407</v>
      </c>
      <c r="U50" s="64">
        <v>409</v>
      </c>
      <c r="V50" s="64">
        <v>458</v>
      </c>
      <c r="W50" s="64">
        <v>470</v>
      </c>
      <c r="X50" s="64">
        <v>462</v>
      </c>
      <c r="Y50" s="64">
        <v>452</v>
      </c>
      <c r="Z50" s="64">
        <v>427</v>
      </c>
      <c r="AA50" s="64">
        <v>392</v>
      </c>
      <c r="AB50" s="64">
        <v>389</v>
      </c>
      <c r="AC50" s="64">
        <v>396</v>
      </c>
      <c r="AD50" s="64">
        <v>383</v>
      </c>
      <c r="AE50" s="145">
        <v>358</v>
      </c>
      <c r="AF50" s="10"/>
    </row>
    <row r="51" spans="1:32" ht="15" customHeight="1" x14ac:dyDescent="0.25">
      <c r="A51" s="152">
        <v>60</v>
      </c>
      <c r="B51" s="15" t="s">
        <v>65</v>
      </c>
      <c r="C51" s="68">
        <v>109</v>
      </c>
      <c r="D51" s="68">
        <v>124</v>
      </c>
      <c r="E51" s="68">
        <v>142</v>
      </c>
      <c r="F51" s="68">
        <v>150</v>
      </c>
      <c r="G51" s="68">
        <v>117</v>
      </c>
      <c r="H51" s="68">
        <v>110</v>
      </c>
      <c r="I51" s="68">
        <v>105</v>
      </c>
      <c r="J51" s="68">
        <v>140</v>
      </c>
      <c r="K51" s="68">
        <v>155</v>
      </c>
      <c r="L51" s="68">
        <v>171</v>
      </c>
      <c r="M51" s="68">
        <v>201</v>
      </c>
      <c r="N51" s="68">
        <v>219</v>
      </c>
      <c r="O51" s="68">
        <v>218</v>
      </c>
      <c r="P51" s="68">
        <v>241</v>
      </c>
      <c r="Q51" s="68">
        <v>236</v>
      </c>
      <c r="R51" s="68">
        <v>267</v>
      </c>
      <c r="S51" s="68">
        <v>270</v>
      </c>
      <c r="T51" s="68">
        <v>289</v>
      </c>
      <c r="U51" s="68">
        <v>297</v>
      </c>
      <c r="V51" s="68">
        <v>338</v>
      </c>
      <c r="W51" s="68">
        <v>345</v>
      </c>
      <c r="X51" s="68">
        <v>338</v>
      </c>
      <c r="Y51" s="68">
        <v>331</v>
      </c>
      <c r="Z51" s="68">
        <v>311</v>
      </c>
      <c r="AA51" s="68">
        <v>287</v>
      </c>
      <c r="AB51" s="68">
        <v>295</v>
      </c>
      <c r="AC51" s="68">
        <v>292</v>
      </c>
      <c r="AD51" s="68">
        <v>279</v>
      </c>
      <c r="AE51" s="153">
        <v>257</v>
      </c>
    </row>
    <row r="52" spans="1:32" ht="15" customHeight="1" x14ac:dyDescent="0.25">
      <c r="A52" s="161">
        <v>61</v>
      </c>
      <c r="B52" s="20" t="s">
        <v>66</v>
      </c>
      <c r="C52" s="73" t="s">
        <v>383</v>
      </c>
      <c r="D52" s="73" t="s">
        <v>383</v>
      </c>
      <c r="E52" s="73" t="s">
        <v>383</v>
      </c>
      <c r="F52" s="73" t="s">
        <v>383</v>
      </c>
      <c r="G52" s="73" t="s">
        <v>383</v>
      </c>
      <c r="H52" s="73" t="s">
        <v>383</v>
      </c>
      <c r="I52" s="73" t="s">
        <v>383</v>
      </c>
      <c r="J52" s="73" t="s">
        <v>383</v>
      </c>
      <c r="K52" s="73" t="s">
        <v>383</v>
      </c>
      <c r="L52" s="73" t="s">
        <v>383</v>
      </c>
      <c r="M52" s="73" t="s">
        <v>383</v>
      </c>
      <c r="N52" s="73" t="s">
        <v>383</v>
      </c>
      <c r="O52" s="73" t="s">
        <v>383</v>
      </c>
      <c r="P52" s="73" t="s">
        <v>383</v>
      </c>
      <c r="Q52" s="73" t="s">
        <v>383</v>
      </c>
      <c r="R52" s="73" t="s">
        <v>383</v>
      </c>
      <c r="S52" s="73" t="s">
        <v>383</v>
      </c>
      <c r="T52" s="73" t="s">
        <v>383</v>
      </c>
      <c r="U52" s="73" t="s">
        <v>383</v>
      </c>
      <c r="V52" s="73" t="s">
        <v>383</v>
      </c>
      <c r="W52" s="73" t="s">
        <v>383</v>
      </c>
      <c r="X52" s="73" t="s">
        <v>383</v>
      </c>
      <c r="Y52" s="73" t="s">
        <v>383</v>
      </c>
      <c r="Z52" s="73" t="s">
        <v>383</v>
      </c>
      <c r="AA52" s="73" t="s">
        <v>383</v>
      </c>
      <c r="AB52" s="73" t="s">
        <v>383</v>
      </c>
      <c r="AC52" s="73" t="s">
        <v>383</v>
      </c>
      <c r="AD52" s="73" t="s">
        <v>383</v>
      </c>
      <c r="AE52" s="162" t="s">
        <v>383</v>
      </c>
    </row>
    <row r="53" spans="1:32" ht="15" customHeight="1" x14ac:dyDescent="0.25">
      <c r="A53" s="152">
        <v>62</v>
      </c>
      <c r="B53" s="15" t="s">
        <v>67</v>
      </c>
      <c r="C53" s="68" t="s">
        <v>383</v>
      </c>
      <c r="D53" s="68" t="s">
        <v>383</v>
      </c>
      <c r="E53" s="68" t="s">
        <v>383</v>
      </c>
      <c r="F53" s="68" t="s">
        <v>383</v>
      </c>
      <c r="G53" s="68" t="s">
        <v>383</v>
      </c>
      <c r="H53" s="68" t="s">
        <v>383</v>
      </c>
      <c r="I53" s="68" t="s">
        <v>383</v>
      </c>
      <c r="J53" s="68" t="s">
        <v>383</v>
      </c>
      <c r="K53" s="68" t="s">
        <v>383</v>
      </c>
      <c r="L53" s="68" t="s">
        <v>383</v>
      </c>
      <c r="M53" s="68" t="s">
        <v>383</v>
      </c>
      <c r="N53" s="68" t="s">
        <v>383</v>
      </c>
      <c r="O53" s="68" t="s">
        <v>383</v>
      </c>
      <c r="P53" s="68" t="s">
        <v>383</v>
      </c>
      <c r="Q53" s="68" t="s">
        <v>383</v>
      </c>
      <c r="R53" s="68" t="s">
        <v>383</v>
      </c>
      <c r="S53" s="68" t="s">
        <v>383</v>
      </c>
      <c r="T53" s="68" t="s">
        <v>383</v>
      </c>
      <c r="U53" s="68" t="s">
        <v>383</v>
      </c>
      <c r="V53" s="68" t="s">
        <v>383</v>
      </c>
      <c r="W53" s="68" t="s">
        <v>383</v>
      </c>
      <c r="X53" s="68" t="s">
        <v>383</v>
      </c>
      <c r="Y53" s="68" t="s">
        <v>383</v>
      </c>
      <c r="Z53" s="68" t="s">
        <v>383</v>
      </c>
      <c r="AA53" s="68" t="s">
        <v>383</v>
      </c>
      <c r="AB53" s="68" t="s">
        <v>383</v>
      </c>
      <c r="AC53" s="68" t="s">
        <v>383</v>
      </c>
      <c r="AD53" s="68" t="s">
        <v>383</v>
      </c>
      <c r="AE53" s="153" t="s">
        <v>383</v>
      </c>
    </row>
    <row r="54" spans="1:32" ht="15" customHeight="1" x14ac:dyDescent="0.25">
      <c r="A54" s="163">
        <v>63</v>
      </c>
      <c r="B54" s="21" t="s">
        <v>68</v>
      </c>
      <c r="C54" s="74">
        <v>17</v>
      </c>
      <c r="D54" s="74">
        <v>23</v>
      </c>
      <c r="E54" s="74">
        <v>27</v>
      </c>
      <c r="F54" s="74">
        <v>32</v>
      </c>
      <c r="G54" s="74">
        <v>27</v>
      </c>
      <c r="H54" s="74">
        <v>19</v>
      </c>
      <c r="I54" s="74">
        <v>19</v>
      </c>
      <c r="J54" s="74">
        <v>25</v>
      </c>
      <c r="K54" s="74">
        <v>28</v>
      </c>
      <c r="L54" s="74">
        <v>29</v>
      </c>
      <c r="M54" s="74">
        <v>33</v>
      </c>
      <c r="N54" s="74">
        <v>48</v>
      </c>
      <c r="O54" s="74">
        <v>56</v>
      </c>
      <c r="P54" s="74">
        <v>64</v>
      </c>
      <c r="Q54" s="74">
        <v>60</v>
      </c>
      <c r="R54" s="74">
        <v>65</v>
      </c>
      <c r="S54" s="74">
        <v>71</v>
      </c>
      <c r="T54" s="74">
        <v>70</v>
      </c>
      <c r="U54" s="74">
        <v>67</v>
      </c>
      <c r="V54" s="74">
        <v>69</v>
      </c>
      <c r="W54" s="74">
        <v>76</v>
      </c>
      <c r="X54" s="74">
        <v>72</v>
      </c>
      <c r="Y54" s="74">
        <v>76</v>
      </c>
      <c r="Z54" s="74">
        <v>70</v>
      </c>
      <c r="AA54" s="74">
        <v>63</v>
      </c>
      <c r="AB54" s="74">
        <v>54</v>
      </c>
      <c r="AC54" s="74">
        <v>63</v>
      </c>
      <c r="AD54" s="74">
        <v>59</v>
      </c>
      <c r="AE54" s="164">
        <v>58</v>
      </c>
    </row>
    <row r="55" spans="1:32" ht="15" customHeight="1" thickBot="1" x14ac:dyDescent="0.3">
      <c r="A55" s="152">
        <v>64</v>
      </c>
      <c r="B55" s="15" t="s">
        <v>99</v>
      </c>
      <c r="C55" s="68">
        <v>31</v>
      </c>
      <c r="D55" s="68">
        <v>33</v>
      </c>
      <c r="E55" s="68">
        <v>46</v>
      </c>
      <c r="F55" s="68">
        <v>58</v>
      </c>
      <c r="G55" s="68">
        <v>51</v>
      </c>
      <c r="H55" s="68">
        <v>55</v>
      </c>
      <c r="I55" s="68">
        <v>52</v>
      </c>
      <c r="J55" s="68">
        <v>52</v>
      </c>
      <c r="K55" s="68">
        <v>52</v>
      </c>
      <c r="L55" s="68">
        <v>49</v>
      </c>
      <c r="M55" s="68">
        <v>46</v>
      </c>
      <c r="N55" s="68">
        <v>42</v>
      </c>
      <c r="O55" s="68">
        <v>46</v>
      </c>
      <c r="P55" s="68">
        <v>42</v>
      </c>
      <c r="Q55" s="68">
        <v>41</v>
      </c>
      <c r="R55" s="68">
        <v>42</v>
      </c>
      <c r="S55" s="68">
        <v>41</v>
      </c>
      <c r="T55" s="68">
        <v>42</v>
      </c>
      <c r="U55" s="68">
        <v>41</v>
      </c>
      <c r="V55" s="68">
        <v>45</v>
      </c>
      <c r="W55" s="68">
        <v>44</v>
      </c>
      <c r="X55" s="68">
        <v>47</v>
      </c>
      <c r="Y55" s="68">
        <v>42</v>
      </c>
      <c r="Z55" s="68">
        <v>43</v>
      </c>
      <c r="AA55" s="68">
        <v>39</v>
      </c>
      <c r="AB55" s="68">
        <v>37</v>
      </c>
      <c r="AC55" s="68">
        <v>39</v>
      </c>
      <c r="AD55" s="68">
        <v>43</v>
      </c>
      <c r="AE55" s="153">
        <v>41</v>
      </c>
    </row>
    <row r="56" spans="1:32" s="11" customFormat="1" ht="15" customHeight="1" thickBot="1" x14ac:dyDescent="0.3">
      <c r="A56" s="144" t="s">
        <v>70</v>
      </c>
      <c r="B56" s="9" t="s">
        <v>71</v>
      </c>
      <c r="C56" s="64">
        <v>61</v>
      </c>
      <c r="D56" s="64">
        <v>73</v>
      </c>
      <c r="E56" s="64">
        <v>90</v>
      </c>
      <c r="F56" s="64">
        <v>86</v>
      </c>
      <c r="G56" s="64">
        <v>77</v>
      </c>
      <c r="H56" s="64">
        <v>77</v>
      </c>
      <c r="I56" s="64">
        <v>66</v>
      </c>
      <c r="J56" s="64">
        <v>68</v>
      </c>
      <c r="K56" s="64">
        <v>78</v>
      </c>
      <c r="L56" s="64">
        <v>83</v>
      </c>
      <c r="M56" s="64">
        <v>85</v>
      </c>
      <c r="N56" s="64">
        <v>96</v>
      </c>
      <c r="O56" s="64">
        <v>95</v>
      </c>
      <c r="P56" s="64">
        <v>90</v>
      </c>
      <c r="Q56" s="64">
        <v>94</v>
      </c>
      <c r="R56" s="64">
        <v>103</v>
      </c>
      <c r="S56" s="64">
        <v>94</v>
      </c>
      <c r="T56" s="64">
        <v>100</v>
      </c>
      <c r="U56" s="64">
        <v>101</v>
      </c>
      <c r="V56" s="64">
        <v>103</v>
      </c>
      <c r="W56" s="64">
        <v>103</v>
      </c>
      <c r="X56" s="64">
        <v>97</v>
      </c>
      <c r="Y56" s="64">
        <v>100</v>
      </c>
      <c r="Z56" s="64">
        <v>95</v>
      </c>
      <c r="AA56" s="64">
        <v>95</v>
      </c>
      <c r="AB56" s="64">
        <v>90</v>
      </c>
      <c r="AC56" s="64">
        <v>96</v>
      </c>
      <c r="AD56" s="64">
        <v>90</v>
      </c>
      <c r="AE56" s="145">
        <v>81</v>
      </c>
      <c r="AF56" s="10"/>
    </row>
    <row r="57" spans="1:32" ht="15" customHeight="1" x14ac:dyDescent="0.25">
      <c r="A57" s="152">
        <v>65</v>
      </c>
      <c r="B57" s="15" t="s">
        <v>72</v>
      </c>
      <c r="C57" s="68">
        <v>30</v>
      </c>
      <c r="D57" s="68">
        <v>35</v>
      </c>
      <c r="E57" s="68">
        <v>36</v>
      </c>
      <c r="F57" s="68">
        <v>30</v>
      </c>
      <c r="G57" s="68">
        <v>32</v>
      </c>
      <c r="H57" s="68">
        <v>32</v>
      </c>
      <c r="I57" s="68">
        <v>30</v>
      </c>
      <c r="J57" s="68">
        <v>27</v>
      </c>
      <c r="K57" s="68">
        <v>31</v>
      </c>
      <c r="L57" s="68">
        <v>30</v>
      </c>
      <c r="M57" s="68">
        <v>31</v>
      </c>
      <c r="N57" s="68">
        <v>36</v>
      </c>
      <c r="O57" s="68">
        <v>37</v>
      </c>
      <c r="P57" s="68">
        <v>36</v>
      </c>
      <c r="Q57" s="68">
        <v>38</v>
      </c>
      <c r="R57" s="68">
        <v>39</v>
      </c>
      <c r="S57" s="68">
        <v>33</v>
      </c>
      <c r="T57" s="68">
        <v>37</v>
      </c>
      <c r="U57" s="68">
        <v>38</v>
      </c>
      <c r="V57" s="68">
        <v>39</v>
      </c>
      <c r="W57" s="68">
        <v>37</v>
      </c>
      <c r="X57" s="68">
        <v>36</v>
      </c>
      <c r="Y57" s="68">
        <v>38</v>
      </c>
      <c r="Z57" s="68">
        <v>37</v>
      </c>
      <c r="AA57" s="68">
        <v>35</v>
      </c>
      <c r="AB57" s="68">
        <v>34</v>
      </c>
      <c r="AC57" s="68">
        <v>33</v>
      </c>
      <c r="AD57" s="68">
        <v>29</v>
      </c>
      <c r="AE57" s="153">
        <v>25</v>
      </c>
    </row>
    <row r="58" spans="1:32" ht="15" customHeight="1" x14ac:dyDescent="0.25">
      <c r="A58" s="156">
        <v>66</v>
      </c>
      <c r="B58" s="17" t="s">
        <v>100</v>
      </c>
      <c r="C58" s="70">
        <v>18</v>
      </c>
      <c r="D58" s="70">
        <v>22</v>
      </c>
      <c r="E58" s="70">
        <v>31</v>
      </c>
      <c r="F58" s="70">
        <v>36</v>
      </c>
      <c r="G58" s="70">
        <v>30</v>
      </c>
      <c r="H58" s="70">
        <v>31</v>
      </c>
      <c r="I58" s="70">
        <v>26</v>
      </c>
      <c r="J58" s="70">
        <v>30</v>
      </c>
      <c r="K58" s="70">
        <v>32</v>
      </c>
      <c r="L58" s="70">
        <v>36</v>
      </c>
      <c r="M58" s="70">
        <v>36</v>
      </c>
      <c r="N58" s="70">
        <v>38</v>
      </c>
      <c r="O58" s="70">
        <v>36</v>
      </c>
      <c r="P58" s="70">
        <v>28</v>
      </c>
      <c r="Q58" s="70">
        <v>29</v>
      </c>
      <c r="R58" s="70">
        <v>28</v>
      </c>
      <c r="S58" s="70">
        <v>28</v>
      </c>
      <c r="T58" s="70">
        <v>28</v>
      </c>
      <c r="U58" s="70">
        <v>26</v>
      </c>
      <c r="V58" s="70">
        <v>26</v>
      </c>
      <c r="W58" s="70">
        <v>30</v>
      </c>
      <c r="X58" s="70">
        <v>27</v>
      </c>
      <c r="Y58" s="70">
        <v>29</v>
      </c>
      <c r="Z58" s="70">
        <v>27</v>
      </c>
      <c r="AA58" s="70">
        <v>29</v>
      </c>
      <c r="AB58" s="70">
        <v>28</v>
      </c>
      <c r="AC58" s="70">
        <v>26</v>
      </c>
      <c r="AD58" s="70">
        <v>28</v>
      </c>
      <c r="AE58" s="157">
        <v>27</v>
      </c>
    </row>
    <row r="59" spans="1:32" ht="15" customHeight="1" thickBot="1" x14ac:dyDescent="0.3">
      <c r="A59" s="152">
        <v>67</v>
      </c>
      <c r="B59" s="15" t="s">
        <v>74</v>
      </c>
      <c r="C59" s="68">
        <v>13</v>
      </c>
      <c r="D59" s="68">
        <v>16</v>
      </c>
      <c r="E59" s="68">
        <v>23</v>
      </c>
      <c r="F59" s="68">
        <v>20</v>
      </c>
      <c r="G59" s="68">
        <v>15</v>
      </c>
      <c r="H59" s="68">
        <v>14</v>
      </c>
      <c r="I59" s="68">
        <v>10</v>
      </c>
      <c r="J59" s="68">
        <v>11</v>
      </c>
      <c r="K59" s="68">
        <v>15</v>
      </c>
      <c r="L59" s="68">
        <v>17</v>
      </c>
      <c r="M59" s="68">
        <v>18</v>
      </c>
      <c r="N59" s="68">
        <v>22</v>
      </c>
      <c r="O59" s="68">
        <v>22</v>
      </c>
      <c r="P59" s="68">
        <v>26</v>
      </c>
      <c r="Q59" s="68">
        <v>27</v>
      </c>
      <c r="R59" s="68">
        <v>36</v>
      </c>
      <c r="S59" s="68">
        <v>33</v>
      </c>
      <c r="T59" s="68">
        <v>35</v>
      </c>
      <c r="U59" s="68">
        <v>37</v>
      </c>
      <c r="V59" s="68">
        <v>38</v>
      </c>
      <c r="W59" s="68">
        <v>36</v>
      </c>
      <c r="X59" s="68">
        <v>34</v>
      </c>
      <c r="Y59" s="68">
        <v>33</v>
      </c>
      <c r="Z59" s="68">
        <v>31</v>
      </c>
      <c r="AA59" s="68">
        <v>31</v>
      </c>
      <c r="AB59" s="68">
        <v>28</v>
      </c>
      <c r="AC59" s="68">
        <v>37</v>
      </c>
      <c r="AD59" s="68">
        <v>33</v>
      </c>
      <c r="AE59" s="153">
        <v>29</v>
      </c>
    </row>
    <row r="60" spans="1:32" s="11" customFormat="1" ht="15" customHeight="1" thickBot="1" x14ac:dyDescent="0.3">
      <c r="A60" s="144" t="s">
        <v>75</v>
      </c>
      <c r="B60" s="9" t="s">
        <v>76</v>
      </c>
      <c r="C60" s="64">
        <v>537</v>
      </c>
      <c r="D60" s="64">
        <v>535</v>
      </c>
      <c r="E60" s="64">
        <v>643</v>
      </c>
      <c r="F60" s="64">
        <v>675</v>
      </c>
      <c r="G60" s="64">
        <v>599</v>
      </c>
      <c r="H60" s="64">
        <v>582</v>
      </c>
      <c r="I60" s="64">
        <v>573</v>
      </c>
      <c r="J60" s="64">
        <v>638</v>
      </c>
      <c r="K60" s="64">
        <v>677</v>
      </c>
      <c r="L60" s="64">
        <v>708</v>
      </c>
      <c r="M60" s="64">
        <v>746</v>
      </c>
      <c r="N60" s="64">
        <v>780</v>
      </c>
      <c r="O60" s="64">
        <v>799</v>
      </c>
      <c r="P60" s="64">
        <v>804</v>
      </c>
      <c r="Q60" s="64">
        <v>821</v>
      </c>
      <c r="R60" s="64">
        <v>813</v>
      </c>
      <c r="S60" s="64">
        <v>824</v>
      </c>
      <c r="T60" s="64">
        <v>833</v>
      </c>
      <c r="U60" s="64">
        <v>800</v>
      </c>
      <c r="V60" s="64">
        <v>805</v>
      </c>
      <c r="W60" s="64">
        <v>779</v>
      </c>
      <c r="X60" s="64">
        <v>760</v>
      </c>
      <c r="Y60" s="64">
        <v>742</v>
      </c>
      <c r="Z60" s="64">
        <v>706</v>
      </c>
      <c r="AA60" s="64">
        <v>672</v>
      </c>
      <c r="AB60" s="64">
        <v>658</v>
      </c>
      <c r="AC60" s="64">
        <v>693</v>
      </c>
      <c r="AD60" s="64">
        <v>696</v>
      </c>
      <c r="AE60" s="145">
        <v>656</v>
      </c>
      <c r="AF60" s="10"/>
    </row>
    <row r="61" spans="1:32" ht="15" customHeight="1" x14ac:dyDescent="0.25">
      <c r="A61" s="146">
        <v>70</v>
      </c>
      <c r="B61" s="12" t="s">
        <v>77</v>
      </c>
      <c r="C61" s="65">
        <v>237</v>
      </c>
      <c r="D61" s="65">
        <v>227</v>
      </c>
      <c r="E61" s="65">
        <v>269</v>
      </c>
      <c r="F61" s="65">
        <v>283</v>
      </c>
      <c r="G61" s="65">
        <v>216</v>
      </c>
      <c r="H61" s="65">
        <v>201</v>
      </c>
      <c r="I61" s="65">
        <v>193</v>
      </c>
      <c r="J61" s="65">
        <v>231</v>
      </c>
      <c r="K61" s="65">
        <v>252</v>
      </c>
      <c r="L61" s="65">
        <v>248</v>
      </c>
      <c r="M61" s="65">
        <v>245</v>
      </c>
      <c r="N61" s="65">
        <v>251</v>
      </c>
      <c r="O61" s="65">
        <v>252</v>
      </c>
      <c r="P61" s="65">
        <v>243</v>
      </c>
      <c r="Q61" s="65">
        <v>239</v>
      </c>
      <c r="R61" s="65">
        <v>232</v>
      </c>
      <c r="S61" s="65">
        <v>254</v>
      </c>
      <c r="T61" s="65">
        <v>249</v>
      </c>
      <c r="U61" s="65">
        <v>232</v>
      </c>
      <c r="V61" s="65">
        <v>220</v>
      </c>
      <c r="W61" s="65">
        <v>214</v>
      </c>
      <c r="X61" s="65">
        <v>199</v>
      </c>
      <c r="Y61" s="65">
        <v>194</v>
      </c>
      <c r="Z61" s="65">
        <v>181</v>
      </c>
      <c r="AA61" s="65">
        <v>163</v>
      </c>
      <c r="AB61" s="65">
        <v>160</v>
      </c>
      <c r="AC61" s="65">
        <v>172</v>
      </c>
      <c r="AD61" s="65">
        <v>165</v>
      </c>
      <c r="AE61" s="147">
        <v>154</v>
      </c>
    </row>
    <row r="62" spans="1:32" ht="15" customHeight="1" x14ac:dyDescent="0.25">
      <c r="A62" s="156">
        <v>71</v>
      </c>
      <c r="B62" s="17" t="s">
        <v>78</v>
      </c>
      <c r="C62" s="70">
        <v>12</v>
      </c>
      <c r="D62" s="70">
        <v>11</v>
      </c>
      <c r="E62" s="70">
        <v>16</v>
      </c>
      <c r="F62" s="70">
        <v>14</v>
      </c>
      <c r="G62" s="70">
        <v>15</v>
      </c>
      <c r="H62" s="70">
        <v>14</v>
      </c>
      <c r="I62" s="70">
        <v>13</v>
      </c>
      <c r="J62" s="70">
        <v>18</v>
      </c>
      <c r="K62" s="70">
        <v>14</v>
      </c>
      <c r="L62" s="70">
        <v>19</v>
      </c>
      <c r="M62" s="70">
        <v>19</v>
      </c>
      <c r="N62" s="70">
        <v>20</v>
      </c>
      <c r="O62" s="70">
        <v>24</v>
      </c>
      <c r="P62" s="70">
        <v>21</v>
      </c>
      <c r="Q62" s="70">
        <v>22</v>
      </c>
      <c r="R62" s="70">
        <v>24</v>
      </c>
      <c r="S62" s="70">
        <v>24</v>
      </c>
      <c r="T62" s="70" t="s">
        <v>383</v>
      </c>
      <c r="U62" s="70" t="s">
        <v>383</v>
      </c>
      <c r="V62" s="70" t="s">
        <v>383</v>
      </c>
      <c r="W62" s="70" t="s">
        <v>383</v>
      </c>
      <c r="X62" s="70" t="s">
        <v>383</v>
      </c>
      <c r="Y62" s="70" t="s">
        <v>383</v>
      </c>
      <c r="Z62" s="70" t="s">
        <v>383</v>
      </c>
      <c r="AA62" s="70">
        <v>22</v>
      </c>
      <c r="AB62" s="70">
        <v>21</v>
      </c>
      <c r="AC62" s="70">
        <v>20</v>
      </c>
      <c r="AD62" s="70">
        <v>22</v>
      </c>
      <c r="AE62" s="157" t="s">
        <v>383</v>
      </c>
    </row>
    <row r="63" spans="1:32" ht="15" customHeight="1" x14ac:dyDescent="0.25">
      <c r="A63" s="156">
        <v>72</v>
      </c>
      <c r="B63" s="17" t="s">
        <v>79</v>
      </c>
      <c r="C63" s="70" t="s">
        <v>383</v>
      </c>
      <c r="D63" s="70" t="s">
        <v>383</v>
      </c>
      <c r="E63" s="70" t="s">
        <v>383</v>
      </c>
      <c r="F63" s="70" t="s">
        <v>383</v>
      </c>
      <c r="G63" s="70" t="s">
        <v>383</v>
      </c>
      <c r="H63" s="70" t="s">
        <v>383</v>
      </c>
      <c r="I63" s="70" t="s">
        <v>383</v>
      </c>
      <c r="J63" s="70" t="s">
        <v>383</v>
      </c>
      <c r="K63" s="70" t="s">
        <v>383</v>
      </c>
      <c r="L63" s="70" t="s">
        <v>383</v>
      </c>
      <c r="M63" s="70" t="s">
        <v>383</v>
      </c>
      <c r="N63" s="70" t="s">
        <v>383</v>
      </c>
      <c r="O63" s="70" t="s">
        <v>383</v>
      </c>
      <c r="P63" s="70" t="s">
        <v>383</v>
      </c>
      <c r="Q63" s="70" t="s">
        <v>383</v>
      </c>
      <c r="R63" s="70" t="s">
        <v>383</v>
      </c>
      <c r="S63" s="70" t="s">
        <v>383</v>
      </c>
      <c r="T63" s="70">
        <v>36</v>
      </c>
      <c r="U63" s="70">
        <v>36</v>
      </c>
      <c r="V63" s="70">
        <v>40</v>
      </c>
      <c r="W63" s="70">
        <v>39</v>
      </c>
      <c r="X63" s="70">
        <v>41</v>
      </c>
      <c r="Y63" s="70">
        <v>38</v>
      </c>
      <c r="Z63" s="70">
        <v>38</v>
      </c>
      <c r="AA63" s="70">
        <v>45</v>
      </c>
      <c r="AB63" s="70">
        <v>52</v>
      </c>
      <c r="AC63" s="70">
        <v>53</v>
      </c>
      <c r="AD63" s="70">
        <v>55</v>
      </c>
      <c r="AE63" s="157">
        <v>50</v>
      </c>
    </row>
    <row r="64" spans="1:32" ht="15" customHeight="1" x14ac:dyDescent="0.25">
      <c r="A64" s="156">
        <v>73</v>
      </c>
      <c r="B64" s="17" t="s">
        <v>80</v>
      </c>
      <c r="C64" s="70" t="s">
        <v>383</v>
      </c>
      <c r="D64" s="70" t="s">
        <v>383</v>
      </c>
      <c r="E64" s="70" t="s">
        <v>383</v>
      </c>
      <c r="F64" s="70" t="s">
        <v>383</v>
      </c>
      <c r="G64" s="70" t="s">
        <v>383</v>
      </c>
      <c r="H64" s="70" t="s">
        <v>383</v>
      </c>
      <c r="I64" s="70" t="s">
        <v>383</v>
      </c>
      <c r="J64" s="70" t="s">
        <v>383</v>
      </c>
      <c r="K64" s="70" t="s">
        <v>383</v>
      </c>
      <c r="L64" s="70" t="s">
        <v>383</v>
      </c>
      <c r="M64" s="70" t="s">
        <v>383</v>
      </c>
      <c r="N64" s="70" t="s">
        <v>383</v>
      </c>
      <c r="O64" s="70" t="s">
        <v>383</v>
      </c>
      <c r="P64" s="70" t="s">
        <v>383</v>
      </c>
      <c r="Q64" s="70" t="s">
        <v>383</v>
      </c>
      <c r="R64" s="70" t="s">
        <v>383</v>
      </c>
      <c r="S64" s="70" t="s">
        <v>383</v>
      </c>
      <c r="T64" s="70" t="s">
        <v>383</v>
      </c>
      <c r="U64" s="70" t="s">
        <v>383</v>
      </c>
      <c r="V64" s="70" t="s">
        <v>383</v>
      </c>
      <c r="W64" s="70" t="s">
        <v>383</v>
      </c>
      <c r="X64" s="70" t="s">
        <v>383</v>
      </c>
      <c r="Y64" s="70" t="s">
        <v>383</v>
      </c>
      <c r="Z64" s="70" t="s">
        <v>383</v>
      </c>
      <c r="AA64" s="70">
        <v>4</v>
      </c>
      <c r="AB64" s="70">
        <v>4</v>
      </c>
      <c r="AC64" s="70">
        <v>4</v>
      </c>
      <c r="AD64" s="70">
        <v>4</v>
      </c>
      <c r="AE64" s="157" t="s">
        <v>383</v>
      </c>
    </row>
    <row r="65" spans="1:32" ht="15" customHeight="1" x14ac:dyDescent="0.25">
      <c r="A65" s="156">
        <v>74</v>
      </c>
      <c r="B65" s="17" t="s">
        <v>81</v>
      </c>
      <c r="C65" s="70">
        <v>283</v>
      </c>
      <c r="D65" s="70">
        <v>285</v>
      </c>
      <c r="E65" s="70">
        <v>344</v>
      </c>
      <c r="F65" s="70">
        <v>358</v>
      </c>
      <c r="G65" s="70">
        <v>348</v>
      </c>
      <c r="H65" s="70">
        <v>347</v>
      </c>
      <c r="I65" s="70">
        <v>346</v>
      </c>
      <c r="J65" s="70">
        <v>362</v>
      </c>
      <c r="K65" s="70">
        <v>386</v>
      </c>
      <c r="L65" s="70">
        <v>413</v>
      </c>
      <c r="M65" s="70">
        <v>453</v>
      </c>
      <c r="N65" s="70">
        <v>474</v>
      </c>
      <c r="O65" s="70">
        <v>481</v>
      </c>
      <c r="P65" s="70">
        <v>494</v>
      </c>
      <c r="Q65" s="70">
        <v>509</v>
      </c>
      <c r="R65" s="70">
        <v>511</v>
      </c>
      <c r="S65" s="70">
        <v>503</v>
      </c>
      <c r="T65" s="70">
        <v>505</v>
      </c>
      <c r="U65" s="70">
        <v>490</v>
      </c>
      <c r="V65" s="70">
        <v>501</v>
      </c>
      <c r="W65" s="70">
        <v>485</v>
      </c>
      <c r="X65" s="70">
        <v>474</v>
      </c>
      <c r="Y65" s="70">
        <v>471</v>
      </c>
      <c r="Z65" s="70">
        <v>453</v>
      </c>
      <c r="AA65" s="70">
        <v>430</v>
      </c>
      <c r="AB65" s="70">
        <v>410</v>
      </c>
      <c r="AC65" s="70">
        <v>433</v>
      </c>
      <c r="AD65" s="70">
        <v>439</v>
      </c>
      <c r="AE65" s="157">
        <v>419</v>
      </c>
    </row>
    <row r="66" spans="1:32" ht="15" customHeight="1" thickBot="1" x14ac:dyDescent="0.3">
      <c r="A66" s="158">
        <v>75</v>
      </c>
      <c r="B66" s="18" t="s">
        <v>185</v>
      </c>
      <c r="C66" s="71" t="s">
        <v>383</v>
      </c>
      <c r="D66" s="71">
        <v>4</v>
      </c>
      <c r="E66" s="71">
        <v>6</v>
      </c>
      <c r="F66" s="71">
        <v>9</v>
      </c>
      <c r="G66" s="71">
        <v>10</v>
      </c>
      <c r="H66" s="71">
        <v>11</v>
      </c>
      <c r="I66" s="71">
        <v>12</v>
      </c>
      <c r="J66" s="71">
        <v>13</v>
      </c>
      <c r="K66" s="71">
        <v>14</v>
      </c>
      <c r="L66" s="71">
        <v>14</v>
      </c>
      <c r="M66" s="71">
        <v>13</v>
      </c>
      <c r="N66" s="71">
        <v>14</v>
      </c>
      <c r="O66" s="71">
        <v>16</v>
      </c>
      <c r="P66" s="71">
        <v>18</v>
      </c>
      <c r="Q66" s="71">
        <v>19</v>
      </c>
      <c r="R66" s="71">
        <v>17</v>
      </c>
      <c r="S66" s="71">
        <v>17</v>
      </c>
      <c r="T66" s="71">
        <v>15</v>
      </c>
      <c r="U66" s="71">
        <v>16</v>
      </c>
      <c r="V66" s="71">
        <v>15</v>
      </c>
      <c r="W66" s="71">
        <v>11</v>
      </c>
      <c r="X66" s="71">
        <v>11</v>
      </c>
      <c r="Y66" s="71">
        <v>8</v>
      </c>
      <c r="Z66" s="71">
        <v>8</v>
      </c>
      <c r="AA66" s="71">
        <v>8</v>
      </c>
      <c r="AB66" s="71">
        <v>11</v>
      </c>
      <c r="AC66" s="71">
        <v>11</v>
      </c>
      <c r="AD66" s="71">
        <v>11</v>
      </c>
      <c r="AE66" s="159">
        <v>11</v>
      </c>
    </row>
    <row r="67" spans="1:32" s="11" customFormat="1" ht="15" customHeight="1" thickBot="1" x14ac:dyDescent="0.3">
      <c r="A67" s="160" t="s">
        <v>83</v>
      </c>
      <c r="B67" s="19" t="s">
        <v>84</v>
      </c>
      <c r="C67" s="64">
        <v>55</v>
      </c>
      <c r="D67" s="64">
        <v>57</v>
      </c>
      <c r="E67" s="64">
        <v>68</v>
      </c>
      <c r="F67" s="64">
        <v>62</v>
      </c>
      <c r="G67" s="64">
        <v>55</v>
      </c>
      <c r="H67" s="64">
        <v>54</v>
      </c>
      <c r="I67" s="64">
        <v>50</v>
      </c>
      <c r="J67" s="64">
        <v>59</v>
      </c>
      <c r="K67" s="64">
        <v>63</v>
      </c>
      <c r="L67" s="64">
        <v>64</v>
      </c>
      <c r="M67" s="64">
        <v>66</v>
      </c>
      <c r="N67" s="64">
        <v>74</v>
      </c>
      <c r="O67" s="64">
        <v>76</v>
      </c>
      <c r="P67" s="64">
        <v>77</v>
      </c>
      <c r="Q67" s="64">
        <v>79</v>
      </c>
      <c r="R67" s="64">
        <v>85</v>
      </c>
      <c r="S67" s="64">
        <v>90</v>
      </c>
      <c r="T67" s="64">
        <v>85</v>
      </c>
      <c r="U67" s="64">
        <v>88</v>
      </c>
      <c r="V67" s="64">
        <v>91</v>
      </c>
      <c r="W67" s="64">
        <v>89</v>
      </c>
      <c r="X67" s="64">
        <v>90</v>
      </c>
      <c r="Y67" s="64">
        <v>92</v>
      </c>
      <c r="Z67" s="64">
        <v>87</v>
      </c>
      <c r="AA67" s="64">
        <v>77</v>
      </c>
      <c r="AB67" s="64">
        <v>73</v>
      </c>
      <c r="AC67" s="64">
        <v>80</v>
      </c>
      <c r="AD67" s="64">
        <v>83</v>
      </c>
      <c r="AE67" s="145">
        <v>78</v>
      </c>
      <c r="AF67" s="10"/>
    </row>
    <row r="68" spans="1:32" ht="15" customHeight="1" thickBot="1" x14ac:dyDescent="0.3">
      <c r="A68" s="150">
        <v>80</v>
      </c>
      <c r="B68" s="14" t="s">
        <v>85</v>
      </c>
      <c r="C68" s="70">
        <v>55</v>
      </c>
      <c r="D68" s="67">
        <v>57</v>
      </c>
      <c r="E68" s="67">
        <v>68</v>
      </c>
      <c r="F68" s="67">
        <v>62</v>
      </c>
      <c r="G68" s="67">
        <v>55</v>
      </c>
      <c r="H68" s="67">
        <v>54</v>
      </c>
      <c r="I68" s="67">
        <v>50</v>
      </c>
      <c r="J68" s="67">
        <v>59</v>
      </c>
      <c r="K68" s="67">
        <v>63</v>
      </c>
      <c r="L68" s="67">
        <v>64</v>
      </c>
      <c r="M68" s="67">
        <v>66</v>
      </c>
      <c r="N68" s="67">
        <v>74</v>
      </c>
      <c r="O68" s="67">
        <v>76</v>
      </c>
      <c r="P68" s="67">
        <v>77</v>
      </c>
      <c r="Q68" s="67">
        <v>79</v>
      </c>
      <c r="R68" s="67">
        <v>85</v>
      </c>
      <c r="S68" s="67">
        <v>90</v>
      </c>
      <c r="T68" s="67">
        <v>85</v>
      </c>
      <c r="U68" s="67">
        <v>88</v>
      </c>
      <c r="V68" s="67">
        <v>91</v>
      </c>
      <c r="W68" s="67">
        <v>89</v>
      </c>
      <c r="X68" s="67">
        <v>90</v>
      </c>
      <c r="Y68" s="67">
        <v>92</v>
      </c>
      <c r="Z68" s="67">
        <v>87</v>
      </c>
      <c r="AA68" s="67">
        <v>77</v>
      </c>
      <c r="AB68" s="67">
        <v>73</v>
      </c>
      <c r="AC68" s="67">
        <v>80</v>
      </c>
      <c r="AD68" s="67">
        <v>83</v>
      </c>
      <c r="AE68" s="151">
        <v>78</v>
      </c>
    </row>
    <row r="69" spans="1:32" s="11" customFormat="1" ht="15" customHeight="1" thickBot="1" x14ac:dyDescent="0.3">
      <c r="A69" s="144" t="s">
        <v>86</v>
      </c>
      <c r="B69" s="9" t="s">
        <v>87</v>
      </c>
      <c r="C69" s="64">
        <v>152</v>
      </c>
      <c r="D69" s="64">
        <v>170</v>
      </c>
      <c r="E69" s="64">
        <v>192</v>
      </c>
      <c r="F69" s="64">
        <v>190</v>
      </c>
      <c r="G69" s="64">
        <v>170</v>
      </c>
      <c r="H69" s="64">
        <v>168</v>
      </c>
      <c r="I69" s="64">
        <v>166</v>
      </c>
      <c r="J69" s="64">
        <v>170</v>
      </c>
      <c r="K69" s="64">
        <v>182</v>
      </c>
      <c r="L69" s="64">
        <v>182</v>
      </c>
      <c r="M69" s="64">
        <v>192</v>
      </c>
      <c r="N69" s="64">
        <v>210</v>
      </c>
      <c r="O69" s="64">
        <v>219</v>
      </c>
      <c r="P69" s="64">
        <v>231</v>
      </c>
      <c r="Q69" s="64">
        <v>242</v>
      </c>
      <c r="R69" s="64">
        <v>250</v>
      </c>
      <c r="S69" s="64">
        <v>275</v>
      </c>
      <c r="T69" s="64">
        <v>290</v>
      </c>
      <c r="U69" s="64">
        <v>291</v>
      </c>
      <c r="V69" s="64">
        <v>289</v>
      </c>
      <c r="W69" s="64">
        <v>306</v>
      </c>
      <c r="X69" s="64">
        <v>318</v>
      </c>
      <c r="Y69" s="64">
        <v>327</v>
      </c>
      <c r="Z69" s="64">
        <v>336</v>
      </c>
      <c r="AA69" s="64">
        <v>321</v>
      </c>
      <c r="AB69" s="64">
        <v>322</v>
      </c>
      <c r="AC69" s="64">
        <v>353</v>
      </c>
      <c r="AD69" s="64">
        <v>347</v>
      </c>
      <c r="AE69" s="145">
        <v>332</v>
      </c>
      <c r="AF69" s="10"/>
    </row>
    <row r="70" spans="1:32" ht="15" customHeight="1" thickBot="1" x14ac:dyDescent="0.3">
      <c r="A70" s="150">
        <v>85</v>
      </c>
      <c r="B70" s="14" t="s">
        <v>88</v>
      </c>
      <c r="C70" s="67">
        <v>152</v>
      </c>
      <c r="D70" s="67">
        <v>170</v>
      </c>
      <c r="E70" s="67">
        <v>192</v>
      </c>
      <c r="F70" s="67">
        <v>190</v>
      </c>
      <c r="G70" s="67">
        <v>170</v>
      </c>
      <c r="H70" s="67">
        <v>168</v>
      </c>
      <c r="I70" s="67">
        <v>166</v>
      </c>
      <c r="J70" s="67">
        <v>170</v>
      </c>
      <c r="K70" s="67">
        <v>182</v>
      </c>
      <c r="L70" s="67">
        <v>182</v>
      </c>
      <c r="M70" s="67">
        <v>192</v>
      </c>
      <c r="N70" s="67">
        <v>210</v>
      </c>
      <c r="O70" s="67">
        <v>219</v>
      </c>
      <c r="P70" s="67">
        <v>231</v>
      </c>
      <c r="Q70" s="67">
        <v>242</v>
      </c>
      <c r="R70" s="67">
        <v>250</v>
      </c>
      <c r="S70" s="67">
        <v>275</v>
      </c>
      <c r="T70" s="67">
        <v>290</v>
      </c>
      <c r="U70" s="67">
        <v>291</v>
      </c>
      <c r="V70" s="67">
        <v>289</v>
      </c>
      <c r="W70" s="67">
        <v>306</v>
      </c>
      <c r="X70" s="67">
        <v>318</v>
      </c>
      <c r="Y70" s="67">
        <v>327</v>
      </c>
      <c r="Z70" s="67">
        <v>336</v>
      </c>
      <c r="AA70" s="67">
        <v>321</v>
      </c>
      <c r="AB70" s="67">
        <v>322</v>
      </c>
      <c r="AC70" s="67">
        <v>353</v>
      </c>
      <c r="AD70" s="67">
        <v>347</v>
      </c>
      <c r="AE70" s="151">
        <v>332</v>
      </c>
    </row>
    <row r="71" spans="1:32" s="11" customFormat="1" ht="15" customHeight="1" thickBot="1" x14ac:dyDescent="0.3">
      <c r="A71" s="144" t="s">
        <v>89</v>
      </c>
      <c r="B71" s="9" t="s">
        <v>90</v>
      </c>
      <c r="C71" s="64">
        <v>258</v>
      </c>
      <c r="D71" s="64">
        <v>266</v>
      </c>
      <c r="E71" s="64">
        <v>295</v>
      </c>
      <c r="F71" s="64">
        <v>276</v>
      </c>
      <c r="G71" s="64">
        <v>249</v>
      </c>
      <c r="H71" s="64">
        <v>253</v>
      </c>
      <c r="I71" s="64">
        <v>255</v>
      </c>
      <c r="J71" s="64">
        <v>284</v>
      </c>
      <c r="K71" s="64">
        <v>304</v>
      </c>
      <c r="L71" s="64">
        <v>333</v>
      </c>
      <c r="M71" s="64">
        <v>344</v>
      </c>
      <c r="N71" s="64">
        <v>352</v>
      </c>
      <c r="O71" s="64">
        <v>353</v>
      </c>
      <c r="P71" s="64">
        <v>386</v>
      </c>
      <c r="Q71" s="64">
        <v>396</v>
      </c>
      <c r="R71" s="64">
        <v>425</v>
      </c>
      <c r="S71" s="64">
        <v>416</v>
      </c>
      <c r="T71" s="64">
        <v>397</v>
      </c>
      <c r="U71" s="64">
        <v>379</v>
      </c>
      <c r="V71" s="64">
        <v>391</v>
      </c>
      <c r="W71" s="64">
        <v>393</v>
      </c>
      <c r="X71" s="64">
        <v>389</v>
      </c>
      <c r="Y71" s="64">
        <v>377</v>
      </c>
      <c r="Z71" s="64">
        <v>345</v>
      </c>
      <c r="AA71" s="64">
        <v>321</v>
      </c>
      <c r="AB71" s="64">
        <v>322</v>
      </c>
      <c r="AC71" s="64">
        <v>338</v>
      </c>
      <c r="AD71" s="64">
        <v>331</v>
      </c>
      <c r="AE71" s="145">
        <v>306</v>
      </c>
      <c r="AF71" s="10"/>
    </row>
    <row r="72" spans="1:32" ht="15" customHeight="1" x14ac:dyDescent="0.25">
      <c r="A72" s="146">
        <v>90</v>
      </c>
      <c r="B72" s="12" t="s">
        <v>91</v>
      </c>
      <c r="C72" s="65">
        <v>7</v>
      </c>
      <c r="D72" s="65">
        <v>8</v>
      </c>
      <c r="E72" s="65">
        <v>10</v>
      </c>
      <c r="F72" s="65">
        <v>7</v>
      </c>
      <c r="G72" s="65">
        <v>6</v>
      </c>
      <c r="H72" s="65">
        <v>6</v>
      </c>
      <c r="I72" s="65">
        <v>4</v>
      </c>
      <c r="J72" s="65">
        <v>5</v>
      </c>
      <c r="K72" s="65">
        <v>6</v>
      </c>
      <c r="L72" s="65">
        <v>8</v>
      </c>
      <c r="M72" s="65">
        <v>9</v>
      </c>
      <c r="N72" s="65">
        <v>9</v>
      </c>
      <c r="O72" s="65">
        <v>8</v>
      </c>
      <c r="P72" s="65">
        <v>9</v>
      </c>
      <c r="Q72" s="65">
        <v>12</v>
      </c>
      <c r="R72" s="65">
        <v>13</v>
      </c>
      <c r="S72" s="65">
        <v>12</v>
      </c>
      <c r="T72" s="65">
        <v>11</v>
      </c>
      <c r="U72" s="65">
        <v>11</v>
      </c>
      <c r="V72" s="65">
        <v>13</v>
      </c>
      <c r="W72" s="65">
        <v>15</v>
      </c>
      <c r="X72" s="65">
        <v>15</v>
      </c>
      <c r="Y72" s="65">
        <v>15</v>
      </c>
      <c r="Z72" s="65">
        <v>16</v>
      </c>
      <c r="AA72" s="65">
        <v>13</v>
      </c>
      <c r="AB72" s="65">
        <v>11</v>
      </c>
      <c r="AC72" s="65">
        <v>11</v>
      </c>
      <c r="AD72" s="65">
        <v>11</v>
      </c>
      <c r="AE72" s="147">
        <v>11</v>
      </c>
    </row>
    <row r="73" spans="1:32" ht="15" customHeight="1" x14ac:dyDescent="0.25">
      <c r="A73" s="156">
        <v>91</v>
      </c>
      <c r="B73" s="17" t="s">
        <v>92</v>
      </c>
      <c r="C73" s="70">
        <v>114</v>
      </c>
      <c r="D73" s="70">
        <v>116</v>
      </c>
      <c r="E73" s="70">
        <v>135</v>
      </c>
      <c r="F73" s="70">
        <v>132</v>
      </c>
      <c r="G73" s="70">
        <v>120</v>
      </c>
      <c r="H73" s="70">
        <v>122</v>
      </c>
      <c r="I73" s="70">
        <v>125</v>
      </c>
      <c r="J73" s="70">
        <v>131</v>
      </c>
      <c r="K73" s="70">
        <v>138</v>
      </c>
      <c r="L73" s="70">
        <v>148</v>
      </c>
      <c r="M73" s="70">
        <v>150</v>
      </c>
      <c r="N73" s="70">
        <v>153</v>
      </c>
      <c r="O73" s="70">
        <v>155</v>
      </c>
      <c r="P73" s="70">
        <v>153</v>
      </c>
      <c r="Q73" s="70">
        <v>161</v>
      </c>
      <c r="R73" s="70">
        <v>164</v>
      </c>
      <c r="S73" s="70">
        <v>168</v>
      </c>
      <c r="T73" s="70">
        <v>178</v>
      </c>
      <c r="U73" s="70">
        <v>173</v>
      </c>
      <c r="V73" s="70">
        <v>177</v>
      </c>
      <c r="W73" s="70">
        <v>174</v>
      </c>
      <c r="X73" s="70">
        <v>170</v>
      </c>
      <c r="Y73" s="70">
        <v>167</v>
      </c>
      <c r="Z73" s="70">
        <v>164</v>
      </c>
      <c r="AA73" s="70">
        <v>159</v>
      </c>
      <c r="AB73" s="70">
        <v>161</v>
      </c>
      <c r="AC73" s="70">
        <v>163</v>
      </c>
      <c r="AD73" s="70">
        <v>163</v>
      </c>
      <c r="AE73" s="157">
        <v>155</v>
      </c>
    </row>
    <row r="74" spans="1:32" ht="15" customHeight="1" x14ac:dyDescent="0.25">
      <c r="A74" s="156">
        <v>92</v>
      </c>
      <c r="B74" s="17" t="s">
        <v>93</v>
      </c>
      <c r="C74" s="70">
        <v>38</v>
      </c>
      <c r="D74" s="70">
        <v>42</v>
      </c>
      <c r="E74" s="70">
        <v>42</v>
      </c>
      <c r="F74" s="70">
        <v>49</v>
      </c>
      <c r="G74" s="70">
        <v>40</v>
      </c>
      <c r="H74" s="70">
        <v>35</v>
      </c>
      <c r="I74" s="70">
        <v>34</v>
      </c>
      <c r="J74" s="70">
        <v>41</v>
      </c>
      <c r="K74" s="70">
        <v>43</v>
      </c>
      <c r="L74" s="70">
        <v>47</v>
      </c>
      <c r="M74" s="70">
        <v>53</v>
      </c>
      <c r="N74" s="70">
        <v>60</v>
      </c>
      <c r="O74" s="70">
        <v>55</v>
      </c>
      <c r="P74" s="70">
        <v>69</v>
      </c>
      <c r="Q74" s="70">
        <v>73</v>
      </c>
      <c r="R74" s="70">
        <v>85</v>
      </c>
      <c r="S74" s="70">
        <v>82</v>
      </c>
      <c r="T74" s="70">
        <v>71</v>
      </c>
      <c r="U74" s="70">
        <v>75</v>
      </c>
      <c r="V74" s="70">
        <v>77</v>
      </c>
      <c r="W74" s="70">
        <v>83</v>
      </c>
      <c r="X74" s="70">
        <v>81</v>
      </c>
      <c r="Y74" s="70">
        <v>76</v>
      </c>
      <c r="Z74" s="70">
        <v>71</v>
      </c>
      <c r="AA74" s="70">
        <v>61</v>
      </c>
      <c r="AB74" s="70">
        <v>61</v>
      </c>
      <c r="AC74" s="70">
        <v>67</v>
      </c>
      <c r="AD74" s="70">
        <v>63</v>
      </c>
      <c r="AE74" s="157">
        <v>66</v>
      </c>
    </row>
    <row r="75" spans="1:32" ht="15" customHeight="1" thickBot="1" x14ac:dyDescent="0.3">
      <c r="A75" s="158">
        <v>93</v>
      </c>
      <c r="B75" s="18" t="s">
        <v>94</v>
      </c>
      <c r="C75" s="76">
        <v>99</v>
      </c>
      <c r="D75" s="76">
        <v>100</v>
      </c>
      <c r="E75" s="76">
        <v>108</v>
      </c>
      <c r="F75" s="76">
        <v>88</v>
      </c>
      <c r="G75" s="76">
        <v>83</v>
      </c>
      <c r="H75" s="76">
        <v>90</v>
      </c>
      <c r="I75" s="76">
        <v>92</v>
      </c>
      <c r="J75" s="76">
        <v>107</v>
      </c>
      <c r="K75" s="76">
        <v>117</v>
      </c>
      <c r="L75" s="76">
        <v>130</v>
      </c>
      <c r="M75" s="76">
        <v>132</v>
      </c>
      <c r="N75" s="76">
        <v>130</v>
      </c>
      <c r="O75" s="76">
        <v>135</v>
      </c>
      <c r="P75" s="76">
        <v>155</v>
      </c>
      <c r="Q75" s="76">
        <v>150</v>
      </c>
      <c r="R75" s="76">
        <v>163</v>
      </c>
      <c r="S75" s="76">
        <v>154</v>
      </c>
      <c r="T75" s="76">
        <v>137</v>
      </c>
      <c r="U75" s="76">
        <v>120</v>
      </c>
      <c r="V75" s="76">
        <v>124</v>
      </c>
      <c r="W75" s="76">
        <v>121</v>
      </c>
      <c r="X75" s="76">
        <v>123</v>
      </c>
      <c r="Y75" s="76">
        <v>119</v>
      </c>
      <c r="Z75" s="76">
        <v>94</v>
      </c>
      <c r="AA75" s="76">
        <v>88</v>
      </c>
      <c r="AB75" s="76">
        <v>89</v>
      </c>
      <c r="AC75" s="76">
        <v>97</v>
      </c>
      <c r="AD75" s="76">
        <v>94</v>
      </c>
      <c r="AE75" s="165">
        <v>74</v>
      </c>
    </row>
    <row r="76" spans="1:32" s="23" customFormat="1" ht="15" customHeight="1" thickBot="1" x14ac:dyDescent="0.3">
      <c r="A76" s="166"/>
      <c r="B76" s="167" t="s">
        <v>95</v>
      </c>
      <c r="C76" s="168">
        <v>3498</v>
      </c>
      <c r="D76" s="168">
        <v>3530</v>
      </c>
      <c r="E76" s="168">
        <v>4125</v>
      </c>
      <c r="F76" s="168">
        <v>4219</v>
      </c>
      <c r="G76" s="168">
        <v>3623</v>
      </c>
      <c r="H76" s="168">
        <v>3544</v>
      </c>
      <c r="I76" s="168">
        <v>3473</v>
      </c>
      <c r="J76" s="168">
        <v>3769</v>
      </c>
      <c r="K76" s="168">
        <v>4021</v>
      </c>
      <c r="L76" s="168">
        <v>4279</v>
      </c>
      <c r="M76" s="168">
        <v>4563</v>
      </c>
      <c r="N76" s="168">
        <v>4863</v>
      </c>
      <c r="O76" s="168">
        <v>5024</v>
      </c>
      <c r="P76" s="168">
        <v>5264</v>
      </c>
      <c r="Q76" s="168">
        <v>5421</v>
      </c>
      <c r="R76" s="168">
        <v>5655</v>
      </c>
      <c r="S76" s="168">
        <v>5743</v>
      </c>
      <c r="T76" s="168">
        <v>5840</v>
      </c>
      <c r="U76" s="168">
        <v>5787</v>
      </c>
      <c r="V76" s="168">
        <v>5951</v>
      </c>
      <c r="W76" s="168">
        <v>5876</v>
      </c>
      <c r="X76" s="168">
        <v>5919</v>
      </c>
      <c r="Y76" s="168">
        <v>5888</v>
      </c>
      <c r="Z76" s="168">
        <v>5685</v>
      </c>
      <c r="AA76" s="168">
        <v>5314</v>
      </c>
      <c r="AB76" s="168">
        <v>5339</v>
      </c>
      <c r="AC76" s="168">
        <v>5702</v>
      </c>
      <c r="AD76" s="168">
        <v>5643</v>
      </c>
      <c r="AE76" s="169">
        <v>5496</v>
      </c>
      <c r="AF76" s="22"/>
    </row>
    <row r="77" spans="1:32" ht="12" customHeight="1" x14ac:dyDescent="0.25">
      <c r="A77" s="7"/>
      <c r="B77" s="7"/>
      <c r="C77" s="7"/>
      <c r="D77" s="7"/>
      <c r="E77" s="24"/>
      <c r="F77" s="7"/>
      <c r="G77" s="25"/>
      <c r="H77" s="7"/>
      <c r="I77" s="7"/>
      <c r="J77" s="7"/>
      <c r="K77" s="7"/>
      <c r="L77" s="7"/>
      <c r="M77" s="7"/>
      <c r="N77" s="7"/>
      <c r="O77" s="7"/>
      <c r="P77" s="7"/>
      <c r="Q77" s="7"/>
      <c r="R77" s="7"/>
      <c r="S77" s="7"/>
      <c r="T77" s="7"/>
      <c r="U77" s="7"/>
      <c r="V77" s="7"/>
      <c r="W77" s="7"/>
      <c r="X77" s="7"/>
      <c r="Y77" s="7"/>
      <c r="Z77" s="7"/>
      <c r="AA77" s="7"/>
      <c r="AB77" s="7"/>
      <c r="AC77" s="7"/>
      <c r="AD77" s="7"/>
      <c r="AE77" s="7"/>
    </row>
    <row r="78" spans="1:32" ht="11.25" x14ac:dyDescent="0.25">
      <c r="A78" s="307" t="s">
        <v>96</v>
      </c>
      <c r="B78" s="307"/>
      <c r="C78" s="277"/>
      <c r="D78" s="277"/>
      <c r="E78" s="277"/>
      <c r="F78" s="26"/>
      <c r="G78" s="26"/>
      <c r="H78" s="7"/>
      <c r="I78" s="7"/>
      <c r="J78" s="7"/>
      <c r="K78" s="7"/>
      <c r="L78" s="7"/>
      <c r="M78" s="7"/>
      <c r="N78" s="7"/>
      <c r="O78" s="7"/>
      <c r="P78" s="7"/>
      <c r="Q78" s="7"/>
      <c r="R78" s="7"/>
      <c r="S78" s="7"/>
      <c r="T78" s="7"/>
      <c r="U78" s="7"/>
      <c r="V78" s="7"/>
      <c r="W78" s="7"/>
      <c r="X78" s="7"/>
      <c r="Y78" s="7"/>
      <c r="Z78" s="7"/>
      <c r="AA78" s="7"/>
      <c r="AB78" s="7"/>
      <c r="AC78" s="7"/>
      <c r="AD78" s="7"/>
      <c r="AE78" s="7"/>
    </row>
    <row r="79" spans="1:32" ht="26.45" customHeight="1" x14ac:dyDescent="0.25">
      <c r="A79" s="307" t="s">
        <v>381</v>
      </c>
      <c r="B79" s="307"/>
      <c r="C79" s="307"/>
      <c r="D79" s="277"/>
      <c r="E79" s="277"/>
      <c r="F79" s="277"/>
      <c r="G79" s="277"/>
      <c r="H79" s="27"/>
      <c r="I79" s="27"/>
      <c r="J79" s="27"/>
      <c r="K79" s="27"/>
      <c r="L79" s="7"/>
      <c r="M79" s="7"/>
      <c r="N79" s="7"/>
      <c r="O79" s="7"/>
      <c r="P79" s="7"/>
      <c r="Q79" s="7"/>
      <c r="R79" s="7"/>
      <c r="S79" s="7"/>
      <c r="T79" s="7"/>
      <c r="U79" s="7"/>
      <c r="V79" s="7"/>
      <c r="W79" s="7"/>
      <c r="X79" s="7"/>
      <c r="Y79" s="7"/>
      <c r="Z79" s="7"/>
      <c r="AA79" s="7"/>
      <c r="AB79" s="7"/>
      <c r="AC79" s="7"/>
      <c r="AD79" s="7"/>
      <c r="AE79" s="7"/>
    </row>
    <row r="80" spans="1:32" ht="26.45" customHeight="1" x14ac:dyDescent="0.25">
      <c r="A80" s="307" t="s">
        <v>382</v>
      </c>
      <c r="B80" s="307"/>
      <c r="C80" s="307"/>
      <c r="D80" s="277"/>
      <c r="E80" s="277"/>
      <c r="F80" s="277"/>
      <c r="G80" s="277"/>
      <c r="H80" s="27"/>
      <c r="I80" s="27"/>
      <c r="J80" s="27"/>
      <c r="K80" s="27"/>
      <c r="L80" s="7"/>
      <c r="M80" s="7"/>
      <c r="N80" s="7"/>
      <c r="O80" s="7"/>
      <c r="P80" s="7"/>
      <c r="Q80" s="7"/>
      <c r="R80" s="7"/>
      <c r="S80" s="7"/>
      <c r="T80" s="7"/>
      <c r="U80" s="7"/>
      <c r="V80" s="7"/>
      <c r="W80" s="7"/>
      <c r="X80" s="7"/>
      <c r="Y80" s="7"/>
      <c r="Z80" s="7"/>
      <c r="AA80" s="7"/>
      <c r="AB80" s="7"/>
      <c r="AC80" s="7"/>
      <c r="AD80" s="7"/>
      <c r="AE80" s="7"/>
    </row>
    <row r="81" spans="1:32" ht="26.45" customHeight="1" x14ac:dyDescent="0.25">
      <c r="A81" s="307" t="s">
        <v>151</v>
      </c>
      <c r="B81" s="307"/>
      <c r="C81" s="307"/>
      <c r="D81" s="277"/>
      <c r="E81" s="277"/>
      <c r="F81" s="277"/>
      <c r="G81" s="277"/>
      <c r="H81" s="27"/>
      <c r="I81" s="27"/>
      <c r="J81" s="27"/>
      <c r="K81" s="27"/>
      <c r="L81" s="7"/>
      <c r="M81" s="7"/>
      <c r="N81" s="7"/>
      <c r="O81" s="7"/>
      <c r="P81" s="7"/>
      <c r="Q81" s="7"/>
      <c r="R81" s="7"/>
      <c r="S81" s="7"/>
      <c r="T81" s="7"/>
      <c r="U81" s="7"/>
      <c r="V81" s="7"/>
      <c r="W81" s="7"/>
      <c r="X81" s="7"/>
      <c r="Y81" s="7"/>
      <c r="Z81" s="7"/>
      <c r="AA81" s="7"/>
      <c r="AB81" s="7"/>
      <c r="AC81" s="7"/>
      <c r="AD81" s="7"/>
      <c r="AE81" s="7"/>
    </row>
    <row r="82" spans="1:32" ht="46.5" customHeight="1" x14ac:dyDescent="0.25">
      <c r="A82" s="307" t="s">
        <v>384</v>
      </c>
      <c r="B82" s="307"/>
      <c r="C82" s="307"/>
      <c r="D82" s="307"/>
      <c r="E82" s="307"/>
      <c r="F82" s="307"/>
      <c r="G82" s="307"/>
      <c r="H82" s="28"/>
      <c r="I82" s="28"/>
      <c r="J82" s="28"/>
      <c r="K82" s="29"/>
      <c r="L82" s="29"/>
      <c r="M82" s="29"/>
      <c r="N82" s="29"/>
      <c r="O82" s="29"/>
      <c r="P82" s="29"/>
      <c r="Q82" s="29"/>
      <c r="R82" s="29"/>
      <c r="S82" s="29"/>
      <c r="T82" s="29"/>
      <c r="U82" s="29"/>
      <c r="V82" s="29"/>
      <c r="W82" s="29"/>
      <c r="X82" s="29"/>
      <c r="Y82" s="29"/>
      <c r="Z82" s="29"/>
      <c r="AA82" s="29"/>
      <c r="AB82" s="29"/>
      <c r="AC82" s="29"/>
      <c r="AD82" s="29"/>
      <c r="AE82" s="29"/>
      <c r="AF82" s="29"/>
    </row>
    <row r="83" spans="1:32" ht="19.899999999999999" customHeight="1" x14ac:dyDescent="0.25">
      <c r="A83" s="276"/>
      <c r="B83" s="276"/>
      <c r="C83" s="276"/>
      <c r="D83" s="276"/>
      <c r="E83" s="276"/>
      <c r="F83" s="276"/>
      <c r="G83" s="276"/>
      <c r="H83" s="28"/>
      <c r="I83" s="28"/>
      <c r="J83" s="28"/>
      <c r="K83" s="7"/>
      <c r="L83" s="7"/>
      <c r="M83" s="7"/>
      <c r="N83" s="7"/>
      <c r="O83" s="7"/>
      <c r="P83" s="7"/>
      <c r="Q83" s="7"/>
      <c r="R83" s="7"/>
      <c r="S83" s="7"/>
      <c r="T83" s="7"/>
      <c r="U83" s="7"/>
      <c r="V83" s="7"/>
      <c r="W83" s="7"/>
      <c r="X83" s="7"/>
      <c r="Y83" s="7"/>
      <c r="Z83" s="7"/>
      <c r="AA83" s="7"/>
      <c r="AB83" s="7"/>
      <c r="AC83" s="7"/>
      <c r="AD83" s="7"/>
      <c r="AE83" s="7"/>
    </row>
    <row r="84" spans="1:32" ht="6.75" customHeight="1" x14ac:dyDescent="0.25">
      <c r="A84" s="7"/>
      <c r="B84" s="7"/>
      <c r="C84" s="7"/>
      <c r="D84" s="7"/>
      <c r="E84" s="7"/>
      <c r="F84" s="7"/>
      <c r="G84" s="7"/>
      <c r="H84" s="7"/>
      <c r="I84" s="7"/>
      <c r="J84" s="7"/>
      <c r="K84" s="7"/>
      <c r="L84" s="7"/>
      <c r="M84" s="7"/>
      <c r="N84" s="7"/>
      <c r="O84" s="7"/>
      <c r="P84" s="7"/>
      <c r="Q84" s="7"/>
      <c r="R84" s="7"/>
      <c r="S84" s="7"/>
      <c r="T84" s="7"/>
      <c r="U84" s="7"/>
      <c r="V84" s="7"/>
      <c r="W84" s="7"/>
      <c r="X84" s="7"/>
      <c r="Y84" s="7"/>
      <c r="Z84" s="7"/>
      <c r="AA84" s="7"/>
      <c r="AB84" s="7"/>
      <c r="AC84" s="7"/>
      <c r="AD84" s="7"/>
      <c r="AE84" s="7"/>
    </row>
    <row r="85" spans="1:32" ht="0" hidden="1" customHeight="1" x14ac:dyDescent="0.25"/>
    <row r="86" spans="1:32" ht="0" hidden="1" customHeight="1" x14ac:dyDescent="0.25"/>
    <row r="87" spans="1:32" ht="0" hidden="1" customHeight="1" x14ac:dyDescent="0.25"/>
    <row r="88" spans="1:32" ht="0" hidden="1" customHeight="1" x14ac:dyDescent="0.25"/>
    <row r="89" spans="1:32" ht="0" hidden="1" customHeight="1" x14ac:dyDescent="0.25"/>
    <row r="90" spans="1:32" ht="0" hidden="1" customHeight="1" x14ac:dyDescent="0.25"/>
    <row r="91" spans="1:32" ht="0" hidden="1" customHeight="1" x14ac:dyDescent="0.25"/>
    <row r="92" spans="1:32" ht="0" hidden="1" customHeight="1" x14ac:dyDescent="0.25"/>
    <row r="93" spans="1:32" ht="0" hidden="1" customHeight="1" x14ac:dyDescent="0.25"/>
    <row r="94" spans="1:32" ht="0" hidden="1" customHeight="1" x14ac:dyDescent="0.25"/>
  </sheetData>
  <mergeCells count="37">
    <mergeCell ref="A80:C80"/>
    <mergeCell ref="A81:C81"/>
    <mergeCell ref="A78:B78"/>
    <mergeCell ref="N4:N5"/>
    <mergeCell ref="O4:O5"/>
    <mergeCell ref="L4:L5"/>
    <mergeCell ref="M4:M5"/>
    <mergeCell ref="I4:I5"/>
    <mergeCell ref="J4:J5"/>
    <mergeCell ref="H4:H5"/>
    <mergeCell ref="A82:G82"/>
    <mergeCell ref="AE4:AE5"/>
    <mergeCell ref="Y4:Y5"/>
    <mergeCell ref="AB4:AB5"/>
    <mergeCell ref="Z4:Z5"/>
    <mergeCell ref="A79:C79"/>
    <mergeCell ref="X4:X5"/>
    <mergeCell ref="S4:S5"/>
    <mergeCell ref="T4:T5"/>
    <mergeCell ref="P4:P5"/>
    <mergeCell ref="U4:U5"/>
    <mergeCell ref="V4:V5"/>
    <mergeCell ref="W4:W5"/>
    <mergeCell ref="F4:F5"/>
    <mergeCell ref="K4:K5"/>
    <mergeCell ref="G4:G5"/>
    <mergeCell ref="AD4:AD5"/>
    <mergeCell ref="A2:C2"/>
    <mergeCell ref="B4:B5"/>
    <mergeCell ref="C4:C5"/>
    <mergeCell ref="D4:D5"/>
    <mergeCell ref="E4:E5"/>
    <mergeCell ref="A4:A5"/>
    <mergeCell ref="AC4:AC5"/>
    <mergeCell ref="AA4:AA5"/>
    <mergeCell ref="Q4:Q5"/>
    <mergeCell ref="R4:R5"/>
  </mergeCells>
  <pageMargins left="0.74803149606299213" right="0.74803149606299213" top="0.98425196850393704" bottom="0.98425196850393704" header="0" footer="0"/>
  <pageSetup paperSize="9" scale="65" fitToWidth="19" orientation="portrait" r:id="rId1"/>
  <headerFooter alignWithMargins="0"/>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34"/>
  <dimension ref="A1:DW94"/>
  <sheetViews>
    <sheetView zoomScale="115" zoomScaleNormal="115" workbookViewId="0">
      <pane xSplit="2" ySplit="5" topLeftCell="C6" activePane="bottomRight" state="frozen"/>
      <selection activeCell="C6" sqref="C6"/>
      <selection pane="topRight" activeCell="C6" sqref="C6"/>
      <selection pane="bottomLeft" activeCell="C6" sqref="C6"/>
      <selection pane="bottomRight" activeCell="C6" sqref="C6"/>
    </sheetView>
  </sheetViews>
  <sheetFormatPr baseColWidth="10" defaultColWidth="0" defaultRowHeight="0" customHeight="1" zeroHeight="1" x14ac:dyDescent="0.25"/>
  <cols>
    <col min="1" max="1" width="5.7109375" style="8" customWidth="1"/>
    <col min="2" max="2" width="62.7109375" style="8" customWidth="1"/>
    <col min="3" max="4" width="11.140625" style="30" customWidth="1"/>
    <col min="5" max="6" width="11.140625" style="8" customWidth="1"/>
    <col min="7" max="7" width="11.140625" style="31" customWidth="1"/>
    <col min="8" max="31" width="11.140625" style="8" customWidth="1"/>
    <col min="32" max="32" width="5.42578125" style="7" customWidth="1"/>
    <col min="33" max="127" width="0" style="8" hidden="1" customWidth="1"/>
    <col min="128" max="16384" width="5.42578125" style="8" hidden="1"/>
  </cols>
  <sheetData>
    <row r="1" spans="1:32" s="5" customFormat="1" ht="25.5" customHeight="1" thickBot="1" x14ac:dyDescent="0.25">
      <c r="A1" s="1"/>
      <c r="B1" s="2"/>
      <c r="C1" s="3"/>
      <c r="D1" s="172" t="s">
        <v>0</v>
      </c>
      <c r="E1" s="171"/>
      <c r="F1" s="171"/>
      <c r="G1" s="173"/>
      <c r="H1" s="171"/>
      <c r="I1" s="171"/>
      <c r="J1" s="171"/>
      <c r="K1" s="171"/>
      <c r="L1" s="171"/>
      <c r="M1" s="171"/>
      <c r="N1" s="171"/>
      <c r="O1" s="171"/>
      <c r="P1" s="171"/>
      <c r="Q1" s="171"/>
      <c r="R1" s="171"/>
      <c r="S1" s="171"/>
      <c r="T1" s="171"/>
      <c r="U1" s="171"/>
      <c r="V1" s="171"/>
      <c r="W1" s="171"/>
      <c r="X1" s="171"/>
      <c r="Y1" s="171"/>
      <c r="Z1" s="171"/>
      <c r="AA1" s="171"/>
      <c r="AB1" s="171"/>
      <c r="AC1" s="171"/>
      <c r="AD1" s="171"/>
      <c r="AE1" s="171"/>
      <c r="AF1" s="2"/>
    </row>
    <row r="2" spans="1:32" ht="22.5" customHeight="1" thickBot="1" x14ac:dyDescent="0.3">
      <c r="A2" s="303" t="s">
        <v>112</v>
      </c>
      <c r="B2" s="304"/>
      <c r="C2" s="304"/>
      <c r="D2" s="140"/>
      <c r="E2" s="140"/>
      <c r="F2" s="140"/>
      <c r="G2" s="140"/>
      <c r="H2" s="140"/>
      <c r="I2" s="140"/>
      <c r="J2" s="140"/>
      <c r="K2" s="140"/>
      <c r="L2" s="140"/>
      <c r="M2" s="140"/>
      <c r="N2" s="140"/>
      <c r="O2" s="140"/>
      <c r="P2" s="140"/>
      <c r="Q2" s="140"/>
      <c r="R2" s="140"/>
      <c r="S2" s="140"/>
      <c r="T2" s="140"/>
      <c r="U2" s="140"/>
      <c r="V2" s="140"/>
      <c r="W2" s="140"/>
      <c r="X2" s="140"/>
      <c r="Y2" s="140"/>
      <c r="Z2" s="140"/>
      <c r="AA2" s="140"/>
      <c r="AB2" s="140"/>
      <c r="AC2" s="140"/>
      <c r="AD2" s="140"/>
      <c r="AE2" s="141"/>
    </row>
    <row r="3" spans="1:32" ht="16.5" customHeight="1" thickBot="1" x14ac:dyDescent="0.25">
      <c r="A3" s="142" t="s">
        <v>299</v>
      </c>
      <c r="B3" s="57"/>
      <c r="C3" s="57"/>
      <c r="D3" s="58"/>
      <c r="E3" s="58"/>
      <c r="F3" s="58"/>
      <c r="G3" s="58"/>
      <c r="H3" s="59"/>
      <c r="I3" s="59"/>
      <c r="J3" s="59"/>
      <c r="K3" s="59"/>
      <c r="L3" s="59"/>
      <c r="M3" s="59"/>
      <c r="N3" s="59"/>
      <c r="O3" s="59"/>
      <c r="P3" s="59"/>
      <c r="Q3" s="59"/>
      <c r="R3" s="59"/>
      <c r="S3" s="59"/>
      <c r="T3" s="59"/>
      <c r="U3" s="59"/>
      <c r="V3" s="59"/>
      <c r="W3" s="59"/>
      <c r="X3" s="59"/>
      <c r="Y3" s="59"/>
      <c r="Z3" s="59"/>
      <c r="AA3" s="59"/>
      <c r="AB3" s="59"/>
      <c r="AC3" s="59"/>
      <c r="AD3" s="59"/>
      <c r="AE3" s="143"/>
    </row>
    <row r="4" spans="1:32" ht="15.75" customHeight="1" x14ac:dyDescent="0.25">
      <c r="A4" s="310"/>
      <c r="B4" s="308" t="s">
        <v>2</v>
      </c>
      <c r="C4" s="301">
        <v>1996</v>
      </c>
      <c r="D4" s="301">
        <v>1997</v>
      </c>
      <c r="E4" s="301">
        <v>1998</v>
      </c>
      <c r="F4" s="301">
        <v>1999</v>
      </c>
      <c r="G4" s="301">
        <v>2000</v>
      </c>
      <c r="H4" s="301">
        <v>2001</v>
      </c>
      <c r="I4" s="301">
        <v>2002</v>
      </c>
      <c r="J4" s="301">
        <v>2003</v>
      </c>
      <c r="K4" s="301">
        <v>2004</v>
      </c>
      <c r="L4" s="301">
        <v>2005</v>
      </c>
      <c r="M4" s="301">
        <v>2006</v>
      </c>
      <c r="N4" s="301">
        <v>2007</v>
      </c>
      <c r="O4" s="301">
        <v>2008</v>
      </c>
      <c r="P4" s="301">
        <v>2009</v>
      </c>
      <c r="Q4" s="301">
        <v>2010</v>
      </c>
      <c r="R4" s="301">
        <v>2011</v>
      </c>
      <c r="S4" s="301">
        <v>2012</v>
      </c>
      <c r="T4" s="301">
        <v>2013</v>
      </c>
      <c r="U4" s="301">
        <v>2014</v>
      </c>
      <c r="V4" s="301">
        <v>2015</v>
      </c>
      <c r="W4" s="301">
        <v>2016</v>
      </c>
      <c r="X4" s="301">
        <v>2017</v>
      </c>
      <c r="Y4" s="301">
        <v>2018</v>
      </c>
      <c r="Z4" s="301">
        <v>2019</v>
      </c>
      <c r="AA4" s="301">
        <v>2020</v>
      </c>
      <c r="AB4" s="301">
        <v>2021</v>
      </c>
      <c r="AC4" s="301">
        <v>2022</v>
      </c>
      <c r="AD4" s="301">
        <v>2023</v>
      </c>
      <c r="AE4" s="299">
        <v>2024</v>
      </c>
    </row>
    <row r="5" spans="1:32" ht="15.75" customHeight="1" thickBot="1" x14ac:dyDescent="0.3">
      <c r="A5" s="311"/>
      <c r="B5" s="309"/>
      <c r="C5" s="302"/>
      <c r="D5" s="302" t="s">
        <v>3</v>
      </c>
      <c r="E5" s="302"/>
      <c r="F5" s="302" t="s">
        <v>4</v>
      </c>
      <c r="G5" s="302"/>
      <c r="H5" s="302" t="s">
        <v>5</v>
      </c>
      <c r="I5" s="302"/>
      <c r="J5" s="302" t="s">
        <v>6</v>
      </c>
      <c r="K5" s="302"/>
      <c r="L5" s="302" t="s">
        <v>7</v>
      </c>
      <c r="M5" s="302"/>
      <c r="N5" s="302" t="s">
        <v>8</v>
      </c>
      <c r="O5" s="302"/>
      <c r="P5" s="302" t="s">
        <v>9</v>
      </c>
      <c r="Q5" s="302"/>
      <c r="R5" s="302" t="s">
        <v>10</v>
      </c>
      <c r="S5" s="302"/>
      <c r="T5" s="302"/>
      <c r="U5" s="302"/>
      <c r="V5" s="302"/>
      <c r="W5" s="302"/>
      <c r="X5" s="302"/>
      <c r="Y5" s="302"/>
      <c r="Z5" s="302"/>
      <c r="AA5" s="302"/>
      <c r="AB5" s="302"/>
      <c r="AC5" s="302"/>
      <c r="AD5" s="302"/>
      <c r="AE5" s="300"/>
    </row>
    <row r="6" spans="1:32" s="11" customFormat="1" ht="15" customHeight="1" thickBot="1" x14ac:dyDescent="0.3">
      <c r="A6" s="144" t="s">
        <v>11</v>
      </c>
      <c r="B6" s="9" t="s">
        <v>12</v>
      </c>
      <c r="C6" s="64">
        <v>404</v>
      </c>
      <c r="D6" s="64">
        <v>384</v>
      </c>
      <c r="E6" s="64">
        <v>407</v>
      </c>
      <c r="F6" s="64">
        <v>408</v>
      </c>
      <c r="G6" s="64">
        <v>358</v>
      </c>
      <c r="H6" s="64">
        <v>316</v>
      </c>
      <c r="I6" s="64">
        <v>331</v>
      </c>
      <c r="J6" s="64">
        <v>334</v>
      </c>
      <c r="K6" s="64">
        <v>364</v>
      </c>
      <c r="L6" s="64">
        <v>389</v>
      </c>
      <c r="M6" s="64">
        <v>401</v>
      </c>
      <c r="N6" s="64">
        <v>394</v>
      </c>
      <c r="O6" s="64">
        <v>381</v>
      </c>
      <c r="P6" s="64">
        <v>360</v>
      </c>
      <c r="Q6" s="64">
        <v>358</v>
      </c>
      <c r="R6" s="64">
        <v>338</v>
      </c>
      <c r="S6" s="64">
        <v>344</v>
      </c>
      <c r="T6" s="64">
        <v>332</v>
      </c>
      <c r="U6" s="64">
        <v>326</v>
      </c>
      <c r="V6" s="64">
        <v>317</v>
      </c>
      <c r="W6" s="64">
        <v>305</v>
      </c>
      <c r="X6" s="64">
        <v>303</v>
      </c>
      <c r="Y6" s="64">
        <v>317</v>
      </c>
      <c r="Z6" s="64">
        <v>311</v>
      </c>
      <c r="AA6" s="64">
        <v>309</v>
      </c>
      <c r="AB6" s="64">
        <v>304</v>
      </c>
      <c r="AC6" s="64">
        <v>308</v>
      </c>
      <c r="AD6" s="64">
        <v>288</v>
      </c>
      <c r="AE6" s="145">
        <v>264</v>
      </c>
      <c r="AF6" s="10"/>
    </row>
    <row r="7" spans="1:32" ht="15" customHeight="1" x14ac:dyDescent="0.25">
      <c r="A7" s="146">
        <v>1</v>
      </c>
      <c r="B7" s="12" t="s">
        <v>13</v>
      </c>
      <c r="C7" s="68" t="s">
        <v>383</v>
      </c>
      <c r="D7" s="68" t="s">
        <v>383</v>
      </c>
      <c r="E7" s="68" t="s">
        <v>383</v>
      </c>
      <c r="F7" s="68">
        <v>404</v>
      </c>
      <c r="G7" s="68" t="s">
        <v>383</v>
      </c>
      <c r="H7" s="68" t="s">
        <v>383</v>
      </c>
      <c r="I7" s="68" t="s">
        <v>383</v>
      </c>
      <c r="J7" s="68" t="s">
        <v>383</v>
      </c>
      <c r="K7" s="68" t="s">
        <v>383</v>
      </c>
      <c r="L7" s="68" t="s">
        <v>383</v>
      </c>
      <c r="M7" s="68" t="s">
        <v>383</v>
      </c>
      <c r="N7" s="68">
        <v>390</v>
      </c>
      <c r="O7" s="68" t="s">
        <v>383</v>
      </c>
      <c r="P7" s="68" t="s">
        <v>383</v>
      </c>
      <c r="Q7" s="68" t="s">
        <v>383</v>
      </c>
      <c r="R7" s="68" t="s">
        <v>383</v>
      </c>
      <c r="S7" s="68">
        <v>339</v>
      </c>
      <c r="T7" s="68">
        <v>328</v>
      </c>
      <c r="U7" s="68">
        <v>321</v>
      </c>
      <c r="V7" s="68">
        <v>312</v>
      </c>
      <c r="W7" s="68">
        <v>300</v>
      </c>
      <c r="X7" s="68">
        <v>299</v>
      </c>
      <c r="Y7" s="68" t="s">
        <v>383</v>
      </c>
      <c r="Z7" s="68" t="s">
        <v>383</v>
      </c>
      <c r="AA7" s="68" t="s">
        <v>383</v>
      </c>
      <c r="AB7" s="68" t="s">
        <v>383</v>
      </c>
      <c r="AC7" s="68" t="s">
        <v>383</v>
      </c>
      <c r="AD7" s="68" t="s">
        <v>383</v>
      </c>
      <c r="AE7" s="147" t="s">
        <v>383</v>
      </c>
    </row>
    <row r="8" spans="1:32" ht="15" customHeight="1" thickBot="1" x14ac:dyDescent="0.3">
      <c r="A8" s="148">
        <v>2</v>
      </c>
      <c r="B8" s="13" t="s">
        <v>14</v>
      </c>
      <c r="C8" s="69" t="s">
        <v>383</v>
      </c>
      <c r="D8" s="69" t="s">
        <v>383</v>
      </c>
      <c r="E8" s="69" t="s">
        <v>383</v>
      </c>
      <c r="F8" s="69">
        <v>4</v>
      </c>
      <c r="G8" s="69" t="s">
        <v>383</v>
      </c>
      <c r="H8" s="69" t="s">
        <v>383</v>
      </c>
      <c r="I8" s="69" t="s">
        <v>383</v>
      </c>
      <c r="J8" s="69" t="s">
        <v>383</v>
      </c>
      <c r="K8" s="69" t="s">
        <v>383</v>
      </c>
      <c r="L8" s="69" t="s">
        <v>383</v>
      </c>
      <c r="M8" s="69" t="s">
        <v>383</v>
      </c>
      <c r="N8" s="69">
        <v>4</v>
      </c>
      <c r="O8" s="69" t="s">
        <v>383</v>
      </c>
      <c r="P8" s="69" t="s">
        <v>383</v>
      </c>
      <c r="Q8" s="69" t="s">
        <v>383</v>
      </c>
      <c r="R8" s="69" t="s">
        <v>383</v>
      </c>
      <c r="S8" s="69">
        <v>5</v>
      </c>
      <c r="T8" s="69">
        <v>4</v>
      </c>
      <c r="U8" s="69">
        <v>5</v>
      </c>
      <c r="V8" s="69">
        <v>5</v>
      </c>
      <c r="W8" s="69">
        <v>5</v>
      </c>
      <c r="X8" s="69">
        <v>4</v>
      </c>
      <c r="Y8" s="69" t="s">
        <v>383</v>
      </c>
      <c r="Z8" s="69" t="s">
        <v>383</v>
      </c>
      <c r="AA8" s="69" t="s">
        <v>383</v>
      </c>
      <c r="AB8" s="69" t="s">
        <v>383</v>
      </c>
      <c r="AC8" s="69" t="s">
        <v>383</v>
      </c>
      <c r="AD8" s="69" t="s">
        <v>383</v>
      </c>
      <c r="AE8" s="149" t="s">
        <v>383</v>
      </c>
    </row>
    <row r="9" spans="1:32" s="11" customFormat="1" ht="15" customHeight="1" thickBot="1" x14ac:dyDescent="0.3">
      <c r="A9" s="144" t="s">
        <v>15</v>
      </c>
      <c r="B9" s="9" t="s">
        <v>16</v>
      </c>
      <c r="C9" s="64">
        <v>50</v>
      </c>
      <c r="D9" s="64">
        <v>47</v>
      </c>
      <c r="E9" s="64">
        <v>34</v>
      </c>
      <c r="F9" s="64">
        <v>32</v>
      </c>
      <c r="G9" s="64">
        <v>35</v>
      </c>
      <c r="H9" s="64">
        <v>30</v>
      </c>
      <c r="I9" s="64">
        <v>38</v>
      </c>
      <c r="J9" s="64">
        <v>38</v>
      </c>
      <c r="K9" s="64">
        <v>51</v>
      </c>
      <c r="L9" s="64">
        <v>62</v>
      </c>
      <c r="M9" s="64">
        <v>65</v>
      </c>
      <c r="N9" s="64">
        <v>53</v>
      </c>
      <c r="O9" s="64">
        <v>47</v>
      </c>
      <c r="P9" s="64">
        <v>38</v>
      </c>
      <c r="Q9" s="64">
        <v>40</v>
      </c>
      <c r="R9" s="64">
        <v>45</v>
      </c>
      <c r="S9" s="64">
        <v>48</v>
      </c>
      <c r="T9" s="64">
        <v>50</v>
      </c>
      <c r="U9" s="64">
        <v>51</v>
      </c>
      <c r="V9" s="64">
        <v>45</v>
      </c>
      <c r="W9" s="64">
        <v>40</v>
      </c>
      <c r="X9" s="64">
        <v>41</v>
      </c>
      <c r="Y9" s="64">
        <v>42</v>
      </c>
      <c r="Z9" s="64">
        <v>39</v>
      </c>
      <c r="AA9" s="64">
        <v>33</v>
      </c>
      <c r="AB9" s="64">
        <v>32</v>
      </c>
      <c r="AC9" s="64">
        <v>30</v>
      </c>
      <c r="AD9" s="64">
        <v>33</v>
      </c>
      <c r="AE9" s="145">
        <v>38</v>
      </c>
      <c r="AF9" s="10"/>
    </row>
    <row r="10" spans="1:32" ht="15" customHeight="1" thickBot="1" x14ac:dyDescent="0.3">
      <c r="A10" s="150">
        <v>5</v>
      </c>
      <c r="B10" s="14" t="s">
        <v>17</v>
      </c>
      <c r="C10" s="67">
        <v>50</v>
      </c>
      <c r="D10" s="67">
        <v>47</v>
      </c>
      <c r="E10" s="67">
        <v>34</v>
      </c>
      <c r="F10" s="67">
        <v>32</v>
      </c>
      <c r="G10" s="67">
        <v>35</v>
      </c>
      <c r="H10" s="67">
        <v>30</v>
      </c>
      <c r="I10" s="67">
        <v>38</v>
      </c>
      <c r="J10" s="67">
        <v>38</v>
      </c>
      <c r="K10" s="67">
        <v>51</v>
      </c>
      <c r="L10" s="67">
        <v>62</v>
      </c>
      <c r="M10" s="67">
        <v>65</v>
      </c>
      <c r="N10" s="67">
        <v>53</v>
      </c>
      <c r="O10" s="67">
        <v>47</v>
      </c>
      <c r="P10" s="67">
        <v>38</v>
      </c>
      <c r="Q10" s="67">
        <v>40</v>
      </c>
      <c r="R10" s="67">
        <v>45</v>
      </c>
      <c r="S10" s="67">
        <v>48</v>
      </c>
      <c r="T10" s="67">
        <v>50</v>
      </c>
      <c r="U10" s="67">
        <v>51</v>
      </c>
      <c r="V10" s="67">
        <v>45</v>
      </c>
      <c r="W10" s="67">
        <v>40</v>
      </c>
      <c r="X10" s="67">
        <v>41</v>
      </c>
      <c r="Y10" s="67">
        <v>42</v>
      </c>
      <c r="Z10" s="67">
        <v>39</v>
      </c>
      <c r="AA10" s="67">
        <v>33</v>
      </c>
      <c r="AB10" s="67">
        <v>32</v>
      </c>
      <c r="AC10" s="67">
        <v>30</v>
      </c>
      <c r="AD10" s="67">
        <v>33</v>
      </c>
      <c r="AE10" s="151">
        <v>38</v>
      </c>
    </row>
    <row r="11" spans="1:32" s="11" customFormat="1" ht="15" customHeight="1" thickBot="1" x14ac:dyDescent="0.3">
      <c r="A11" s="144" t="s">
        <v>18</v>
      </c>
      <c r="B11" s="9" t="s">
        <v>19</v>
      </c>
      <c r="C11" s="64">
        <v>84</v>
      </c>
      <c r="D11" s="64">
        <v>88</v>
      </c>
      <c r="E11" s="64">
        <v>82</v>
      </c>
      <c r="F11" s="64">
        <v>87</v>
      </c>
      <c r="G11" s="64">
        <v>87</v>
      </c>
      <c r="H11" s="64">
        <v>88</v>
      </c>
      <c r="I11" s="64">
        <v>88</v>
      </c>
      <c r="J11" s="64">
        <v>91</v>
      </c>
      <c r="K11" s="64">
        <v>99</v>
      </c>
      <c r="L11" s="64">
        <v>109</v>
      </c>
      <c r="M11" s="64">
        <v>110</v>
      </c>
      <c r="N11" s="64">
        <v>123</v>
      </c>
      <c r="O11" s="64">
        <v>127</v>
      </c>
      <c r="P11" s="64">
        <v>131</v>
      </c>
      <c r="Q11" s="64">
        <v>129</v>
      </c>
      <c r="R11" s="64">
        <v>137</v>
      </c>
      <c r="S11" s="64">
        <v>135</v>
      </c>
      <c r="T11" s="64">
        <v>137</v>
      </c>
      <c r="U11" s="64">
        <v>140</v>
      </c>
      <c r="V11" s="64">
        <v>136</v>
      </c>
      <c r="W11" s="64">
        <v>134</v>
      </c>
      <c r="X11" s="64">
        <v>134</v>
      </c>
      <c r="Y11" s="64">
        <v>132</v>
      </c>
      <c r="Z11" s="64">
        <v>133</v>
      </c>
      <c r="AA11" s="64">
        <v>128</v>
      </c>
      <c r="AB11" s="64">
        <v>124</v>
      </c>
      <c r="AC11" s="64">
        <v>122</v>
      </c>
      <c r="AD11" s="64">
        <v>121</v>
      </c>
      <c r="AE11" s="145">
        <v>126</v>
      </c>
      <c r="AF11" s="10"/>
    </row>
    <row r="12" spans="1:32" ht="15" customHeight="1" x14ac:dyDescent="0.25">
      <c r="A12" s="152">
        <v>11</v>
      </c>
      <c r="B12" s="15" t="s">
        <v>20</v>
      </c>
      <c r="C12" s="68">
        <v>73</v>
      </c>
      <c r="D12" s="68">
        <v>74</v>
      </c>
      <c r="E12" s="68">
        <v>69</v>
      </c>
      <c r="F12" s="68">
        <v>73</v>
      </c>
      <c r="G12" s="68">
        <v>75</v>
      </c>
      <c r="H12" s="68">
        <v>76</v>
      </c>
      <c r="I12" s="68">
        <v>75</v>
      </c>
      <c r="J12" s="68">
        <v>78</v>
      </c>
      <c r="K12" s="68">
        <v>83</v>
      </c>
      <c r="L12" s="68">
        <v>90</v>
      </c>
      <c r="M12" s="68">
        <v>89</v>
      </c>
      <c r="N12" s="68">
        <v>101</v>
      </c>
      <c r="O12" s="68">
        <v>104</v>
      </c>
      <c r="P12" s="68">
        <v>103</v>
      </c>
      <c r="Q12" s="68">
        <v>104</v>
      </c>
      <c r="R12" s="68">
        <v>108</v>
      </c>
      <c r="S12" s="68">
        <v>108</v>
      </c>
      <c r="T12" s="68">
        <v>112</v>
      </c>
      <c r="U12" s="68">
        <v>115</v>
      </c>
      <c r="V12" s="68">
        <v>111</v>
      </c>
      <c r="W12" s="68">
        <v>110</v>
      </c>
      <c r="X12" s="68">
        <v>110</v>
      </c>
      <c r="Y12" s="68">
        <v>106</v>
      </c>
      <c r="Z12" s="68">
        <v>109</v>
      </c>
      <c r="AA12" s="68">
        <v>105</v>
      </c>
      <c r="AB12" s="68">
        <v>102</v>
      </c>
      <c r="AC12" s="68">
        <v>103</v>
      </c>
      <c r="AD12" s="68">
        <v>104</v>
      </c>
      <c r="AE12" s="153">
        <v>108</v>
      </c>
    </row>
    <row r="13" spans="1:32" ht="15" customHeight="1" x14ac:dyDescent="0.25">
      <c r="A13" s="154">
        <v>13</v>
      </c>
      <c r="B13" s="16" t="s">
        <v>21</v>
      </c>
      <c r="C13" s="69">
        <v>4</v>
      </c>
      <c r="D13" s="69">
        <v>5</v>
      </c>
      <c r="E13" s="69">
        <v>5</v>
      </c>
      <c r="F13" s="69">
        <v>5</v>
      </c>
      <c r="G13" s="69">
        <v>4</v>
      </c>
      <c r="H13" s="69">
        <v>4</v>
      </c>
      <c r="I13" s="69">
        <v>5</v>
      </c>
      <c r="J13" s="69">
        <v>4</v>
      </c>
      <c r="K13" s="69">
        <v>6</v>
      </c>
      <c r="L13" s="69">
        <v>7</v>
      </c>
      <c r="M13" s="69">
        <v>8</v>
      </c>
      <c r="N13" s="69">
        <v>8</v>
      </c>
      <c r="O13" s="69">
        <v>8</v>
      </c>
      <c r="P13" s="69">
        <v>9</v>
      </c>
      <c r="Q13" s="69">
        <v>8</v>
      </c>
      <c r="R13" s="69">
        <v>10</v>
      </c>
      <c r="S13" s="69">
        <v>11</v>
      </c>
      <c r="T13" s="69">
        <v>10</v>
      </c>
      <c r="U13" s="69">
        <v>9</v>
      </c>
      <c r="V13" s="69">
        <v>9</v>
      </c>
      <c r="W13" s="69">
        <v>8</v>
      </c>
      <c r="X13" s="69">
        <v>8</v>
      </c>
      <c r="Y13" s="69">
        <v>8</v>
      </c>
      <c r="Z13" s="69">
        <v>8</v>
      </c>
      <c r="AA13" s="69">
        <v>7</v>
      </c>
      <c r="AB13" s="69">
        <v>7</v>
      </c>
      <c r="AC13" s="69">
        <v>7</v>
      </c>
      <c r="AD13" s="69">
        <v>7</v>
      </c>
      <c r="AE13" s="155">
        <v>8</v>
      </c>
    </row>
    <row r="14" spans="1:32" ht="15" customHeight="1" thickBot="1" x14ac:dyDescent="0.3">
      <c r="A14" s="152">
        <v>14</v>
      </c>
      <c r="B14" s="15" t="s">
        <v>22</v>
      </c>
      <c r="C14" s="68">
        <v>7</v>
      </c>
      <c r="D14" s="68">
        <v>9</v>
      </c>
      <c r="E14" s="68">
        <v>8</v>
      </c>
      <c r="F14" s="68">
        <v>9</v>
      </c>
      <c r="G14" s="68">
        <v>8</v>
      </c>
      <c r="H14" s="68">
        <v>8</v>
      </c>
      <c r="I14" s="68">
        <v>8</v>
      </c>
      <c r="J14" s="68">
        <v>9</v>
      </c>
      <c r="K14" s="68">
        <v>10</v>
      </c>
      <c r="L14" s="68">
        <v>12</v>
      </c>
      <c r="M14" s="68">
        <v>13</v>
      </c>
      <c r="N14" s="68">
        <v>14</v>
      </c>
      <c r="O14" s="68">
        <v>15</v>
      </c>
      <c r="P14" s="68">
        <v>19</v>
      </c>
      <c r="Q14" s="68">
        <v>17</v>
      </c>
      <c r="R14" s="68">
        <v>19</v>
      </c>
      <c r="S14" s="68">
        <v>16</v>
      </c>
      <c r="T14" s="68">
        <v>15</v>
      </c>
      <c r="U14" s="68">
        <v>16</v>
      </c>
      <c r="V14" s="68">
        <v>16</v>
      </c>
      <c r="W14" s="68">
        <v>16</v>
      </c>
      <c r="X14" s="68">
        <v>16</v>
      </c>
      <c r="Y14" s="68">
        <v>18</v>
      </c>
      <c r="Z14" s="68">
        <v>16</v>
      </c>
      <c r="AA14" s="68">
        <v>16</v>
      </c>
      <c r="AB14" s="68">
        <v>15</v>
      </c>
      <c r="AC14" s="68">
        <v>12</v>
      </c>
      <c r="AD14" s="68">
        <v>10</v>
      </c>
      <c r="AE14" s="153">
        <v>10</v>
      </c>
    </row>
    <row r="15" spans="1:32" s="11" customFormat="1" ht="15" customHeight="1" thickBot="1" x14ac:dyDescent="0.3">
      <c r="A15" s="144" t="s">
        <v>23</v>
      </c>
      <c r="B15" s="9" t="s">
        <v>24</v>
      </c>
      <c r="C15" s="64">
        <v>139</v>
      </c>
      <c r="D15" s="64">
        <v>144</v>
      </c>
      <c r="E15" s="64">
        <v>137</v>
      </c>
      <c r="F15" s="64">
        <v>148</v>
      </c>
      <c r="G15" s="64">
        <v>140</v>
      </c>
      <c r="H15" s="64">
        <v>137</v>
      </c>
      <c r="I15" s="64">
        <v>126</v>
      </c>
      <c r="J15" s="64">
        <v>146</v>
      </c>
      <c r="K15" s="64">
        <v>163</v>
      </c>
      <c r="L15" s="64">
        <v>180</v>
      </c>
      <c r="M15" s="64">
        <v>201</v>
      </c>
      <c r="N15" s="64">
        <v>241</v>
      </c>
      <c r="O15" s="64">
        <v>249</v>
      </c>
      <c r="P15" s="64">
        <v>247</v>
      </c>
      <c r="Q15" s="64">
        <v>239</v>
      </c>
      <c r="R15" s="64">
        <v>246</v>
      </c>
      <c r="S15" s="64">
        <v>246</v>
      </c>
      <c r="T15" s="64">
        <v>261</v>
      </c>
      <c r="U15" s="64">
        <v>287</v>
      </c>
      <c r="V15" s="64">
        <v>308</v>
      </c>
      <c r="W15" s="64">
        <v>291</v>
      </c>
      <c r="X15" s="64">
        <v>299</v>
      </c>
      <c r="Y15" s="64">
        <v>282</v>
      </c>
      <c r="Z15" s="64">
        <v>278</v>
      </c>
      <c r="AA15" s="64">
        <v>262</v>
      </c>
      <c r="AB15" s="64">
        <v>274</v>
      </c>
      <c r="AC15" s="64">
        <v>287</v>
      </c>
      <c r="AD15" s="64">
        <v>304</v>
      </c>
      <c r="AE15" s="145">
        <v>313</v>
      </c>
      <c r="AF15" s="10"/>
    </row>
    <row r="16" spans="1:32" ht="15" customHeight="1" x14ac:dyDescent="0.25">
      <c r="A16" s="152">
        <v>15</v>
      </c>
      <c r="B16" s="15" t="s">
        <v>25</v>
      </c>
      <c r="C16" s="68">
        <v>49</v>
      </c>
      <c r="D16" s="68">
        <v>53</v>
      </c>
      <c r="E16" s="68">
        <v>55</v>
      </c>
      <c r="F16" s="68">
        <v>62</v>
      </c>
      <c r="G16" s="68">
        <v>62</v>
      </c>
      <c r="H16" s="68">
        <v>58</v>
      </c>
      <c r="I16" s="68">
        <v>59</v>
      </c>
      <c r="J16" s="68">
        <v>69</v>
      </c>
      <c r="K16" s="68">
        <v>69</v>
      </c>
      <c r="L16" s="68">
        <v>73</v>
      </c>
      <c r="M16" s="68">
        <v>73</v>
      </c>
      <c r="N16" s="68">
        <v>91</v>
      </c>
      <c r="O16" s="68">
        <v>96</v>
      </c>
      <c r="P16" s="68">
        <v>100</v>
      </c>
      <c r="Q16" s="68">
        <v>98</v>
      </c>
      <c r="R16" s="68">
        <v>105</v>
      </c>
      <c r="S16" s="68">
        <v>110</v>
      </c>
      <c r="T16" s="68">
        <v>118</v>
      </c>
      <c r="U16" s="68">
        <v>129</v>
      </c>
      <c r="V16" s="68">
        <v>133</v>
      </c>
      <c r="W16" s="68">
        <v>138</v>
      </c>
      <c r="X16" s="68">
        <v>142</v>
      </c>
      <c r="Y16" s="68">
        <v>136</v>
      </c>
      <c r="Z16" s="68">
        <v>137</v>
      </c>
      <c r="AA16" s="68">
        <v>128</v>
      </c>
      <c r="AB16" s="68">
        <v>133</v>
      </c>
      <c r="AC16" s="68">
        <v>137</v>
      </c>
      <c r="AD16" s="68">
        <v>149</v>
      </c>
      <c r="AE16" s="153">
        <v>161</v>
      </c>
    </row>
    <row r="17" spans="1:31" ht="15" customHeight="1" x14ac:dyDescent="0.25">
      <c r="A17" s="156">
        <v>16</v>
      </c>
      <c r="B17" s="17" t="s">
        <v>26</v>
      </c>
      <c r="C17" s="70" t="s">
        <v>383</v>
      </c>
      <c r="D17" s="70" t="s">
        <v>383</v>
      </c>
      <c r="E17" s="70" t="s">
        <v>383</v>
      </c>
      <c r="F17" s="70" t="s">
        <v>383</v>
      </c>
      <c r="G17" s="70" t="s">
        <v>383</v>
      </c>
      <c r="H17" s="70" t="s">
        <v>383</v>
      </c>
      <c r="I17" s="70" t="s">
        <v>383</v>
      </c>
      <c r="J17" s="70" t="s">
        <v>383</v>
      </c>
      <c r="K17" s="70" t="s">
        <v>383</v>
      </c>
      <c r="L17" s="70" t="s">
        <v>383</v>
      </c>
      <c r="M17" s="70" t="s">
        <v>383</v>
      </c>
      <c r="N17" s="70" t="s">
        <v>383</v>
      </c>
      <c r="O17" s="70" t="s">
        <v>383</v>
      </c>
      <c r="P17" s="70" t="s">
        <v>383</v>
      </c>
      <c r="Q17" s="70" t="s">
        <v>383</v>
      </c>
      <c r="R17" s="70" t="s">
        <v>383</v>
      </c>
      <c r="S17" s="70" t="s">
        <v>383</v>
      </c>
      <c r="T17" s="70" t="s">
        <v>383</v>
      </c>
      <c r="U17" s="70" t="s">
        <v>383</v>
      </c>
      <c r="V17" s="70" t="s">
        <v>383</v>
      </c>
      <c r="W17" s="70" t="s">
        <v>383</v>
      </c>
      <c r="X17" s="70" t="s">
        <v>383</v>
      </c>
      <c r="Y17" s="70" t="s">
        <v>383</v>
      </c>
      <c r="Z17" s="70" t="s">
        <v>383</v>
      </c>
      <c r="AA17" s="70" t="s">
        <v>383</v>
      </c>
      <c r="AB17" s="70" t="s">
        <v>383</v>
      </c>
      <c r="AC17" s="70" t="s">
        <v>383</v>
      </c>
      <c r="AD17" s="70" t="s">
        <v>383</v>
      </c>
      <c r="AE17" s="157" t="s">
        <v>383</v>
      </c>
    </row>
    <row r="18" spans="1:31" ht="15" customHeight="1" x14ac:dyDescent="0.25">
      <c r="A18" s="156">
        <v>17</v>
      </c>
      <c r="B18" s="17" t="s">
        <v>27</v>
      </c>
      <c r="C18" s="70" t="s">
        <v>383</v>
      </c>
      <c r="D18" s="70" t="s">
        <v>383</v>
      </c>
      <c r="E18" s="70" t="s">
        <v>383</v>
      </c>
      <c r="F18" s="70" t="s">
        <v>383</v>
      </c>
      <c r="G18" s="70" t="s">
        <v>383</v>
      </c>
      <c r="H18" s="70" t="s">
        <v>383</v>
      </c>
      <c r="I18" s="70" t="s">
        <v>383</v>
      </c>
      <c r="J18" s="70" t="s">
        <v>383</v>
      </c>
      <c r="K18" s="70" t="s">
        <v>383</v>
      </c>
      <c r="L18" s="70">
        <v>4</v>
      </c>
      <c r="M18" s="70">
        <v>4</v>
      </c>
      <c r="N18" s="70">
        <v>4</v>
      </c>
      <c r="O18" s="70">
        <v>5</v>
      </c>
      <c r="P18" s="70">
        <v>4</v>
      </c>
      <c r="Q18" s="70">
        <v>5</v>
      </c>
      <c r="R18" s="70" t="s">
        <v>383</v>
      </c>
      <c r="S18" s="70">
        <v>4</v>
      </c>
      <c r="T18" s="70">
        <v>4</v>
      </c>
      <c r="U18" s="70">
        <v>5</v>
      </c>
      <c r="V18" s="70">
        <v>5</v>
      </c>
      <c r="W18" s="70">
        <v>4</v>
      </c>
      <c r="X18" s="70">
        <v>6</v>
      </c>
      <c r="Y18" s="70">
        <v>7</v>
      </c>
      <c r="Z18" s="70">
        <v>6</v>
      </c>
      <c r="AA18" s="70">
        <v>7</v>
      </c>
      <c r="AB18" s="70">
        <v>7</v>
      </c>
      <c r="AC18" s="70">
        <v>7</v>
      </c>
      <c r="AD18" s="70">
        <v>5</v>
      </c>
      <c r="AE18" s="157">
        <v>5</v>
      </c>
    </row>
    <row r="19" spans="1:31" ht="15" customHeight="1" x14ac:dyDescent="0.25">
      <c r="A19" s="156">
        <v>18</v>
      </c>
      <c r="B19" s="17" t="s">
        <v>28</v>
      </c>
      <c r="C19" s="70" t="s">
        <v>383</v>
      </c>
      <c r="D19" s="70">
        <v>4</v>
      </c>
      <c r="E19" s="70" t="s">
        <v>383</v>
      </c>
      <c r="F19" s="70">
        <v>5</v>
      </c>
      <c r="G19" s="70">
        <v>4</v>
      </c>
      <c r="H19" s="70">
        <v>4</v>
      </c>
      <c r="I19" s="70" t="s">
        <v>383</v>
      </c>
      <c r="J19" s="70">
        <v>5</v>
      </c>
      <c r="K19" s="70">
        <v>4</v>
      </c>
      <c r="L19" s="70">
        <v>6</v>
      </c>
      <c r="M19" s="70">
        <v>6</v>
      </c>
      <c r="N19" s="70">
        <v>6</v>
      </c>
      <c r="O19" s="70">
        <v>6</v>
      </c>
      <c r="P19" s="70">
        <v>6</v>
      </c>
      <c r="Q19" s="70" t="s">
        <v>383</v>
      </c>
      <c r="R19" s="70" t="s">
        <v>383</v>
      </c>
      <c r="S19" s="70" t="s">
        <v>383</v>
      </c>
      <c r="T19" s="70" t="s">
        <v>383</v>
      </c>
      <c r="U19" s="70">
        <v>4</v>
      </c>
      <c r="V19" s="70">
        <v>4</v>
      </c>
      <c r="W19" s="70">
        <v>5</v>
      </c>
      <c r="X19" s="70">
        <v>4</v>
      </c>
      <c r="Y19" s="70" t="s">
        <v>383</v>
      </c>
      <c r="Z19" s="70" t="s">
        <v>383</v>
      </c>
      <c r="AA19" s="70" t="s">
        <v>383</v>
      </c>
      <c r="AB19" s="70" t="s">
        <v>383</v>
      </c>
      <c r="AC19" s="70" t="s">
        <v>383</v>
      </c>
      <c r="AD19" s="70" t="s">
        <v>383</v>
      </c>
      <c r="AE19" s="157" t="s">
        <v>383</v>
      </c>
    </row>
    <row r="20" spans="1:31" ht="15" customHeight="1" x14ac:dyDescent="0.25">
      <c r="A20" s="156">
        <v>19</v>
      </c>
      <c r="B20" s="17" t="s">
        <v>108</v>
      </c>
      <c r="C20" s="70" t="s">
        <v>383</v>
      </c>
      <c r="D20" s="70" t="s">
        <v>383</v>
      </c>
      <c r="E20" s="70" t="s">
        <v>383</v>
      </c>
      <c r="F20" s="70" t="s">
        <v>383</v>
      </c>
      <c r="G20" s="70" t="s">
        <v>383</v>
      </c>
      <c r="H20" s="70" t="s">
        <v>383</v>
      </c>
      <c r="I20" s="70" t="s">
        <v>383</v>
      </c>
      <c r="J20" s="70" t="s">
        <v>383</v>
      </c>
      <c r="K20" s="70" t="s">
        <v>383</v>
      </c>
      <c r="L20" s="70" t="s">
        <v>383</v>
      </c>
      <c r="M20" s="70" t="s">
        <v>383</v>
      </c>
      <c r="N20" s="70" t="s">
        <v>383</v>
      </c>
      <c r="O20" s="70" t="s">
        <v>383</v>
      </c>
      <c r="P20" s="70" t="s">
        <v>383</v>
      </c>
      <c r="Q20" s="70" t="s">
        <v>383</v>
      </c>
      <c r="R20" s="70" t="s">
        <v>383</v>
      </c>
      <c r="S20" s="70" t="s">
        <v>383</v>
      </c>
      <c r="T20" s="70" t="s">
        <v>383</v>
      </c>
      <c r="U20" s="70" t="s">
        <v>383</v>
      </c>
      <c r="V20" s="70" t="s">
        <v>383</v>
      </c>
      <c r="W20" s="70" t="s">
        <v>383</v>
      </c>
      <c r="X20" s="70" t="s">
        <v>383</v>
      </c>
      <c r="Y20" s="70" t="s">
        <v>383</v>
      </c>
      <c r="Z20" s="70" t="s">
        <v>383</v>
      </c>
      <c r="AA20" s="70" t="s">
        <v>383</v>
      </c>
      <c r="AB20" s="70" t="s">
        <v>383</v>
      </c>
      <c r="AC20" s="70" t="s">
        <v>383</v>
      </c>
      <c r="AD20" s="70" t="s">
        <v>383</v>
      </c>
      <c r="AE20" s="157" t="s">
        <v>383</v>
      </c>
    </row>
    <row r="21" spans="1:31" ht="15" customHeight="1" x14ac:dyDescent="0.25">
      <c r="A21" s="156">
        <v>20</v>
      </c>
      <c r="B21" s="17" t="s">
        <v>30</v>
      </c>
      <c r="C21" s="70">
        <v>6</v>
      </c>
      <c r="D21" s="70">
        <v>6</v>
      </c>
      <c r="E21" s="70">
        <v>6</v>
      </c>
      <c r="F21" s="70">
        <v>6</v>
      </c>
      <c r="G21" s="70" t="s">
        <v>383</v>
      </c>
      <c r="H21" s="70" t="s">
        <v>383</v>
      </c>
      <c r="I21" s="70" t="s">
        <v>383</v>
      </c>
      <c r="J21" s="70" t="s">
        <v>383</v>
      </c>
      <c r="K21" s="70" t="s">
        <v>383</v>
      </c>
      <c r="L21" s="70" t="s">
        <v>383</v>
      </c>
      <c r="M21" s="70" t="s">
        <v>383</v>
      </c>
      <c r="N21" s="70">
        <v>9</v>
      </c>
      <c r="O21" s="70">
        <v>7</v>
      </c>
      <c r="P21" s="70">
        <v>8</v>
      </c>
      <c r="Q21" s="70">
        <v>6</v>
      </c>
      <c r="R21" s="70">
        <v>5</v>
      </c>
      <c r="S21" s="70" t="s">
        <v>383</v>
      </c>
      <c r="T21" s="70">
        <v>5</v>
      </c>
      <c r="U21" s="70">
        <v>8</v>
      </c>
      <c r="V21" s="70">
        <v>12</v>
      </c>
      <c r="W21" s="70">
        <v>9</v>
      </c>
      <c r="X21" s="70">
        <v>8</v>
      </c>
      <c r="Y21" s="70">
        <v>7</v>
      </c>
      <c r="Z21" s="70">
        <v>8</v>
      </c>
      <c r="AA21" s="70">
        <v>7</v>
      </c>
      <c r="AB21" s="70">
        <v>8</v>
      </c>
      <c r="AC21" s="70">
        <v>11</v>
      </c>
      <c r="AD21" s="70">
        <v>9</v>
      </c>
      <c r="AE21" s="157">
        <v>11</v>
      </c>
    </row>
    <row r="22" spans="1:31" ht="15" customHeight="1" x14ac:dyDescent="0.25">
      <c r="A22" s="156">
        <v>21</v>
      </c>
      <c r="B22" s="17" t="s">
        <v>31</v>
      </c>
      <c r="C22" s="70" t="s">
        <v>383</v>
      </c>
      <c r="D22" s="70" t="s">
        <v>383</v>
      </c>
      <c r="E22" s="70" t="s">
        <v>383</v>
      </c>
      <c r="F22" s="70" t="s">
        <v>383</v>
      </c>
      <c r="G22" s="70" t="s">
        <v>383</v>
      </c>
      <c r="H22" s="70" t="s">
        <v>383</v>
      </c>
      <c r="I22" s="70" t="s">
        <v>383</v>
      </c>
      <c r="J22" s="70" t="s">
        <v>383</v>
      </c>
      <c r="K22" s="70" t="s">
        <v>383</v>
      </c>
      <c r="L22" s="70" t="s">
        <v>383</v>
      </c>
      <c r="M22" s="70" t="s">
        <v>383</v>
      </c>
      <c r="N22" s="70" t="s">
        <v>383</v>
      </c>
      <c r="O22" s="70" t="s">
        <v>383</v>
      </c>
      <c r="P22" s="70" t="s">
        <v>383</v>
      </c>
      <c r="Q22" s="70" t="s">
        <v>383</v>
      </c>
      <c r="R22" s="70" t="s">
        <v>383</v>
      </c>
      <c r="S22" s="70" t="s">
        <v>383</v>
      </c>
      <c r="T22" s="70" t="s">
        <v>383</v>
      </c>
      <c r="U22" s="70" t="s">
        <v>383</v>
      </c>
      <c r="V22" s="70" t="s">
        <v>383</v>
      </c>
      <c r="W22" s="70" t="s">
        <v>383</v>
      </c>
      <c r="X22" s="70" t="s">
        <v>383</v>
      </c>
      <c r="Y22" s="70" t="s">
        <v>383</v>
      </c>
      <c r="Z22" s="70" t="s">
        <v>383</v>
      </c>
      <c r="AA22" s="70" t="s">
        <v>383</v>
      </c>
      <c r="AB22" s="70" t="s">
        <v>383</v>
      </c>
      <c r="AC22" s="70" t="s">
        <v>383</v>
      </c>
      <c r="AD22" s="70" t="s">
        <v>383</v>
      </c>
      <c r="AE22" s="157" t="s">
        <v>383</v>
      </c>
    </row>
    <row r="23" spans="1:31" ht="15" customHeight="1" x14ac:dyDescent="0.25">
      <c r="A23" s="156">
        <v>22</v>
      </c>
      <c r="B23" s="17" t="s">
        <v>98</v>
      </c>
      <c r="C23" s="70">
        <v>15</v>
      </c>
      <c r="D23" s="70">
        <v>13</v>
      </c>
      <c r="E23" s="70">
        <v>18</v>
      </c>
      <c r="F23" s="70">
        <v>15</v>
      </c>
      <c r="G23" s="70">
        <v>12</v>
      </c>
      <c r="H23" s="70">
        <v>13</v>
      </c>
      <c r="I23" s="70">
        <v>10</v>
      </c>
      <c r="J23" s="70">
        <v>12</v>
      </c>
      <c r="K23" s="70">
        <v>12</v>
      </c>
      <c r="L23" s="70">
        <v>14</v>
      </c>
      <c r="M23" s="70">
        <v>17</v>
      </c>
      <c r="N23" s="70">
        <v>17</v>
      </c>
      <c r="O23" s="70">
        <v>16</v>
      </c>
      <c r="P23" s="70">
        <v>17</v>
      </c>
      <c r="Q23" s="70">
        <v>18</v>
      </c>
      <c r="R23" s="70">
        <v>20</v>
      </c>
      <c r="S23" s="70">
        <v>20</v>
      </c>
      <c r="T23" s="70">
        <v>22</v>
      </c>
      <c r="U23" s="70">
        <v>20</v>
      </c>
      <c r="V23" s="70">
        <v>27</v>
      </c>
      <c r="W23" s="70">
        <v>24</v>
      </c>
      <c r="X23" s="70">
        <v>22</v>
      </c>
      <c r="Y23" s="70">
        <v>18</v>
      </c>
      <c r="Z23" s="70">
        <v>17</v>
      </c>
      <c r="AA23" s="70">
        <v>17</v>
      </c>
      <c r="AB23" s="70">
        <v>14</v>
      </c>
      <c r="AC23" s="70">
        <v>15</v>
      </c>
      <c r="AD23" s="70">
        <v>17</v>
      </c>
      <c r="AE23" s="157">
        <v>18</v>
      </c>
    </row>
    <row r="24" spans="1:31" ht="15" customHeight="1" x14ac:dyDescent="0.25">
      <c r="A24" s="156">
        <v>23</v>
      </c>
      <c r="B24" s="17" t="s">
        <v>33</v>
      </c>
      <c r="C24" s="70" t="s">
        <v>383</v>
      </c>
      <c r="D24" s="70" t="s">
        <v>383</v>
      </c>
      <c r="E24" s="70" t="s">
        <v>383</v>
      </c>
      <c r="F24" s="70" t="s">
        <v>383</v>
      </c>
      <c r="G24" s="70" t="s">
        <v>383</v>
      </c>
      <c r="H24" s="70" t="s">
        <v>383</v>
      </c>
      <c r="I24" s="70" t="s">
        <v>383</v>
      </c>
      <c r="J24" s="70" t="s">
        <v>383</v>
      </c>
      <c r="K24" s="70" t="s">
        <v>383</v>
      </c>
      <c r="L24" s="70" t="s">
        <v>383</v>
      </c>
      <c r="M24" s="70" t="s">
        <v>383</v>
      </c>
      <c r="N24" s="70" t="s">
        <v>383</v>
      </c>
      <c r="O24" s="70" t="s">
        <v>383</v>
      </c>
      <c r="P24" s="70" t="s">
        <v>383</v>
      </c>
      <c r="Q24" s="70" t="s">
        <v>383</v>
      </c>
      <c r="R24" s="70" t="s">
        <v>383</v>
      </c>
      <c r="S24" s="70" t="s">
        <v>383</v>
      </c>
      <c r="T24" s="70" t="s">
        <v>383</v>
      </c>
      <c r="U24" s="70" t="s">
        <v>383</v>
      </c>
      <c r="V24" s="70" t="s">
        <v>383</v>
      </c>
      <c r="W24" s="70" t="s">
        <v>383</v>
      </c>
      <c r="X24" s="70" t="s">
        <v>383</v>
      </c>
      <c r="Y24" s="70" t="s">
        <v>383</v>
      </c>
      <c r="Z24" s="70" t="s">
        <v>383</v>
      </c>
      <c r="AA24" s="70" t="s">
        <v>383</v>
      </c>
      <c r="AB24" s="70" t="s">
        <v>383</v>
      </c>
      <c r="AC24" s="70" t="s">
        <v>383</v>
      </c>
      <c r="AD24" s="70" t="s">
        <v>383</v>
      </c>
      <c r="AE24" s="157" t="s">
        <v>383</v>
      </c>
    </row>
    <row r="25" spans="1:31" ht="15" customHeight="1" x14ac:dyDescent="0.25">
      <c r="A25" s="156">
        <v>24</v>
      </c>
      <c r="B25" s="17" t="s">
        <v>34</v>
      </c>
      <c r="C25" s="70">
        <v>12</v>
      </c>
      <c r="D25" s="70">
        <v>12</v>
      </c>
      <c r="E25" s="70">
        <v>9</v>
      </c>
      <c r="F25" s="70">
        <v>8</v>
      </c>
      <c r="G25" s="70">
        <v>7</v>
      </c>
      <c r="H25" s="70">
        <v>9</v>
      </c>
      <c r="I25" s="70">
        <v>8</v>
      </c>
      <c r="J25" s="70">
        <v>5</v>
      </c>
      <c r="K25" s="70">
        <v>9</v>
      </c>
      <c r="L25" s="70">
        <v>10</v>
      </c>
      <c r="M25" s="70">
        <v>14</v>
      </c>
      <c r="N25" s="70">
        <v>15</v>
      </c>
      <c r="O25" s="70">
        <v>15</v>
      </c>
      <c r="P25" s="70">
        <v>14</v>
      </c>
      <c r="Q25" s="70">
        <v>15</v>
      </c>
      <c r="R25" s="70">
        <v>15</v>
      </c>
      <c r="S25" s="70">
        <v>15</v>
      </c>
      <c r="T25" s="70">
        <v>15</v>
      </c>
      <c r="U25" s="70">
        <v>19</v>
      </c>
      <c r="V25" s="70">
        <v>20</v>
      </c>
      <c r="W25" s="70">
        <v>17</v>
      </c>
      <c r="X25" s="70">
        <v>16</v>
      </c>
      <c r="Y25" s="70">
        <v>17</v>
      </c>
      <c r="Z25" s="70">
        <v>17</v>
      </c>
      <c r="AA25" s="70">
        <v>16</v>
      </c>
      <c r="AB25" s="70">
        <v>15</v>
      </c>
      <c r="AC25" s="70">
        <v>14</v>
      </c>
      <c r="AD25" s="70">
        <v>17</v>
      </c>
      <c r="AE25" s="157">
        <v>17</v>
      </c>
    </row>
    <row r="26" spans="1:31" ht="15" customHeight="1" x14ac:dyDescent="0.25">
      <c r="A26" s="156">
        <v>25</v>
      </c>
      <c r="B26" s="17" t="s">
        <v>35</v>
      </c>
      <c r="C26" s="70" t="s">
        <v>383</v>
      </c>
      <c r="D26" s="70" t="s">
        <v>383</v>
      </c>
      <c r="E26" s="70" t="s">
        <v>383</v>
      </c>
      <c r="F26" s="70" t="s">
        <v>383</v>
      </c>
      <c r="G26" s="70" t="s">
        <v>383</v>
      </c>
      <c r="H26" s="70" t="s">
        <v>383</v>
      </c>
      <c r="I26" s="70" t="s">
        <v>383</v>
      </c>
      <c r="J26" s="70" t="s">
        <v>383</v>
      </c>
      <c r="K26" s="70" t="s">
        <v>383</v>
      </c>
      <c r="L26" s="70" t="s">
        <v>383</v>
      </c>
      <c r="M26" s="70" t="s">
        <v>383</v>
      </c>
      <c r="N26" s="70" t="s">
        <v>383</v>
      </c>
      <c r="O26" s="70" t="s">
        <v>383</v>
      </c>
      <c r="P26" s="70" t="s">
        <v>383</v>
      </c>
      <c r="Q26" s="70" t="s">
        <v>383</v>
      </c>
      <c r="R26" s="70" t="s">
        <v>383</v>
      </c>
      <c r="S26" s="70" t="s">
        <v>383</v>
      </c>
      <c r="T26" s="70" t="s">
        <v>383</v>
      </c>
      <c r="U26" s="70" t="s">
        <v>383</v>
      </c>
      <c r="V26" s="70" t="s">
        <v>383</v>
      </c>
      <c r="W26" s="70" t="s">
        <v>383</v>
      </c>
      <c r="X26" s="70" t="s">
        <v>383</v>
      </c>
      <c r="Y26" s="70" t="s">
        <v>383</v>
      </c>
      <c r="Z26" s="70" t="s">
        <v>383</v>
      </c>
      <c r="AA26" s="70" t="s">
        <v>383</v>
      </c>
      <c r="AB26" s="70" t="s">
        <v>383</v>
      </c>
      <c r="AC26" s="70" t="s">
        <v>383</v>
      </c>
      <c r="AD26" s="70" t="s">
        <v>383</v>
      </c>
      <c r="AE26" s="157" t="s">
        <v>383</v>
      </c>
    </row>
    <row r="27" spans="1:31" ht="15" customHeight="1" x14ac:dyDescent="0.25">
      <c r="A27" s="156">
        <v>26</v>
      </c>
      <c r="B27" s="17" t="s">
        <v>36</v>
      </c>
      <c r="C27" s="70">
        <v>6</v>
      </c>
      <c r="D27" s="70" t="s">
        <v>383</v>
      </c>
      <c r="E27" s="70">
        <v>4</v>
      </c>
      <c r="F27" s="70">
        <v>5</v>
      </c>
      <c r="G27" s="70">
        <v>4</v>
      </c>
      <c r="H27" s="70">
        <v>7</v>
      </c>
      <c r="I27" s="70">
        <v>6</v>
      </c>
      <c r="J27" s="70">
        <v>4</v>
      </c>
      <c r="K27" s="70">
        <v>5</v>
      </c>
      <c r="L27" s="70">
        <v>7</v>
      </c>
      <c r="M27" s="70">
        <v>8</v>
      </c>
      <c r="N27" s="70">
        <v>10</v>
      </c>
      <c r="O27" s="70">
        <v>11</v>
      </c>
      <c r="P27" s="70">
        <v>8</v>
      </c>
      <c r="Q27" s="70">
        <v>10</v>
      </c>
      <c r="R27" s="70">
        <v>10</v>
      </c>
      <c r="S27" s="70">
        <v>9</v>
      </c>
      <c r="T27" s="70">
        <v>10</v>
      </c>
      <c r="U27" s="70">
        <v>12</v>
      </c>
      <c r="V27" s="70">
        <v>9</v>
      </c>
      <c r="W27" s="70">
        <v>7</v>
      </c>
      <c r="X27" s="70">
        <v>9</v>
      </c>
      <c r="Y27" s="70">
        <v>9</v>
      </c>
      <c r="Z27" s="70">
        <v>8</v>
      </c>
      <c r="AA27" s="70">
        <v>8</v>
      </c>
      <c r="AB27" s="70">
        <v>7</v>
      </c>
      <c r="AC27" s="70">
        <v>8</v>
      </c>
      <c r="AD27" s="70">
        <v>9</v>
      </c>
      <c r="AE27" s="157">
        <v>9</v>
      </c>
    </row>
    <row r="28" spans="1:31" ht="15" customHeight="1" x14ac:dyDescent="0.25">
      <c r="A28" s="156">
        <v>27</v>
      </c>
      <c r="B28" s="17" t="s">
        <v>37</v>
      </c>
      <c r="C28" s="70" t="s">
        <v>383</v>
      </c>
      <c r="D28" s="70" t="s">
        <v>383</v>
      </c>
      <c r="E28" s="70" t="s">
        <v>383</v>
      </c>
      <c r="F28" s="70" t="s">
        <v>383</v>
      </c>
      <c r="G28" s="70" t="s">
        <v>383</v>
      </c>
      <c r="H28" s="70" t="s">
        <v>383</v>
      </c>
      <c r="I28" s="70" t="s">
        <v>383</v>
      </c>
      <c r="J28" s="70" t="s">
        <v>383</v>
      </c>
      <c r="K28" s="70" t="s">
        <v>383</v>
      </c>
      <c r="L28" s="70" t="s">
        <v>383</v>
      </c>
      <c r="M28" s="70" t="s">
        <v>383</v>
      </c>
      <c r="N28" s="70" t="s">
        <v>383</v>
      </c>
      <c r="O28" s="70" t="s">
        <v>383</v>
      </c>
      <c r="P28" s="70" t="s">
        <v>383</v>
      </c>
      <c r="Q28" s="70" t="s">
        <v>383</v>
      </c>
      <c r="R28" s="70" t="s">
        <v>383</v>
      </c>
      <c r="S28" s="70" t="s">
        <v>383</v>
      </c>
      <c r="T28" s="70" t="s">
        <v>383</v>
      </c>
      <c r="U28" s="70" t="s">
        <v>383</v>
      </c>
      <c r="V28" s="70" t="s">
        <v>383</v>
      </c>
      <c r="W28" s="70" t="s">
        <v>383</v>
      </c>
      <c r="X28" s="70" t="s">
        <v>383</v>
      </c>
      <c r="Y28" s="70" t="s">
        <v>383</v>
      </c>
      <c r="Z28" s="70" t="s">
        <v>383</v>
      </c>
      <c r="AA28" s="70" t="s">
        <v>383</v>
      </c>
      <c r="AB28" s="70" t="s">
        <v>383</v>
      </c>
      <c r="AC28" s="70" t="s">
        <v>383</v>
      </c>
      <c r="AD28" s="70" t="s">
        <v>383</v>
      </c>
      <c r="AE28" s="157" t="s">
        <v>383</v>
      </c>
    </row>
    <row r="29" spans="1:31" ht="15" customHeight="1" x14ac:dyDescent="0.25">
      <c r="A29" s="156">
        <v>28</v>
      </c>
      <c r="B29" s="17" t="s">
        <v>38</v>
      </c>
      <c r="C29" s="70">
        <v>21</v>
      </c>
      <c r="D29" s="70">
        <v>22</v>
      </c>
      <c r="E29" s="70">
        <v>19</v>
      </c>
      <c r="F29" s="70">
        <v>22</v>
      </c>
      <c r="G29" s="70">
        <v>24</v>
      </c>
      <c r="H29" s="70">
        <v>16</v>
      </c>
      <c r="I29" s="70">
        <v>13</v>
      </c>
      <c r="J29" s="70">
        <v>18</v>
      </c>
      <c r="K29" s="70">
        <v>25</v>
      </c>
      <c r="L29" s="70">
        <v>23</v>
      </c>
      <c r="M29" s="70">
        <v>30</v>
      </c>
      <c r="N29" s="70">
        <v>34</v>
      </c>
      <c r="O29" s="70">
        <v>41</v>
      </c>
      <c r="P29" s="70">
        <v>38</v>
      </c>
      <c r="Q29" s="70">
        <v>36</v>
      </c>
      <c r="R29" s="70">
        <v>39</v>
      </c>
      <c r="S29" s="70">
        <v>35</v>
      </c>
      <c r="T29" s="70">
        <v>37</v>
      </c>
      <c r="U29" s="70">
        <v>41</v>
      </c>
      <c r="V29" s="70">
        <v>48</v>
      </c>
      <c r="W29" s="70">
        <v>42</v>
      </c>
      <c r="X29" s="70">
        <v>45</v>
      </c>
      <c r="Y29" s="70">
        <v>36</v>
      </c>
      <c r="Z29" s="70">
        <v>36</v>
      </c>
      <c r="AA29" s="70">
        <v>33</v>
      </c>
      <c r="AB29" s="70">
        <v>40</v>
      </c>
      <c r="AC29" s="70">
        <v>42</v>
      </c>
      <c r="AD29" s="70">
        <v>44</v>
      </c>
      <c r="AE29" s="157">
        <v>37</v>
      </c>
    </row>
    <row r="30" spans="1:31" ht="15" customHeight="1" x14ac:dyDescent="0.25">
      <c r="A30" s="156">
        <v>29</v>
      </c>
      <c r="B30" s="17" t="s">
        <v>39</v>
      </c>
      <c r="C30" s="70">
        <v>8</v>
      </c>
      <c r="D30" s="70">
        <v>8</v>
      </c>
      <c r="E30" s="70">
        <v>6</v>
      </c>
      <c r="F30" s="70">
        <v>6</v>
      </c>
      <c r="G30" s="70">
        <v>5</v>
      </c>
      <c r="H30" s="70">
        <v>5</v>
      </c>
      <c r="I30" s="70">
        <v>7</v>
      </c>
      <c r="J30" s="70">
        <v>7</v>
      </c>
      <c r="K30" s="70">
        <v>8</v>
      </c>
      <c r="L30" s="70">
        <v>8</v>
      </c>
      <c r="M30" s="70">
        <v>11</v>
      </c>
      <c r="N30" s="70">
        <v>12</v>
      </c>
      <c r="O30" s="70">
        <v>12</v>
      </c>
      <c r="P30" s="70">
        <v>13</v>
      </c>
      <c r="Q30" s="70">
        <v>10</v>
      </c>
      <c r="R30" s="70">
        <v>10</v>
      </c>
      <c r="S30" s="70">
        <v>11</v>
      </c>
      <c r="T30" s="70">
        <v>11</v>
      </c>
      <c r="U30" s="70">
        <v>11</v>
      </c>
      <c r="V30" s="70">
        <v>12</v>
      </c>
      <c r="W30" s="70">
        <v>12</v>
      </c>
      <c r="X30" s="70">
        <v>12</v>
      </c>
      <c r="Y30" s="70">
        <v>12</v>
      </c>
      <c r="Z30" s="70">
        <v>9</v>
      </c>
      <c r="AA30" s="70">
        <v>9</v>
      </c>
      <c r="AB30" s="70">
        <v>9</v>
      </c>
      <c r="AC30" s="70">
        <v>12</v>
      </c>
      <c r="AD30" s="70">
        <v>11</v>
      </c>
      <c r="AE30" s="157">
        <v>11</v>
      </c>
    </row>
    <row r="31" spans="1:31" ht="15" customHeight="1" x14ac:dyDescent="0.25">
      <c r="A31" s="156">
        <v>30</v>
      </c>
      <c r="B31" s="17" t="s">
        <v>40</v>
      </c>
      <c r="C31" s="70" t="s">
        <v>383</v>
      </c>
      <c r="D31" s="70" t="s">
        <v>383</v>
      </c>
      <c r="E31" s="70" t="s">
        <v>383</v>
      </c>
      <c r="F31" s="70" t="s">
        <v>383</v>
      </c>
      <c r="G31" s="70" t="s">
        <v>383</v>
      </c>
      <c r="H31" s="70" t="s">
        <v>383</v>
      </c>
      <c r="I31" s="70" t="s">
        <v>383</v>
      </c>
      <c r="J31" s="70" t="s">
        <v>383</v>
      </c>
      <c r="K31" s="70" t="s">
        <v>383</v>
      </c>
      <c r="L31" s="70" t="s">
        <v>383</v>
      </c>
      <c r="M31" s="70" t="s">
        <v>383</v>
      </c>
      <c r="N31" s="70" t="s">
        <v>383</v>
      </c>
      <c r="O31" s="70" t="s">
        <v>383</v>
      </c>
      <c r="P31" s="70" t="s">
        <v>383</v>
      </c>
      <c r="Q31" s="70" t="s">
        <v>383</v>
      </c>
      <c r="R31" s="70" t="s">
        <v>383</v>
      </c>
      <c r="S31" s="70" t="s">
        <v>383</v>
      </c>
      <c r="T31" s="70" t="s">
        <v>383</v>
      </c>
      <c r="U31" s="70" t="s">
        <v>383</v>
      </c>
      <c r="V31" s="70" t="s">
        <v>383</v>
      </c>
      <c r="W31" s="70" t="s">
        <v>383</v>
      </c>
      <c r="X31" s="70" t="s">
        <v>383</v>
      </c>
      <c r="Y31" s="70" t="s">
        <v>383</v>
      </c>
      <c r="Z31" s="70" t="s">
        <v>383</v>
      </c>
      <c r="AA31" s="70" t="s">
        <v>383</v>
      </c>
      <c r="AB31" s="70" t="s">
        <v>383</v>
      </c>
      <c r="AC31" s="70" t="s">
        <v>383</v>
      </c>
      <c r="AD31" s="70" t="s">
        <v>383</v>
      </c>
      <c r="AE31" s="157" t="s">
        <v>383</v>
      </c>
    </row>
    <row r="32" spans="1:31" ht="15" customHeight="1" x14ac:dyDescent="0.25">
      <c r="A32" s="156">
        <v>31</v>
      </c>
      <c r="B32" s="17" t="s">
        <v>41</v>
      </c>
      <c r="C32" s="70" t="s">
        <v>383</v>
      </c>
      <c r="D32" s="70" t="s">
        <v>383</v>
      </c>
      <c r="E32" s="70" t="s">
        <v>383</v>
      </c>
      <c r="F32" s="70" t="s">
        <v>383</v>
      </c>
      <c r="G32" s="70" t="s">
        <v>383</v>
      </c>
      <c r="H32" s="70" t="s">
        <v>383</v>
      </c>
      <c r="I32" s="70" t="s">
        <v>383</v>
      </c>
      <c r="J32" s="70" t="s">
        <v>383</v>
      </c>
      <c r="K32" s="70" t="s">
        <v>383</v>
      </c>
      <c r="L32" s="70" t="s">
        <v>383</v>
      </c>
      <c r="M32" s="70" t="s">
        <v>383</v>
      </c>
      <c r="N32" s="70" t="s">
        <v>383</v>
      </c>
      <c r="O32" s="70" t="s">
        <v>383</v>
      </c>
      <c r="P32" s="70" t="s">
        <v>383</v>
      </c>
      <c r="Q32" s="70" t="s">
        <v>383</v>
      </c>
      <c r="R32" s="70" t="s">
        <v>383</v>
      </c>
      <c r="S32" s="70" t="s">
        <v>383</v>
      </c>
      <c r="T32" s="70" t="s">
        <v>383</v>
      </c>
      <c r="U32" s="70" t="s">
        <v>383</v>
      </c>
      <c r="V32" s="70" t="s">
        <v>383</v>
      </c>
      <c r="W32" s="70" t="s">
        <v>383</v>
      </c>
      <c r="X32" s="70" t="s">
        <v>383</v>
      </c>
      <c r="Y32" s="70" t="s">
        <v>383</v>
      </c>
      <c r="Z32" s="70" t="s">
        <v>383</v>
      </c>
      <c r="AA32" s="70" t="s">
        <v>383</v>
      </c>
      <c r="AB32" s="70" t="s">
        <v>383</v>
      </c>
      <c r="AC32" s="70" t="s">
        <v>383</v>
      </c>
      <c r="AD32" s="70" t="s">
        <v>383</v>
      </c>
      <c r="AE32" s="157" t="s">
        <v>383</v>
      </c>
    </row>
    <row r="33" spans="1:32" ht="15" customHeight="1" x14ac:dyDescent="0.25">
      <c r="A33" s="156">
        <v>32</v>
      </c>
      <c r="B33" s="17" t="s">
        <v>42</v>
      </c>
      <c r="C33" s="70" t="s">
        <v>383</v>
      </c>
      <c r="D33" s="70" t="s">
        <v>383</v>
      </c>
      <c r="E33" s="70" t="s">
        <v>383</v>
      </c>
      <c r="F33" s="70" t="s">
        <v>383</v>
      </c>
      <c r="G33" s="70" t="s">
        <v>383</v>
      </c>
      <c r="H33" s="70" t="s">
        <v>383</v>
      </c>
      <c r="I33" s="70" t="s">
        <v>383</v>
      </c>
      <c r="J33" s="70" t="s">
        <v>383</v>
      </c>
      <c r="K33" s="70" t="s">
        <v>383</v>
      </c>
      <c r="L33" s="70" t="s">
        <v>383</v>
      </c>
      <c r="M33" s="70" t="s">
        <v>383</v>
      </c>
      <c r="N33" s="70" t="s">
        <v>383</v>
      </c>
      <c r="O33" s="70" t="s">
        <v>383</v>
      </c>
      <c r="P33" s="70" t="s">
        <v>383</v>
      </c>
      <c r="Q33" s="70" t="s">
        <v>383</v>
      </c>
      <c r="R33" s="70" t="s">
        <v>383</v>
      </c>
      <c r="S33" s="70" t="s">
        <v>383</v>
      </c>
      <c r="T33" s="70" t="s">
        <v>383</v>
      </c>
      <c r="U33" s="70" t="s">
        <v>383</v>
      </c>
      <c r="V33" s="70" t="s">
        <v>383</v>
      </c>
      <c r="W33" s="70" t="s">
        <v>383</v>
      </c>
      <c r="X33" s="70" t="s">
        <v>383</v>
      </c>
      <c r="Y33" s="70" t="s">
        <v>383</v>
      </c>
      <c r="Z33" s="70" t="s">
        <v>383</v>
      </c>
      <c r="AA33" s="70" t="s">
        <v>383</v>
      </c>
      <c r="AB33" s="70" t="s">
        <v>383</v>
      </c>
      <c r="AC33" s="70" t="s">
        <v>383</v>
      </c>
      <c r="AD33" s="70" t="s">
        <v>383</v>
      </c>
      <c r="AE33" s="157" t="s">
        <v>383</v>
      </c>
    </row>
    <row r="34" spans="1:32" ht="15" customHeight="1" x14ac:dyDescent="0.25">
      <c r="A34" s="156">
        <v>33</v>
      </c>
      <c r="B34" s="17" t="s">
        <v>43</v>
      </c>
      <c r="C34" s="70" t="s">
        <v>383</v>
      </c>
      <c r="D34" s="70" t="s">
        <v>383</v>
      </c>
      <c r="E34" s="70" t="s">
        <v>383</v>
      </c>
      <c r="F34" s="70" t="s">
        <v>383</v>
      </c>
      <c r="G34" s="70" t="s">
        <v>383</v>
      </c>
      <c r="H34" s="70" t="s">
        <v>383</v>
      </c>
      <c r="I34" s="70" t="s">
        <v>383</v>
      </c>
      <c r="J34" s="70" t="s">
        <v>383</v>
      </c>
      <c r="K34" s="70" t="s">
        <v>383</v>
      </c>
      <c r="L34" s="70" t="s">
        <v>383</v>
      </c>
      <c r="M34" s="70" t="s">
        <v>383</v>
      </c>
      <c r="N34" s="70" t="s">
        <v>383</v>
      </c>
      <c r="O34" s="70" t="s">
        <v>383</v>
      </c>
      <c r="P34" s="70" t="s">
        <v>383</v>
      </c>
      <c r="Q34" s="70" t="s">
        <v>383</v>
      </c>
      <c r="R34" s="70" t="s">
        <v>383</v>
      </c>
      <c r="S34" s="70" t="s">
        <v>383</v>
      </c>
      <c r="T34" s="70" t="s">
        <v>383</v>
      </c>
      <c r="U34" s="70" t="s">
        <v>383</v>
      </c>
      <c r="V34" s="70" t="s">
        <v>383</v>
      </c>
      <c r="W34" s="70" t="s">
        <v>383</v>
      </c>
      <c r="X34" s="70" t="s">
        <v>383</v>
      </c>
      <c r="Y34" s="70" t="s">
        <v>383</v>
      </c>
      <c r="Z34" s="70" t="s">
        <v>383</v>
      </c>
      <c r="AA34" s="70" t="s">
        <v>383</v>
      </c>
      <c r="AB34" s="70" t="s">
        <v>383</v>
      </c>
      <c r="AC34" s="70" t="s">
        <v>383</v>
      </c>
      <c r="AD34" s="70" t="s">
        <v>383</v>
      </c>
      <c r="AE34" s="157" t="s">
        <v>383</v>
      </c>
    </row>
    <row r="35" spans="1:32" ht="15" customHeight="1" x14ac:dyDescent="0.25">
      <c r="A35" s="156">
        <v>34</v>
      </c>
      <c r="B35" s="17" t="s">
        <v>44</v>
      </c>
      <c r="C35" s="70" t="s">
        <v>383</v>
      </c>
      <c r="D35" s="70" t="s">
        <v>383</v>
      </c>
      <c r="E35" s="70" t="s">
        <v>383</v>
      </c>
      <c r="F35" s="70" t="s">
        <v>383</v>
      </c>
      <c r="G35" s="70" t="s">
        <v>383</v>
      </c>
      <c r="H35" s="70" t="s">
        <v>383</v>
      </c>
      <c r="I35" s="70" t="s">
        <v>383</v>
      </c>
      <c r="J35" s="70" t="s">
        <v>383</v>
      </c>
      <c r="K35" s="70" t="s">
        <v>383</v>
      </c>
      <c r="L35" s="70" t="s">
        <v>383</v>
      </c>
      <c r="M35" s="70" t="s">
        <v>383</v>
      </c>
      <c r="N35" s="70" t="s">
        <v>383</v>
      </c>
      <c r="O35" s="70" t="s">
        <v>383</v>
      </c>
      <c r="P35" s="70" t="s">
        <v>383</v>
      </c>
      <c r="Q35" s="70" t="s">
        <v>383</v>
      </c>
      <c r="R35" s="70" t="s">
        <v>383</v>
      </c>
      <c r="S35" s="70" t="s">
        <v>383</v>
      </c>
      <c r="T35" s="70" t="s">
        <v>383</v>
      </c>
      <c r="U35" s="70">
        <v>4</v>
      </c>
      <c r="V35" s="70" t="s">
        <v>383</v>
      </c>
      <c r="W35" s="70" t="s">
        <v>383</v>
      </c>
      <c r="X35" s="70" t="s">
        <v>383</v>
      </c>
      <c r="Y35" s="70" t="s">
        <v>383</v>
      </c>
      <c r="Z35" s="70" t="s">
        <v>383</v>
      </c>
      <c r="AA35" s="70" t="s">
        <v>383</v>
      </c>
      <c r="AB35" s="70" t="s">
        <v>383</v>
      </c>
      <c r="AC35" s="70" t="s">
        <v>383</v>
      </c>
      <c r="AD35" s="70" t="s">
        <v>383</v>
      </c>
      <c r="AE35" s="157" t="s">
        <v>383</v>
      </c>
    </row>
    <row r="36" spans="1:32" ht="15" customHeight="1" x14ac:dyDescent="0.25">
      <c r="A36" s="156">
        <v>35</v>
      </c>
      <c r="B36" s="17" t="s">
        <v>45</v>
      </c>
      <c r="C36" s="70">
        <v>6</v>
      </c>
      <c r="D36" s="70">
        <v>5</v>
      </c>
      <c r="E36" s="70">
        <v>4</v>
      </c>
      <c r="F36" s="70">
        <v>5</v>
      </c>
      <c r="G36" s="70">
        <v>6</v>
      </c>
      <c r="H36" s="70">
        <v>7</v>
      </c>
      <c r="I36" s="70">
        <v>7</v>
      </c>
      <c r="J36" s="70">
        <v>10</v>
      </c>
      <c r="K36" s="70">
        <v>13</v>
      </c>
      <c r="L36" s="70">
        <v>13</v>
      </c>
      <c r="M36" s="70">
        <v>12</v>
      </c>
      <c r="N36" s="70">
        <v>16</v>
      </c>
      <c r="O36" s="70">
        <v>16</v>
      </c>
      <c r="P36" s="70">
        <v>15</v>
      </c>
      <c r="Q36" s="70">
        <v>16</v>
      </c>
      <c r="R36" s="70">
        <v>15</v>
      </c>
      <c r="S36" s="70">
        <v>14</v>
      </c>
      <c r="T36" s="70">
        <v>11</v>
      </c>
      <c r="U36" s="70">
        <v>11</v>
      </c>
      <c r="V36" s="70">
        <v>10</v>
      </c>
      <c r="W36" s="70">
        <v>11</v>
      </c>
      <c r="X36" s="70">
        <v>13</v>
      </c>
      <c r="Y36" s="70">
        <v>14</v>
      </c>
      <c r="Z36" s="70">
        <v>18</v>
      </c>
      <c r="AA36" s="70">
        <v>17</v>
      </c>
      <c r="AB36" s="70">
        <v>17</v>
      </c>
      <c r="AC36" s="70">
        <v>15</v>
      </c>
      <c r="AD36" s="70">
        <v>18</v>
      </c>
      <c r="AE36" s="157">
        <v>17</v>
      </c>
    </row>
    <row r="37" spans="1:32" ht="15" customHeight="1" x14ac:dyDescent="0.25">
      <c r="A37" s="156">
        <v>36</v>
      </c>
      <c r="B37" s="17" t="s">
        <v>46</v>
      </c>
      <c r="C37" s="70" t="s">
        <v>383</v>
      </c>
      <c r="D37" s="70">
        <v>5</v>
      </c>
      <c r="E37" s="70" t="s">
        <v>383</v>
      </c>
      <c r="F37" s="70">
        <v>4</v>
      </c>
      <c r="G37" s="70" t="s">
        <v>383</v>
      </c>
      <c r="H37" s="70" t="s">
        <v>383</v>
      </c>
      <c r="I37" s="70">
        <v>4</v>
      </c>
      <c r="J37" s="70" t="s">
        <v>383</v>
      </c>
      <c r="K37" s="70">
        <v>4</v>
      </c>
      <c r="L37" s="70">
        <v>7</v>
      </c>
      <c r="M37" s="70">
        <v>9</v>
      </c>
      <c r="N37" s="70">
        <v>11</v>
      </c>
      <c r="O37" s="70">
        <v>11</v>
      </c>
      <c r="P37" s="70">
        <v>10</v>
      </c>
      <c r="Q37" s="70">
        <v>10</v>
      </c>
      <c r="R37" s="70">
        <v>10</v>
      </c>
      <c r="S37" s="70">
        <v>10</v>
      </c>
      <c r="T37" s="70">
        <v>10</v>
      </c>
      <c r="U37" s="70">
        <v>10</v>
      </c>
      <c r="V37" s="70">
        <v>10</v>
      </c>
      <c r="W37" s="70">
        <v>9</v>
      </c>
      <c r="X37" s="70">
        <v>8</v>
      </c>
      <c r="Y37" s="70">
        <v>9</v>
      </c>
      <c r="Z37" s="70">
        <v>7</v>
      </c>
      <c r="AA37" s="70">
        <v>7</v>
      </c>
      <c r="AB37" s="70">
        <v>8</v>
      </c>
      <c r="AC37" s="70">
        <v>7</v>
      </c>
      <c r="AD37" s="70">
        <v>9</v>
      </c>
      <c r="AE37" s="157">
        <v>10</v>
      </c>
    </row>
    <row r="38" spans="1:32" ht="15" customHeight="1" thickBot="1" x14ac:dyDescent="0.3">
      <c r="A38" s="152">
        <v>37</v>
      </c>
      <c r="B38" s="15" t="s">
        <v>47</v>
      </c>
      <c r="C38" s="68" t="s">
        <v>383</v>
      </c>
      <c r="D38" s="68" t="s">
        <v>383</v>
      </c>
      <c r="E38" s="68" t="s">
        <v>383</v>
      </c>
      <c r="F38" s="68" t="s">
        <v>383</v>
      </c>
      <c r="G38" s="68" t="s">
        <v>383</v>
      </c>
      <c r="H38" s="68" t="s">
        <v>383</v>
      </c>
      <c r="I38" s="68" t="s">
        <v>383</v>
      </c>
      <c r="J38" s="68" t="s">
        <v>383</v>
      </c>
      <c r="K38" s="68" t="s">
        <v>383</v>
      </c>
      <c r="L38" s="68" t="s">
        <v>383</v>
      </c>
      <c r="M38" s="68" t="s">
        <v>383</v>
      </c>
      <c r="N38" s="68" t="s">
        <v>383</v>
      </c>
      <c r="O38" s="68" t="s">
        <v>383</v>
      </c>
      <c r="P38" s="68" t="s">
        <v>383</v>
      </c>
      <c r="Q38" s="68" t="s">
        <v>383</v>
      </c>
      <c r="R38" s="68" t="s">
        <v>383</v>
      </c>
      <c r="S38" s="68">
        <v>4</v>
      </c>
      <c r="T38" s="68">
        <v>4</v>
      </c>
      <c r="U38" s="68">
        <v>5</v>
      </c>
      <c r="V38" s="68">
        <v>5</v>
      </c>
      <c r="W38" s="68">
        <v>4</v>
      </c>
      <c r="X38" s="68">
        <v>4</v>
      </c>
      <c r="Y38" s="68">
        <v>4</v>
      </c>
      <c r="Z38" s="68">
        <v>4</v>
      </c>
      <c r="AA38" s="68">
        <v>4</v>
      </c>
      <c r="AB38" s="68">
        <v>5</v>
      </c>
      <c r="AC38" s="68">
        <v>5</v>
      </c>
      <c r="AD38" s="68">
        <v>4</v>
      </c>
      <c r="AE38" s="153">
        <v>5</v>
      </c>
    </row>
    <row r="39" spans="1:32" s="11" customFormat="1" ht="15" customHeight="1" thickBot="1" x14ac:dyDescent="0.3">
      <c r="A39" s="144" t="s">
        <v>48</v>
      </c>
      <c r="B39" s="9" t="s">
        <v>49</v>
      </c>
      <c r="C39" s="64">
        <v>5</v>
      </c>
      <c r="D39" s="64">
        <v>6</v>
      </c>
      <c r="E39" s="64">
        <v>6</v>
      </c>
      <c r="F39" s="64">
        <v>6</v>
      </c>
      <c r="G39" s="64">
        <v>5</v>
      </c>
      <c r="H39" s="64">
        <v>6</v>
      </c>
      <c r="I39" s="64">
        <v>7</v>
      </c>
      <c r="J39" s="64">
        <v>8</v>
      </c>
      <c r="K39" s="64">
        <v>7</v>
      </c>
      <c r="L39" s="64">
        <v>6</v>
      </c>
      <c r="M39" s="64">
        <v>7</v>
      </c>
      <c r="N39" s="64">
        <v>7</v>
      </c>
      <c r="O39" s="64">
        <v>7</v>
      </c>
      <c r="P39" s="64">
        <v>7</v>
      </c>
      <c r="Q39" s="64">
        <v>8</v>
      </c>
      <c r="R39" s="64">
        <v>8</v>
      </c>
      <c r="S39" s="64">
        <v>7</v>
      </c>
      <c r="T39" s="64">
        <v>8</v>
      </c>
      <c r="U39" s="64">
        <v>7</v>
      </c>
      <c r="V39" s="64">
        <v>7</v>
      </c>
      <c r="W39" s="64">
        <v>8</v>
      </c>
      <c r="X39" s="64">
        <v>7</v>
      </c>
      <c r="Y39" s="64">
        <v>9</v>
      </c>
      <c r="Z39" s="64">
        <v>9</v>
      </c>
      <c r="AA39" s="64">
        <v>10</v>
      </c>
      <c r="AB39" s="64">
        <v>10</v>
      </c>
      <c r="AC39" s="64">
        <v>10</v>
      </c>
      <c r="AD39" s="64">
        <v>10</v>
      </c>
      <c r="AE39" s="145">
        <v>9</v>
      </c>
      <c r="AF39" s="10"/>
    </row>
    <row r="40" spans="1:32" ht="15" customHeight="1" x14ac:dyDescent="0.25">
      <c r="A40" s="146">
        <v>40</v>
      </c>
      <c r="B40" s="12" t="s">
        <v>50</v>
      </c>
      <c r="C40" s="65" t="s">
        <v>383</v>
      </c>
      <c r="D40" s="65" t="s">
        <v>383</v>
      </c>
      <c r="E40" s="65" t="s">
        <v>383</v>
      </c>
      <c r="F40" s="65" t="s">
        <v>383</v>
      </c>
      <c r="G40" s="65" t="s">
        <v>383</v>
      </c>
      <c r="H40" s="65" t="s">
        <v>383</v>
      </c>
      <c r="I40" s="65" t="s">
        <v>383</v>
      </c>
      <c r="J40" s="65" t="s">
        <v>383</v>
      </c>
      <c r="K40" s="65" t="s">
        <v>383</v>
      </c>
      <c r="L40" s="65" t="s">
        <v>383</v>
      </c>
      <c r="M40" s="65" t="s">
        <v>383</v>
      </c>
      <c r="N40" s="65" t="s">
        <v>383</v>
      </c>
      <c r="O40" s="65" t="s">
        <v>383</v>
      </c>
      <c r="P40" s="65" t="s">
        <v>383</v>
      </c>
      <c r="Q40" s="65" t="s">
        <v>383</v>
      </c>
      <c r="R40" s="65" t="s">
        <v>383</v>
      </c>
      <c r="S40" s="65" t="s">
        <v>383</v>
      </c>
      <c r="T40" s="65" t="s">
        <v>383</v>
      </c>
      <c r="U40" s="65" t="s">
        <v>383</v>
      </c>
      <c r="V40" s="65" t="s">
        <v>383</v>
      </c>
      <c r="W40" s="65" t="s">
        <v>383</v>
      </c>
      <c r="X40" s="65" t="s">
        <v>383</v>
      </c>
      <c r="Y40" s="65" t="s">
        <v>383</v>
      </c>
      <c r="Z40" s="65" t="s">
        <v>383</v>
      </c>
      <c r="AA40" s="65" t="s">
        <v>383</v>
      </c>
      <c r="AB40" s="65" t="s">
        <v>383</v>
      </c>
      <c r="AC40" s="65" t="s">
        <v>383</v>
      </c>
      <c r="AD40" s="65" t="s">
        <v>383</v>
      </c>
      <c r="AE40" s="147" t="s">
        <v>383</v>
      </c>
    </row>
    <row r="41" spans="1:32" ht="15" customHeight="1" thickBot="1" x14ac:dyDescent="0.3">
      <c r="A41" s="158">
        <v>41</v>
      </c>
      <c r="B41" s="18" t="s">
        <v>51</v>
      </c>
      <c r="C41" s="71" t="s">
        <v>383</v>
      </c>
      <c r="D41" s="71" t="s">
        <v>383</v>
      </c>
      <c r="E41" s="71" t="s">
        <v>383</v>
      </c>
      <c r="F41" s="71" t="s">
        <v>383</v>
      </c>
      <c r="G41" s="71" t="s">
        <v>383</v>
      </c>
      <c r="H41" s="71" t="s">
        <v>383</v>
      </c>
      <c r="I41" s="71" t="s">
        <v>383</v>
      </c>
      <c r="J41" s="71" t="s">
        <v>383</v>
      </c>
      <c r="K41" s="71" t="s">
        <v>383</v>
      </c>
      <c r="L41" s="71" t="s">
        <v>383</v>
      </c>
      <c r="M41" s="71" t="s">
        <v>383</v>
      </c>
      <c r="N41" s="71" t="s">
        <v>383</v>
      </c>
      <c r="O41" s="71" t="s">
        <v>383</v>
      </c>
      <c r="P41" s="71" t="s">
        <v>383</v>
      </c>
      <c r="Q41" s="71" t="s">
        <v>383</v>
      </c>
      <c r="R41" s="71" t="s">
        <v>383</v>
      </c>
      <c r="S41" s="71" t="s">
        <v>383</v>
      </c>
      <c r="T41" s="71" t="s">
        <v>383</v>
      </c>
      <c r="U41" s="71" t="s">
        <v>383</v>
      </c>
      <c r="V41" s="71" t="s">
        <v>383</v>
      </c>
      <c r="W41" s="71" t="s">
        <v>383</v>
      </c>
      <c r="X41" s="71" t="s">
        <v>383</v>
      </c>
      <c r="Y41" s="71" t="s">
        <v>383</v>
      </c>
      <c r="Z41" s="71" t="s">
        <v>383</v>
      </c>
      <c r="AA41" s="71" t="s">
        <v>383</v>
      </c>
      <c r="AB41" s="71" t="s">
        <v>383</v>
      </c>
      <c r="AC41" s="71" t="s">
        <v>383</v>
      </c>
      <c r="AD41" s="71" t="s">
        <v>383</v>
      </c>
      <c r="AE41" s="159" t="s">
        <v>383</v>
      </c>
    </row>
    <row r="42" spans="1:32" s="11" customFormat="1" ht="15" customHeight="1" thickBot="1" x14ac:dyDescent="0.3">
      <c r="A42" s="160" t="s">
        <v>52</v>
      </c>
      <c r="B42" s="19" t="s">
        <v>53</v>
      </c>
      <c r="C42" s="64">
        <v>125</v>
      </c>
      <c r="D42" s="64">
        <v>131</v>
      </c>
      <c r="E42" s="64">
        <v>164</v>
      </c>
      <c r="F42" s="64">
        <v>147</v>
      </c>
      <c r="G42" s="64">
        <v>167</v>
      </c>
      <c r="H42" s="64">
        <v>156</v>
      </c>
      <c r="I42" s="64">
        <v>142</v>
      </c>
      <c r="J42" s="64">
        <v>140</v>
      </c>
      <c r="K42" s="64">
        <v>182</v>
      </c>
      <c r="L42" s="64">
        <v>233</v>
      </c>
      <c r="M42" s="64">
        <v>272</v>
      </c>
      <c r="N42" s="64">
        <v>275</v>
      </c>
      <c r="O42" s="64">
        <v>296</v>
      </c>
      <c r="P42" s="64">
        <v>283</v>
      </c>
      <c r="Q42" s="64">
        <v>313</v>
      </c>
      <c r="R42" s="64">
        <v>331</v>
      </c>
      <c r="S42" s="64">
        <v>323</v>
      </c>
      <c r="T42" s="64">
        <v>318</v>
      </c>
      <c r="U42" s="64">
        <v>299</v>
      </c>
      <c r="V42" s="64">
        <v>302</v>
      </c>
      <c r="W42" s="64">
        <v>227</v>
      </c>
      <c r="X42" s="64">
        <v>222</v>
      </c>
      <c r="Y42" s="64">
        <v>223</v>
      </c>
      <c r="Z42" s="64">
        <v>215</v>
      </c>
      <c r="AA42" s="64">
        <v>200</v>
      </c>
      <c r="AB42" s="64">
        <v>204</v>
      </c>
      <c r="AC42" s="64">
        <v>220</v>
      </c>
      <c r="AD42" s="64">
        <v>219</v>
      </c>
      <c r="AE42" s="145">
        <v>198</v>
      </c>
      <c r="AF42" s="10"/>
    </row>
    <row r="43" spans="1:32" ht="15" customHeight="1" thickBot="1" x14ac:dyDescent="0.3">
      <c r="A43" s="150">
        <v>45</v>
      </c>
      <c r="B43" s="14" t="s">
        <v>54</v>
      </c>
      <c r="C43" s="67">
        <v>125</v>
      </c>
      <c r="D43" s="67">
        <v>131</v>
      </c>
      <c r="E43" s="67">
        <v>164</v>
      </c>
      <c r="F43" s="67">
        <v>147</v>
      </c>
      <c r="G43" s="67">
        <v>167</v>
      </c>
      <c r="H43" s="67">
        <v>156</v>
      </c>
      <c r="I43" s="67">
        <v>142</v>
      </c>
      <c r="J43" s="67">
        <v>140</v>
      </c>
      <c r="K43" s="67">
        <v>182</v>
      </c>
      <c r="L43" s="67">
        <v>233</v>
      </c>
      <c r="M43" s="67">
        <v>272</v>
      </c>
      <c r="N43" s="67">
        <v>275</v>
      </c>
      <c r="O43" s="67">
        <v>296</v>
      </c>
      <c r="P43" s="67">
        <v>283</v>
      </c>
      <c r="Q43" s="67">
        <v>313</v>
      </c>
      <c r="R43" s="67">
        <v>331</v>
      </c>
      <c r="S43" s="67">
        <v>323</v>
      </c>
      <c r="T43" s="67">
        <v>318</v>
      </c>
      <c r="U43" s="67">
        <v>299</v>
      </c>
      <c r="V43" s="67">
        <v>302</v>
      </c>
      <c r="W43" s="67">
        <v>227</v>
      </c>
      <c r="X43" s="67">
        <v>222</v>
      </c>
      <c r="Y43" s="67">
        <v>223</v>
      </c>
      <c r="Z43" s="67">
        <v>215</v>
      </c>
      <c r="AA43" s="67">
        <v>200</v>
      </c>
      <c r="AB43" s="67">
        <v>204</v>
      </c>
      <c r="AC43" s="67">
        <v>220</v>
      </c>
      <c r="AD43" s="67">
        <v>219</v>
      </c>
      <c r="AE43" s="151">
        <v>198</v>
      </c>
    </row>
    <row r="44" spans="1:32" s="11" customFormat="1" ht="15" customHeight="1" thickBot="1" x14ac:dyDescent="0.3">
      <c r="A44" s="144" t="s">
        <v>55</v>
      </c>
      <c r="B44" s="9" t="s">
        <v>56</v>
      </c>
      <c r="C44" s="64">
        <v>589</v>
      </c>
      <c r="D44" s="64">
        <v>609</v>
      </c>
      <c r="E44" s="64">
        <v>665</v>
      </c>
      <c r="F44" s="64">
        <v>661</v>
      </c>
      <c r="G44" s="64">
        <v>637</v>
      </c>
      <c r="H44" s="64">
        <v>599</v>
      </c>
      <c r="I44" s="64">
        <v>581</v>
      </c>
      <c r="J44" s="64">
        <v>634</v>
      </c>
      <c r="K44" s="64">
        <v>759</v>
      </c>
      <c r="L44" s="64">
        <v>854</v>
      </c>
      <c r="M44" s="64">
        <v>925</v>
      </c>
      <c r="N44" s="64">
        <v>987</v>
      </c>
      <c r="O44" s="64">
        <v>1067</v>
      </c>
      <c r="P44" s="64">
        <v>1123</v>
      </c>
      <c r="Q44" s="64">
        <v>1197</v>
      </c>
      <c r="R44" s="64">
        <v>1264</v>
      </c>
      <c r="S44" s="64">
        <v>1321</v>
      </c>
      <c r="T44" s="64">
        <v>1367</v>
      </c>
      <c r="U44" s="64">
        <v>1399</v>
      </c>
      <c r="V44" s="64">
        <v>1452</v>
      </c>
      <c r="W44" s="64">
        <v>1474</v>
      </c>
      <c r="X44" s="64">
        <v>1460</v>
      </c>
      <c r="Y44" s="64">
        <v>1373</v>
      </c>
      <c r="Z44" s="64">
        <v>1287</v>
      </c>
      <c r="AA44" s="64">
        <v>1217</v>
      </c>
      <c r="AB44" s="64">
        <v>1314</v>
      </c>
      <c r="AC44" s="64">
        <v>1497</v>
      </c>
      <c r="AD44" s="64">
        <v>1540</v>
      </c>
      <c r="AE44" s="145">
        <v>1545</v>
      </c>
      <c r="AF44" s="10"/>
    </row>
    <row r="45" spans="1:32" ht="15" customHeight="1" x14ac:dyDescent="0.25">
      <c r="A45" s="146">
        <v>50</v>
      </c>
      <c r="B45" s="12" t="s">
        <v>57</v>
      </c>
      <c r="C45" s="65">
        <v>112</v>
      </c>
      <c r="D45" s="65">
        <v>115</v>
      </c>
      <c r="E45" s="65">
        <v>122</v>
      </c>
      <c r="F45" s="65">
        <v>122</v>
      </c>
      <c r="G45" s="65">
        <v>115</v>
      </c>
      <c r="H45" s="65">
        <v>108</v>
      </c>
      <c r="I45" s="65">
        <v>102</v>
      </c>
      <c r="J45" s="65">
        <v>108</v>
      </c>
      <c r="K45" s="65">
        <v>141</v>
      </c>
      <c r="L45" s="65">
        <v>148</v>
      </c>
      <c r="M45" s="65">
        <v>156</v>
      </c>
      <c r="N45" s="65">
        <v>159</v>
      </c>
      <c r="O45" s="65">
        <v>175</v>
      </c>
      <c r="P45" s="65">
        <v>172</v>
      </c>
      <c r="Q45" s="65">
        <v>172</v>
      </c>
      <c r="R45" s="65">
        <v>176</v>
      </c>
      <c r="S45" s="65">
        <v>198</v>
      </c>
      <c r="T45" s="65">
        <v>197</v>
      </c>
      <c r="U45" s="65">
        <v>204</v>
      </c>
      <c r="V45" s="65">
        <v>215</v>
      </c>
      <c r="W45" s="65">
        <v>217</v>
      </c>
      <c r="X45" s="65">
        <v>211</v>
      </c>
      <c r="Y45" s="65">
        <v>204</v>
      </c>
      <c r="Z45" s="65">
        <v>191</v>
      </c>
      <c r="AA45" s="65">
        <v>175</v>
      </c>
      <c r="AB45" s="65">
        <v>183</v>
      </c>
      <c r="AC45" s="65">
        <v>193</v>
      </c>
      <c r="AD45" s="65">
        <v>191</v>
      </c>
      <c r="AE45" s="147">
        <v>185</v>
      </c>
    </row>
    <row r="46" spans="1:32" ht="15" customHeight="1" x14ac:dyDescent="0.25">
      <c r="A46" s="156">
        <v>51</v>
      </c>
      <c r="B46" s="17" t="s">
        <v>58</v>
      </c>
      <c r="C46" s="70">
        <v>78</v>
      </c>
      <c r="D46" s="70">
        <v>76</v>
      </c>
      <c r="E46" s="70">
        <v>85</v>
      </c>
      <c r="F46" s="70">
        <v>98</v>
      </c>
      <c r="G46" s="70">
        <v>84</v>
      </c>
      <c r="H46" s="70">
        <v>88</v>
      </c>
      <c r="I46" s="70">
        <v>89</v>
      </c>
      <c r="J46" s="70">
        <v>84</v>
      </c>
      <c r="K46" s="70">
        <v>93</v>
      </c>
      <c r="L46" s="70">
        <v>92</v>
      </c>
      <c r="M46" s="70">
        <v>102</v>
      </c>
      <c r="N46" s="70">
        <v>109</v>
      </c>
      <c r="O46" s="70">
        <v>110</v>
      </c>
      <c r="P46" s="70">
        <v>118</v>
      </c>
      <c r="Q46" s="70">
        <v>128</v>
      </c>
      <c r="R46" s="70">
        <v>128</v>
      </c>
      <c r="S46" s="70">
        <v>123</v>
      </c>
      <c r="T46" s="70">
        <v>135</v>
      </c>
      <c r="U46" s="70">
        <v>129</v>
      </c>
      <c r="V46" s="70">
        <v>131</v>
      </c>
      <c r="W46" s="70">
        <v>135</v>
      </c>
      <c r="X46" s="70">
        <v>132</v>
      </c>
      <c r="Y46" s="70">
        <v>123</v>
      </c>
      <c r="Z46" s="70">
        <v>123</v>
      </c>
      <c r="AA46" s="70">
        <v>127</v>
      </c>
      <c r="AB46" s="70">
        <v>137</v>
      </c>
      <c r="AC46" s="70">
        <v>160</v>
      </c>
      <c r="AD46" s="70">
        <v>151</v>
      </c>
      <c r="AE46" s="157">
        <v>154</v>
      </c>
    </row>
    <row r="47" spans="1:32" ht="15" customHeight="1" thickBot="1" x14ac:dyDescent="0.3">
      <c r="A47" s="158">
        <v>52</v>
      </c>
      <c r="B47" s="18" t="s">
        <v>59</v>
      </c>
      <c r="C47" s="71">
        <v>399</v>
      </c>
      <c r="D47" s="71">
        <v>418</v>
      </c>
      <c r="E47" s="71">
        <v>458</v>
      </c>
      <c r="F47" s="71">
        <v>441</v>
      </c>
      <c r="G47" s="71">
        <v>438</v>
      </c>
      <c r="H47" s="71">
        <v>403</v>
      </c>
      <c r="I47" s="71">
        <v>390</v>
      </c>
      <c r="J47" s="71">
        <v>442</v>
      </c>
      <c r="K47" s="71">
        <v>525</v>
      </c>
      <c r="L47" s="71">
        <v>614</v>
      </c>
      <c r="M47" s="71">
        <v>667</v>
      </c>
      <c r="N47" s="71">
        <v>719</v>
      </c>
      <c r="O47" s="71">
        <v>782</v>
      </c>
      <c r="P47" s="71">
        <v>833</v>
      </c>
      <c r="Q47" s="71">
        <v>897</v>
      </c>
      <c r="R47" s="71">
        <v>960</v>
      </c>
      <c r="S47" s="71">
        <v>1000</v>
      </c>
      <c r="T47" s="71">
        <v>1035</v>
      </c>
      <c r="U47" s="71">
        <v>1066</v>
      </c>
      <c r="V47" s="71">
        <v>1106</v>
      </c>
      <c r="W47" s="71">
        <v>1122</v>
      </c>
      <c r="X47" s="71">
        <v>1117</v>
      </c>
      <c r="Y47" s="71">
        <v>1046</v>
      </c>
      <c r="Z47" s="71">
        <v>973</v>
      </c>
      <c r="AA47" s="71">
        <v>915</v>
      </c>
      <c r="AB47" s="71">
        <v>994</v>
      </c>
      <c r="AC47" s="71">
        <v>1144</v>
      </c>
      <c r="AD47" s="71">
        <v>1198</v>
      </c>
      <c r="AE47" s="159">
        <v>1206</v>
      </c>
    </row>
    <row r="48" spans="1:32" s="11" customFormat="1" ht="15" customHeight="1" thickBot="1" x14ac:dyDescent="0.3">
      <c r="A48" s="160" t="s">
        <v>60</v>
      </c>
      <c r="B48" s="19" t="s">
        <v>61</v>
      </c>
      <c r="C48" s="64">
        <v>107</v>
      </c>
      <c r="D48" s="64">
        <v>123</v>
      </c>
      <c r="E48" s="64">
        <v>138</v>
      </c>
      <c r="F48" s="64">
        <v>124</v>
      </c>
      <c r="G48" s="64">
        <v>132</v>
      </c>
      <c r="H48" s="64">
        <v>133</v>
      </c>
      <c r="I48" s="64">
        <v>121</v>
      </c>
      <c r="J48" s="64">
        <v>145</v>
      </c>
      <c r="K48" s="64">
        <v>204</v>
      </c>
      <c r="L48" s="64">
        <v>234</v>
      </c>
      <c r="M48" s="64">
        <v>274</v>
      </c>
      <c r="N48" s="64">
        <v>285</v>
      </c>
      <c r="O48" s="64">
        <v>335</v>
      </c>
      <c r="P48" s="64">
        <v>320</v>
      </c>
      <c r="Q48" s="64">
        <v>334</v>
      </c>
      <c r="R48" s="64">
        <v>384</v>
      </c>
      <c r="S48" s="64">
        <v>397</v>
      </c>
      <c r="T48" s="64">
        <v>410</v>
      </c>
      <c r="U48" s="64">
        <v>429</v>
      </c>
      <c r="V48" s="64">
        <v>426</v>
      </c>
      <c r="W48" s="64">
        <v>441</v>
      </c>
      <c r="X48" s="64">
        <v>442</v>
      </c>
      <c r="Y48" s="64">
        <v>426</v>
      </c>
      <c r="Z48" s="64">
        <v>437</v>
      </c>
      <c r="AA48" s="64">
        <v>338</v>
      </c>
      <c r="AB48" s="64">
        <v>384</v>
      </c>
      <c r="AC48" s="64">
        <v>461</v>
      </c>
      <c r="AD48" s="64">
        <v>473</v>
      </c>
      <c r="AE48" s="145">
        <v>483</v>
      </c>
      <c r="AF48" s="10"/>
    </row>
    <row r="49" spans="1:32" ht="15" customHeight="1" thickBot="1" x14ac:dyDescent="0.3">
      <c r="A49" s="150">
        <v>55</v>
      </c>
      <c r="B49" s="14" t="s">
        <v>62</v>
      </c>
      <c r="C49" s="67">
        <v>107</v>
      </c>
      <c r="D49" s="67">
        <v>123</v>
      </c>
      <c r="E49" s="67">
        <v>138</v>
      </c>
      <c r="F49" s="67">
        <v>124</v>
      </c>
      <c r="G49" s="67">
        <v>132</v>
      </c>
      <c r="H49" s="67">
        <v>133</v>
      </c>
      <c r="I49" s="67">
        <v>121</v>
      </c>
      <c r="J49" s="67">
        <v>145</v>
      </c>
      <c r="K49" s="67">
        <v>204</v>
      </c>
      <c r="L49" s="67">
        <v>234</v>
      </c>
      <c r="M49" s="67">
        <v>274</v>
      </c>
      <c r="N49" s="67">
        <v>285</v>
      </c>
      <c r="O49" s="67">
        <v>335</v>
      </c>
      <c r="P49" s="67">
        <v>320</v>
      </c>
      <c r="Q49" s="67">
        <v>334</v>
      </c>
      <c r="R49" s="67">
        <v>384</v>
      </c>
      <c r="S49" s="67">
        <v>397</v>
      </c>
      <c r="T49" s="67">
        <v>410</v>
      </c>
      <c r="U49" s="67">
        <v>429</v>
      </c>
      <c r="V49" s="67">
        <v>426</v>
      </c>
      <c r="W49" s="67">
        <v>441</v>
      </c>
      <c r="X49" s="67">
        <v>442</v>
      </c>
      <c r="Y49" s="67">
        <v>426</v>
      </c>
      <c r="Z49" s="67">
        <v>437</v>
      </c>
      <c r="AA49" s="67">
        <v>338</v>
      </c>
      <c r="AB49" s="67">
        <v>384</v>
      </c>
      <c r="AC49" s="67">
        <v>461</v>
      </c>
      <c r="AD49" s="67">
        <v>473</v>
      </c>
      <c r="AE49" s="151">
        <v>483</v>
      </c>
    </row>
    <row r="50" spans="1:32" s="11" customFormat="1" ht="15" customHeight="1" thickBot="1" x14ac:dyDescent="0.3">
      <c r="A50" s="144" t="s">
        <v>63</v>
      </c>
      <c r="B50" s="9" t="s">
        <v>64</v>
      </c>
      <c r="C50" s="64">
        <v>189</v>
      </c>
      <c r="D50" s="64">
        <v>199</v>
      </c>
      <c r="E50" s="64">
        <v>220</v>
      </c>
      <c r="F50" s="64">
        <v>227</v>
      </c>
      <c r="G50" s="64">
        <v>225</v>
      </c>
      <c r="H50" s="64">
        <v>215</v>
      </c>
      <c r="I50" s="64">
        <v>225</v>
      </c>
      <c r="J50" s="64">
        <v>250</v>
      </c>
      <c r="K50" s="64">
        <v>298</v>
      </c>
      <c r="L50" s="64">
        <v>330</v>
      </c>
      <c r="M50" s="64">
        <v>347</v>
      </c>
      <c r="N50" s="64">
        <v>392</v>
      </c>
      <c r="O50" s="64">
        <v>417</v>
      </c>
      <c r="P50" s="64">
        <v>420</v>
      </c>
      <c r="Q50" s="64">
        <v>468</v>
      </c>
      <c r="R50" s="64">
        <v>510</v>
      </c>
      <c r="S50" s="64">
        <v>517</v>
      </c>
      <c r="T50" s="64">
        <v>492</v>
      </c>
      <c r="U50" s="64">
        <v>525</v>
      </c>
      <c r="V50" s="64">
        <v>517</v>
      </c>
      <c r="W50" s="64">
        <v>496</v>
      </c>
      <c r="X50" s="64">
        <v>495</v>
      </c>
      <c r="Y50" s="64">
        <v>480</v>
      </c>
      <c r="Z50" s="64">
        <v>456</v>
      </c>
      <c r="AA50" s="64">
        <v>424</v>
      </c>
      <c r="AB50" s="64">
        <v>426</v>
      </c>
      <c r="AC50" s="64">
        <v>446</v>
      </c>
      <c r="AD50" s="64">
        <v>452</v>
      </c>
      <c r="AE50" s="145">
        <v>462</v>
      </c>
      <c r="AF50" s="10"/>
    </row>
    <row r="51" spans="1:32" ht="15" customHeight="1" x14ac:dyDescent="0.25">
      <c r="A51" s="152">
        <v>60</v>
      </c>
      <c r="B51" s="15" t="s">
        <v>65</v>
      </c>
      <c r="C51" s="68">
        <v>123</v>
      </c>
      <c r="D51" s="68">
        <v>125</v>
      </c>
      <c r="E51" s="68">
        <v>129</v>
      </c>
      <c r="F51" s="68">
        <v>121</v>
      </c>
      <c r="G51" s="68">
        <v>126</v>
      </c>
      <c r="H51" s="68">
        <v>123</v>
      </c>
      <c r="I51" s="68">
        <v>130</v>
      </c>
      <c r="J51" s="68">
        <v>145</v>
      </c>
      <c r="K51" s="68">
        <v>178</v>
      </c>
      <c r="L51" s="68">
        <v>195</v>
      </c>
      <c r="M51" s="68">
        <v>208</v>
      </c>
      <c r="N51" s="68">
        <v>239</v>
      </c>
      <c r="O51" s="68">
        <v>257</v>
      </c>
      <c r="P51" s="68">
        <v>266</v>
      </c>
      <c r="Q51" s="68">
        <v>304</v>
      </c>
      <c r="R51" s="68">
        <v>342</v>
      </c>
      <c r="S51" s="68">
        <v>349</v>
      </c>
      <c r="T51" s="68">
        <v>320</v>
      </c>
      <c r="U51" s="68">
        <v>347</v>
      </c>
      <c r="V51" s="68">
        <v>336</v>
      </c>
      <c r="W51" s="68">
        <v>315</v>
      </c>
      <c r="X51" s="68">
        <v>313</v>
      </c>
      <c r="Y51" s="68">
        <v>299</v>
      </c>
      <c r="Z51" s="68">
        <v>280</v>
      </c>
      <c r="AA51" s="68">
        <v>249</v>
      </c>
      <c r="AB51" s="68">
        <v>256</v>
      </c>
      <c r="AC51" s="68">
        <v>270</v>
      </c>
      <c r="AD51" s="68">
        <v>273</v>
      </c>
      <c r="AE51" s="153">
        <v>279</v>
      </c>
    </row>
    <row r="52" spans="1:32" ht="15" customHeight="1" x14ac:dyDescent="0.25">
      <c r="A52" s="161">
        <v>61</v>
      </c>
      <c r="B52" s="20" t="s">
        <v>66</v>
      </c>
      <c r="C52" s="73" t="s">
        <v>383</v>
      </c>
      <c r="D52" s="73" t="s">
        <v>383</v>
      </c>
      <c r="E52" s="73" t="s">
        <v>383</v>
      </c>
      <c r="F52" s="73" t="s">
        <v>383</v>
      </c>
      <c r="G52" s="73">
        <v>5</v>
      </c>
      <c r="H52" s="73" t="s">
        <v>383</v>
      </c>
      <c r="I52" s="73" t="s">
        <v>383</v>
      </c>
      <c r="J52" s="73" t="s">
        <v>383</v>
      </c>
      <c r="K52" s="73" t="s">
        <v>383</v>
      </c>
      <c r="L52" s="73">
        <v>10</v>
      </c>
      <c r="M52" s="73">
        <v>8</v>
      </c>
      <c r="N52" s="73">
        <v>7</v>
      </c>
      <c r="O52" s="73">
        <v>9</v>
      </c>
      <c r="P52" s="73">
        <v>7</v>
      </c>
      <c r="Q52" s="73">
        <v>8</v>
      </c>
      <c r="R52" s="73">
        <v>9</v>
      </c>
      <c r="S52" s="73">
        <v>9</v>
      </c>
      <c r="T52" s="73">
        <v>9</v>
      </c>
      <c r="U52" s="73">
        <v>10</v>
      </c>
      <c r="V52" s="73">
        <v>11</v>
      </c>
      <c r="W52" s="73">
        <v>10</v>
      </c>
      <c r="X52" s="73">
        <v>9</v>
      </c>
      <c r="Y52" s="73">
        <v>9</v>
      </c>
      <c r="Z52" s="73">
        <v>9</v>
      </c>
      <c r="AA52" s="73">
        <v>9</v>
      </c>
      <c r="AB52" s="73">
        <v>10</v>
      </c>
      <c r="AC52" s="73">
        <v>10</v>
      </c>
      <c r="AD52" s="73">
        <v>9</v>
      </c>
      <c r="AE52" s="162">
        <v>11</v>
      </c>
    </row>
    <row r="53" spans="1:32" ht="15" customHeight="1" x14ac:dyDescent="0.25">
      <c r="A53" s="152">
        <v>62</v>
      </c>
      <c r="B53" s="15" t="s">
        <v>67</v>
      </c>
      <c r="C53" s="68" t="s">
        <v>383</v>
      </c>
      <c r="D53" s="68" t="s">
        <v>383</v>
      </c>
      <c r="E53" s="68" t="s">
        <v>383</v>
      </c>
      <c r="F53" s="68" t="s">
        <v>383</v>
      </c>
      <c r="G53" s="68">
        <v>4</v>
      </c>
      <c r="H53" s="68" t="s">
        <v>383</v>
      </c>
      <c r="I53" s="68" t="s">
        <v>383</v>
      </c>
      <c r="J53" s="68" t="s">
        <v>383</v>
      </c>
      <c r="K53" s="68" t="s">
        <v>383</v>
      </c>
      <c r="L53" s="68">
        <v>6</v>
      </c>
      <c r="M53" s="68">
        <v>6</v>
      </c>
      <c r="N53" s="68">
        <v>8</v>
      </c>
      <c r="O53" s="68">
        <v>5</v>
      </c>
      <c r="P53" s="68">
        <v>5</v>
      </c>
      <c r="Q53" s="68">
        <v>5</v>
      </c>
      <c r="R53" s="68">
        <v>5</v>
      </c>
      <c r="S53" s="68">
        <v>5</v>
      </c>
      <c r="T53" s="68">
        <v>5</v>
      </c>
      <c r="U53" s="68">
        <v>5</v>
      </c>
      <c r="V53" s="68">
        <v>5</v>
      </c>
      <c r="W53" s="68">
        <v>6</v>
      </c>
      <c r="X53" s="68">
        <v>6</v>
      </c>
      <c r="Y53" s="68">
        <v>7</v>
      </c>
      <c r="Z53" s="68">
        <v>6</v>
      </c>
      <c r="AA53" s="68">
        <v>6</v>
      </c>
      <c r="AB53" s="68">
        <v>5</v>
      </c>
      <c r="AC53" s="68">
        <v>5</v>
      </c>
      <c r="AD53" s="68">
        <v>5</v>
      </c>
      <c r="AE53" s="153">
        <v>6</v>
      </c>
    </row>
    <row r="54" spans="1:32" ht="15" customHeight="1" x14ac:dyDescent="0.25">
      <c r="A54" s="163">
        <v>63</v>
      </c>
      <c r="B54" s="21" t="s">
        <v>68</v>
      </c>
      <c r="C54" s="74">
        <v>31</v>
      </c>
      <c r="D54" s="74">
        <v>36</v>
      </c>
      <c r="E54" s="74">
        <v>44</v>
      </c>
      <c r="F54" s="74">
        <v>58</v>
      </c>
      <c r="G54" s="74">
        <v>52</v>
      </c>
      <c r="H54" s="74">
        <v>51</v>
      </c>
      <c r="I54" s="74">
        <v>52</v>
      </c>
      <c r="J54" s="74">
        <v>60</v>
      </c>
      <c r="K54" s="74">
        <v>73</v>
      </c>
      <c r="L54" s="74">
        <v>80</v>
      </c>
      <c r="M54" s="74">
        <v>87</v>
      </c>
      <c r="N54" s="74">
        <v>99</v>
      </c>
      <c r="O54" s="74">
        <v>108</v>
      </c>
      <c r="P54" s="74">
        <v>105</v>
      </c>
      <c r="Q54" s="74">
        <v>111</v>
      </c>
      <c r="R54" s="74">
        <v>114</v>
      </c>
      <c r="S54" s="74">
        <v>109</v>
      </c>
      <c r="T54" s="74">
        <v>113</v>
      </c>
      <c r="U54" s="74">
        <v>116</v>
      </c>
      <c r="V54" s="74">
        <v>119</v>
      </c>
      <c r="W54" s="74">
        <v>120</v>
      </c>
      <c r="X54" s="74">
        <v>122</v>
      </c>
      <c r="Y54" s="74">
        <v>125</v>
      </c>
      <c r="Z54" s="74">
        <v>120</v>
      </c>
      <c r="AA54" s="74">
        <v>120</v>
      </c>
      <c r="AB54" s="74">
        <v>114</v>
      </c>
      <c r="AC54" s="74">
        <v>121</v>
      </c>
      <c r="AD54" s="74">
        <v>126</v>
      </c>
      <c r="AE54" s="164">
        <v>125</v>
      </c>
    </row>
    <row r="55" spans="1:32" ht="15" customHeight="1" thickBot="1" x14ac:dyDescent="0.3">
      <c r="A55" s="152">
        <v>64</v>
      </c>
      <c r="B55" s="15" t="s">
        <v>99</v>
      </c>
      <c r="C55" s="68">
        <v>27</v>
      </c>
      <c r="D55" s="68">
        <v>30</v>
      </c>
      <c r="E55" s="68">
        <v>38</v>
      </c>
      <c r="F55" s="68">
        <v>39</v>
      </c>
      <c r="G55" s="68">
        <v>38</v>
      </c>
      <c r="H55" s="68">
        <v>33</v>
      </c>
      <c r="I55" s="68">
        <v>36</v>
      </c>
      <c r="J55" s="68">
        <v>36</v>
      </c>
      <c r="K55" s="68">
        <v>37</v>
      </c>
      <c r="L55" s="68">
        <v>39</v>
      </c>
      <c r="M55" s="68">
        <v>38</v>
      </c>
      <c r="N55" s="68">
        <v>39</v>
      </c>
      <c r="O55" s="68">
        <v>38</v>
      </c>
      <c r="P55" s="68">
        <v>37</v>
      </c>
      <c r="Q55" s="68">
        <v>40</v>
      </c>
      <c r="R55" s="68">
        <v>40</v>
      </c>
      <c r="S55" s="68">
        <v>45</v>
      </c>
      <c r="T55" s="68">
        <v>45</v>
      </c>
      <c r="U55" s="68">
        <v>47</v>
      </c>
      <c r="V55" s="68">
        <v>46</v>
      </c>
      <c r="W55" s="68">
        <v>45</v>
      </c>
      <c r="X55" s="68">
        <v>45</v>
      </c>
      <c r="Y55" s="68">
        <v>40</v>
      </c>
      <c r="Z55" s="68">
        <v>41</v>
      </c>
      <c r="AA55" s="68">
        <v>40</v>
      </c>
      <c r="AB55" s="68">
        <v>41</v>
      </c>
      <c r="AC55" s="68">
        <v>40</v>
      </c>
      <c r="AD55" s="68">
        <v>39</v>
      </c>
      <c r="AE55" s="153">
        <v>41</v>
      </c>
    </row>
    <row r="56" spans="1:32" s="11" customFormat="1" ht="15" customHeight="1" thickBot="1" x14ac:dyDescent="0.3">
      <c r="A56" s="144" t="s">
        <v>70</v>
      </c>
      <c r="B56" s="9" t="s">
        <v>71</v>
      </c>
      <c r="C56" s="64">
        <v>35</v>
      </c>
      <c r="D56" s="64">
        <v>44</v>
      </c>
      <c r="E56" s="64">
        <v>58</v>
      </c>
      <c r="F56" s="64">
        <v>56</v>
      </c>
      <c r="G56" s="64">
        <v>61</v>
      </c>
      <c r="H56" s="64">
        <v>59</v>
      </c>
      <c r="I56" s="64">
        <v>55</v>
      </c>
      <c r="J56" s="64">
        <v>59</v>
      </c>
      <c r="K56" s="64">
        <v>56</v>
      </c>
      <c r="L56" s="64">
        <v>65</v>
      </c>
      <c r="M56" s="64">
        <v>71</v>
      </c>
      <c r="N56" s="64">
        <v>75</v>
      </c>
      <c r="O56" s="64">
        <v>79</v>
      </c>
      <c r="P56" s="64">
        <v>77</v>
      </c>
      <c r="Q56" s="64">
        <v>72</v>
      </c>
      <c r="R56" s="64">
        <v>73</v>
      </c>
      <c r="S56" s="64">
        <v>79</v>
      </c>
      <c r="T56" s="64">
        <v>81</v>
      </c>
      <c r="U56" s="64">
        <v>75</v>
      </c>
      <c r="V56" s="64">
        <v>74</v>
      </c>
      <c r="W56" s="64">
        <v>74</v>
      </c>
      <c r="X56" s="64">
        <v>75</v>
      </c>
      <c r="Y56" s="64">
        <v>79</v>
      </c>
      <c r="Z56" s="64">
        <v>84</v>
      </c>
      <c r="AA56" s="64">
        <v>78</v>
      </c>
      <c r="AB56" s="64">
        <v>77</v>
      </c>
      <c r="AC56" s="64">
        <v>73</v>
      </c>
      <c r="AD56" s="64">
        <v>71</v>
      </c>
      <c r="AE56" s="145">
        <v>74</v>
      </c>
      <c r="AF56" s="10"/>
    </row>
    <row r="57" spans="1:32" ht="15" customHeight="1" x14ac:dyDescent="0.25">
      <c r="A57" s="152">
        <v>65</v>
      </c>
      <c r="B57" s="15" t="s">
        <v>72</v>
      </c>
      <c r="C57" s="68">
        <v>12</v>
      </c>
      <c r="D57" s="68">
        <v>18</v>
      </c>
      <c r="E57" s="68">
        <v>23</v>
      </c>
      <c r="F57" s="68">
        <v>17</v>
      </c>
      <c r="G57" s="68">
        <v>22</v>
      </c>
      <c r="H57" s="68">
        <v>21</v>
      </c>
      <c r="I57" s="68">
        <v>21</v>
      </c>
      <c r="J57" s="68">
        <v>20</v>
      </c>
      <c r="K57" s="68">
        <v>18</v>
      </c>
      <c r="L57" s="68">
        <v>18</v>
      </c>
      <c r="M57" s="68">
        <v>22</v>
      </c>
      <c r="N57" s="68">
        <v>22</v>
      </c>
      <c r="O57" s="68">
        <v>25</v>
      </c>
      <c r="P57" s="68">
        <v>26</v>
      </c>
      <c r="Q57" s="68">
        <v>26</v>
      </c>
      <c r="R57" s="68">
        <v>25</v>
      </c>
      <c r="S57" s="68">
        <v>27</v>
      </c>
      <c r="T57" s="68">
        <v>29</v>
      </c>
      <c r="U57" s="68">
        <v>28</v>
      </c>
      <c r="V57" s="68">
        <v>25</v>
      </c>
      <c r="W57" s="68">
        <v>24</v>
      </c>
      <c r="X57" s="68">
        <v>26</v>
      </c>
      <c r="Y57" s="68">
        <v>29</v>
      </c>
      <c r="Z57" s="68">
        <v>31</v>
      </c>
      <c r="AA57" s="68">
        <v>28</v>
      </c>
      <c r="AB57" s="68">
        <v>27</v>
      </c>
      <c r="AC57" s="68">
        <v>25</v>
      </c>
      <c r="AD57" s="68">
        <v>25</v>
      </c>
      <c r="AE57" s="153">
        <v>25</v>
      </c>
    </row>
    <row r="58" spans="1:32" ht="15" customHeight="1" x14ac:dyDescent="0.25">
      <c r="A58" s="156">
        <v>66</v>
      </c>
      <c r="B58" s="17" t="s">
        <v>100</v>
      </c>
      <c r="C58" s="70">
        <v>11</v>
      </c>
      <c r="D58" s="70">
        <v>13</v>
      </c>
      <c r="E58" s="70">
        <v>18</v>
      </c>
      <c r="F58" s="70">
        <v>25</v>
      </c>
      <c r="G58" s="70">
        <v>25</v>
      </c>
      <c r="H58" s="70">
        <v>26</v>
      </c>
      <c r="I58" s="70">
        <v>23</v>
      </c>
      <c r="J58" s="70">
        <v>27</v>
      </c>
      <c r="K58" s="70">
        <v>24</v>
      </c>
      <c r="L58" s="70">
        <v>30</v>
      </c>
      <c r="M58" s="70">
        <v>32</v>
      </c>
      <c r="N58" s="70">
        <v>30</v>
      </c>
      <c r="O58" s="70">
        <v>31</v>
      </c>
      <c r="P58" s="70">
        <v>24</v>
      </c>
      <c r="Q58" s="70">
        <v>21</v>
      </c>
      <c r="R58" s="70">
        <v>24</v>
      </c>
      <c r="S58" s="70">
        <v>27</v>
      </c>
      <c r="T58" s="70">
        <v>26</v>
      </c>
      <c r="U58" s="70">
        <v>22</v>
      </c>
      <c r="V58" s="70">
        <v>22</v>
      </c>
      <c r="W58" s="70">
        <v>22</v>
      </c>
      <c r="X58" s="70">
        <v>21</v>
      </c>
      <c r="Y58" s="70">
        <v>22</v>
      </c>
      <c r="Z58" s="70">
        <v>23</v>
      </c>
      <c r="AA58" s="70">
        <v>22</v>
      </c>
      <c r="AB58" s="70">
        <v>21</v>
      </c>
      <c r="AC58" s="70">
        <v>18</v>
      </c>
      <c r="AD58" s="70">
        <v>19</v>
      </c>
      <c r="AE58" s="157">
        <v>19</v>
      </c>
    </row>
    <row r="59" spans="1:32" ht="15" customHeight="1" thickBot="1" x14ac:dyDescent="0.3">
      <c r="A59" s="152">
        <v>67</v>
      </c>
      <c r="B59" s="15" t="s">
        <v>74</v>
      </c>
      <c r="C59" s="68">
        <v>12</v>
      </c>
      <c r="D59" s="68">
        <v>13</v>
      </c>
      <c r="E59" s="68">
        <v>17</v>
      </c>
      <c r="F59" s="68">
        <v>14</v>
      </c>
      <c r="G59" s="68">
        <v>14</v>
      </c>
      <c r="H59" s="68">
        <v>12</v>
      </c>
      <c r="I59" s="68">
        <v>11</v>
      </c>
      <c r="J59" s="68">
        <v>12</v>
      </c>
      <c r="K59" s="68">
        <v>14</v>
      </c>
      <c r="L59" s="68">
        <v>17</v>
      </c>
      <c r="M59" s="68">
        <v>17</v>
      </c>
      <c r="N59" s="68">
        <v>23</v>
      </c>
      <c r="O59" s="68">
        <v>23</v>
      </c>
      <c r="P59" s="68">
        <v>27</v>
      </c>
      <c r="Q59" s="68">
        <v>25</v>
      </c>
      <c r="R59" s="68">
        <v>24</v>
      </c>
      <c r="S59" s="68">
        <v>25</v>
      </c>
      <c r="T59" s="68">
        <v>26</v>
      </c>
      <c r="U59" s="68">
        <v>25</v>
      </c>
      <c r="V59" s="68">
        <v>27</v>
      </c>
      <c r="W59" s="68">
        <v>28</v>
      </c>
      <c r="X59" s="68">
        <v>28</v>
      </c>
      <c r="Y59" s="68">
        <v>28</v>
      </c>
      <c r="Z59" s="68">
        <v>30</v>
      </c>
      <c r="AA59" s="68">
        <v>28</v>
      </c>
      <c r="AB59" s="68">
        <v>29</v>
      </c>
      <c r="AC59" s="68">
        <v>30</v>
      </c>
      <c r="AD59" s="68">
        <v>27</v>
      </c>
      <c r="AE59" s="153">
        <v>30</v>
      </c>
    </row>
    <row r="60" spans="1:32" s="11" customFormat="1" ht="15" customHeight="1" thickBot="1" x14ac:dyDescent="0.3">
      <c r="A60" s="144" t="s">
        <v>75</v>
      </c>
      <c r="B60" s="9" t="s">
        <v>76</v>
      </c>
      <c r="C60" s="64">
        <v>408</v>
      </c>
      <c r="D60" s="64">
        <v>399</v>
      </c>
      <c r="E60" s="64">
        <v>474</v>
      </c>
      <c r="F60" s="64">
        <v>472</v>
      </c>
      <c r="G60" s="64">
        <v>466</v>
      </c>
      <c r="H60" s="64">
        <v>459</v>
      </c>
      <c r="I60" s="64">
        <v>417</v>
      </c>
      <c r="J60" s="64">
        <v>466</v>
      </c>
      <c r="K60" s="64">
        <v>554</v>
      </c>
      <c r="L60" s="64">
        <v>615</v>
      </c>
      <c r="M60" s="64">
        <v>650</v>
      </c>
      <c r="N60" s="64">
        <v>683</v>
      </c>
      <c r="O60" s="64">
        <v>710</v>
      </c>
      <c r="P60" s="64">
        <v>693</v>
      </c>
      <c r="Q60" s="64">
        <v>700</v>
      </c>
      <c r="R60" s="64">
        <v>733</v>
      </c>
      <c r="S60" s="64">
        <v>723</v>
      </c>
      <c r="T60" s="64">
        <v>729</v>
      </c>
      <c r="U60" s="64">
        <v>735</v>
      </c>
      <c r="V60" s="64">
        <v>748</v>
      </c>
      <c r="W60" s="64">
        <v>710</v>
      </c>
      <c r="X60" s="64">
        <v>672</v>
      </c>
      <c r="Y60" s="64">
        <v>627</v>
      </c>
      <c r="Z60" s="64">
        <v>610</v>
      </c>
      <c r="AA60" s="64">
        <v>553</v>
      </c>
      <c r="AB60" s="64">
        <v>566</v>
      </c>
      <c r="AC60" s="64">
        <v>563</v>
      </c>
      <c r="AD60" s="64">
        <v>547</v>
      </c>
      <c r="AE60" s="145">
        <v>528</v>
      </c>
      <c r="AF60" s="10"/>
    </row>
    <row r="61" spans="1:32" ht="15" customHeight="1" x14ac:dyDescent="0.25">
      <c r="A61" s="146">
        <v>70</v>
      </c>
      <c r="B61" s="12" t="s">
        <v>77</v>
      </c>
      <c r="C61" s="65">
        <v>142</v>
      </c>
      <c r="D61" s="65">
        <v>127</v>
      </c>
      <c r="E61" s="65">
        <v>149</v>
      </c>
      <c r="F61" s="65">
        <v>151</v>
      </c>
      <c r="G61" s="65">
        <v>138</v>
      </c>
      <c r="H61" s="65">
        <v>130</v>
      </c>
      <c r="I61" s="65">
        <v>120</v>
      </c>
      <c r="J61" s="65">
        <v>129</v>
      </c>
      <c r="K61" s="65">
        <v>157</v>
      </c>
      <c r="L61" s="65">
        <v>160</v>
      </c>
      <c r="M61" s="65">
        <v>170</v>
      </c>
      <c r="N61" s="65">
        <v>171</v>
      </c>
      <c r="O61" s="65">
        <v>177</v>
      </c>
      <c r="P61" s="65">
        <v>173</v>
      </c>
      <c r="Q61" s="65">
        <v>172</v>
      </c>
      <c r="R61" s="65">
        <v>182</v>
      </c>
      <c r="S61" s="65">
        <v>176</v>
      </c>
      <c r="T61" s="65">
        <v>169</v>
      </c>
      <c r="U61" s="65">
        <v>164</v>
      </c>
      <c r="V61" s="65">
        <v>158</v>
      </c>
      <c r="W61" s="65">
        <v>154</v>
      </c>
      <c r="X61" s="65">
        <v>138</v>
      </c>
      <c r="Y61" s="65">
        <v>124</v>
      </c>
      <c r="Z61" s="65">
        <v>120</v>
      </c>
      <c r="AA61" s="65">
        <v>90</v>
      </c>
      <c r="AB61" s="65">
        <v>94</v>
      </c>
      <c r="AC61" s="65">
        <v>86</v>
      </c>
      <c r="AD61" s="65">
        <v>72</v>
      </c>
      <c r="AE61" s="147">
        <v>70</v>
      </c>
    </row>
    <row r="62" spans="1:32" ht="15" customHeight="1" x14ac:dyDescent="0.25">
      <c r="A62" s="156">
        <v>71</v>
      </c>
      <c r="B62" s="17" t="s">
        <v>78</v>
      </c>
      <c r="C62" s="70">
        <v>11</v>
      </c>
      <c r="D62" s="70">
        <v>14</v>
      </c>
      <c r="E62" s="70">
        <v>15</v>
      </c>
      <c r="F62" s="70">
        <v>13</v>
      </c>
      <c r="G62" s="70">
        <v>14</v>
      </c>
      <c r="H62" s="70">
        <v>20</v>
      </c>
      <c r="I62" s="70">
        <v>15</v>
      </c>
      <c r="J62" s="70">
        <v>20</v>
      </c>
      <c r="K62" s="70">
        <v>32</v>
      </c>
      <c r="L62" s="70">
        <v>41</v>
      </c>
      <c r="M62" s="70">
        <v>48</v>
      </c>
      <c r="N62" s="70">
        <v>45</v>
      </c>
      <c r="O62" s="70">
        <v>48</v>
      </c>
      <c r="P62" s="70">
        <v>42</v>
      </c>
      <c r="Q62" s="70">
        <v>44</v>
      </c>
      <c r="R62" s="70">
        <v>45</v>
      </c>
      <c r="S62" s="70">
        <v>44</v>
      </c>
      <c r="T62" s="70">
        <v>50</v>
      </c>
      <c r="U62" s="70">
        <v>48</v>
      </c>
      <c r="V62" s="70">
        <v>54</v>
      </c>
      <c r="W62" s="70">
        <v>53</v>
      </c>
      <c r="X62" s="70">
        <v>48</v>
      </c>
      <c r="Y62" s="70">
        <v>43</v>
      </c>
      <c r="Z62" s="70">
        <v>38</v>
      </c>
      <c r="AA62" s="70">
        <v>43</v>
      </c>
      <c r="AB62" s="70">
        <v>44</v>
      </c>
      <c r="AC62" s="70">
        <v>45</v>
      </c>
      <c r="AD62" s="70">
        <v>45</v>
      </c>
      <c r="AE62" s="157">
        <v>44</v>
      </c>
    </row>
    <row r="63" spans="1:32" ht="15" customHeight="1" x14ac:dyDescent="0.25">
      <c r="A63" s="156">
        <v>72</v>
      </c>
      <c r="B63" s="17" t="s">
        <v>79</v>
      </c>
      <c r="C63" s="70">
        <v>5</v>
      </c>
      <c r="D63" s="70" t="s">
        <v>383</v>
      </c>
      <c r="E63" s="70" t="s">
        <v>383</v>
      </c>
      <c r="F63" s="70" t="s">
        <v>383</v>
      </c>
      <c r="G63" s="70">
        <v>14</v>
      </c>
      <c r="H63" s="70">
        <v>18</v>
      </c>
      <c r="I63" s="70" t="s">
        <v>383</v>
      </c>
      <c r="J63" s="70" t="s">
        <v>383</v>
      </c>
      <c r="K63" s="70" t="s">
        <v>383</v>
      </c>
      <c r="L63" s="70" t="s">
        <v>383</v>
      </c>
      <c r="M63" s="70" t="s">
        <v>383</v>
      </c>
      <c r="N63" s="70" t="s">
        <v>383</v>
      </c>
      <c r="O63" s="70" t="s">
        <v>383</v>
      </c>
      <c r="P63" s="70">
        <v>19</v>
      </c>
      <c r="Q63" s="70">
        <v>18</v>
      </c>
      <c r="R63" s="70">
        <v>24</v>
      </c>
      <c r="S63" s="70">
        <v>23</v>
      </c>
      <c r="T63" s="70">
        <v>24</v>
      </c>
      <c r="U63" s="70">
        <v>27</v>
      </c>
      <c r="V63" s="70">
        <v>25</v>
      </c>
      <c r="W63" s="70">
        <v>22</v>
      </c>
      <c r="X63" s="70">
        <v>20</v>
      </c>
      <c r="Y63" s="70">
        <v>21</v>
      </c>
      <c r="Z63" s="70">
        <v>22</v>
      </c>
      <c r="AA63" s="70">
        <v>21</v>
      </c>
      <c r="AB63" s="70">
        <v>25</v>
      </c>
      <c r="AC63" s="70">
        <v>28</v>
      </c>
      <c r="AD63" s="70">
        <v>32</v>
      </c>
      <c r="AE63" s="157">
        <v>33</v>
      </c>
    </row>
    <row r="64" spans="1:32" ht="15" customHeight="1" x14ac:dyDescent="0.25">
      <c r="A64" s="156">
        <v>73</v>
      </c>
      <c r="B64" s="17" t="s">
        <v>80</v>
      </c>
      <c r="C64" s="70" t="s">
        <v>383</v>
      </c>
      <c r="D64" s="70" t="s">
        <v>383</v>
      </c>
      <c r="E64" s="70" t="s">
        <v>383</v>
      </c>
      <c r="F64" s="70" t="s">
        <v>383</v>
      </c>
      <c r="G64" s="70" t="s">
        <v>383</v>
      </c>
      <c r="H64" s="70" t="s">
        <v>383</v>
      </c>
      <c r="I64" s="70" t="s">
        <v>383</v>
      </c>
      <c r="J64" s="70" t="s">
        <v>383</v>
      </c>
      <c r="K64" s="70" t="s">
        <v>383</v>
      </c>
      <c r="L64" s="70" t="s">
        <v>383</v>
      </c>
      <c r="M64" s="70" t="s">
        <v>383</v>
      </c>
      <c r="N64" s="70" t="s">
        <v>383</v>
      </c>
      <c r="O64" s="70" t="s">
        <v>383</v>
      </c>
      <c r="P64" s="70" t="s">
        <v>383</v>
      </c>
      <c r="Q64" s="70" t="s">
        <v>383</v>
      </c>
      <c r="R64" s="70" t="s">
        <v>383</v>
      </c>
      <c r="S64" s="70" t="s">
        <v>383</v>
      </c>
      <c r="T64" s="70" t="s">
        <v>383</v>
      </c>
      <c r="U64" s="70" t="s">
        <v>383</v>
      </c>
      <c r="V64" s="70" t="s">
        <v>383</v>
      </c>
      <c r="W64" s="70" t="s">
        <v>383</v>
      </c>
      <c r="X64" s="70" t="s">
        <v>383</v>
      </c>
      <c r="Y64" s="70" t="s">
        <v>383</v>
      </c>
      <c r="Z64" s="70" t="s">
        <v>383</v>
      </c>
      <c r="AA64" s="70" t="s">
        <v>383</v>
      </c>
      <c r="AB64" s="70" t="s">
        <v>383</v>
      </c>
      <c r="AC64" s="70" t="s">
        <v>383</v>
      </c>
      <c r="AD64" s="70" t="s">
        <v>383</v>
      </c>
      <c r="AE64" s="157" t="s">
        <v>383</v>
      </c>
    </row>
    <row r="65" spans="1:32" ht="15" customHeight="1" x14ac:dyDescent="0.25">
      <c r="A65" s="156">
        <v>74</v>
      </c>
      <c r="B65" s="17" t="s">
        <v>81</v>
      </c>
      <c r="C65" s="70">
        <v>246</v>
      </c>
      <c r="D65" s="70">
        <v>249</v>
      </c>
      <c r="E65" s="70">
        <v>300</v>
      </c>
      <c r="F65" s="70">
        <v>294</v>
      </c>
      <c r="G65" s="70">
        <v>296</v>
      </c>
      <c r="H65" s="70">
        <v>287</v>
      </c>
      <c r="I65" s="70">
        <v>262</v>
      </c>
      <c r="J65" s="70">
        <v>296</v>
      </c>
      <c r="K65" s="70">
        <v>343</v>
      </c>
      <c r="L65" s="70">
        <v>385</v>
      </c>
      <c r="M65" s="70">
        <v>406</v>
      </c>
      <c r="N65" s="70">
        <v>439</v>
      </c>
      <c r="O65" s="70">
        <v>455</v>
      </c>
      <c r="P65" s="70">
        <v>451</v>
      </c>
      <c r="Q65" s="70">
        <v>459</v>
      </c>
      <c r="R65" s="70">
        <v>472</v>
      </c>
      <c r="S65" s="70">
        <v>471</v>
      </c>
      <c r="T65" s="70">
        <v>478</v>
      </c>
      <c r="U65" s="70">
        <v>487</v>
      </c>
      <c r="V65" s="70">
        <v>502</v>
      </c>
      <c r="W65" s="70">
        <v>472</v>
      </c>
      <c r="X65" s="70">
        <v>460</v>
      </c>
      <c r="Y65" s="70">
        <v>433</v>
      </c>
      <c r="Z65" s="70">
        <v>422</v>
      </c>
      <c r="AA65" s="70">
        <v>394</v>
      </c>
      <c r="AB65" s="70">
        <v>396</v>
      </c>
      <c r="AC65" s="70">
        <v>397</v>
      </c>
      <c r="AD65" s="70">
        <v>392</v>
      </c>
      <c r="AE65" s="157">
        <v>376</v>
      </c>
    </row>
    <row r="66" spans="1:32" ht="15" customHeight="1" thickBot="1" x14ac:dyDescent="0.3">
      <c r="A66" s="158">
        <v>75</v>
      </c>
      <c r="B66" s="18" t="s">
        <v>185</v>
      </c>
      <c r="C66" s="71" t="s">
        <v>383</v>
      </c>
      <c r="D66" s="71">
        <v>4</v>
      </c>
      <c r="E66" s="71">
        <v>4</v>
      </c>
      <c r="F66" s="71">
        <v>6</v>
      </c>
      <c r="G66" s="71" t="s">
        <v>383</v>
      </c>
      <c r="H66" s="71" t="s">
        <v>383</v>
      </c>
      <c r="I66" s="71">
        <v>7</v>
      </c>
      <c r="J66" s="71">
        <v>6</v>
      </c>
      <c r="K66" s="71">
        <v>7</v>
      </c>
      <c r="L66" s="71">
        <v>12</v>
      </c>
      <c r="M66" s="71">
        <v>7</v>
      </c>
      <c r="N66" s="71">
        <v>7</v>
      </c>
      <c r="O66" s="71">
        <v>6</v>
      </c>
      <c r="P66" s="71" t="s">
        <v>383</v>
      </c>
      <c r="Q66" s="71" t="s">
        <v>383</v>
      </c>
      <c r="R66" s="71" t="s">
        <v>383</v>
      </c>
      <c r="S66" s="71" t="s">
        <v>383</v>
      </c>
      <c r="T66" s="71" t="s">
        <v>383</v>
      </c>
      <c r="U66" s="71" t="s">
        <v>383</v>
      </c>
      <c r="V66" s="71" t="s">
        <v>383</v>
      </c>
      <c r="W66" s="71" t="s">
        <v>383</v>
      </c>
      <c r="X66" s="71" t="s">
        <v>383</v>
      </c>
      <c r="Y66" s="71" t="s">
        <v>383</v>
      </c>
      <c r="Z66" s="71" t="s">
        <v>383</v>
      </c>
      <c r="AA66" s="71" t="s">
        <v>383</v>
      </c>
      <c r="AB66" s="71" t="s">
        <v>383</v>
      </c>
      <c r="AC66" s="71" t="s">
        <v>383</v>
      </c>
      <c r="AD66" s="71" t="s">
        <v>383</v>
      </c>
      <c r="AE66" s="159" t="s">
        <v>383</v>
      </c>
    </row>
    <row r="67" spans="1:32" s="11" customFormat="1" ht="15" customHeight="1" thickBot="1" x14ac:dyDescent="0.3">
      <c r="A67" s="160" t="s">
        <v>83</v>
      </c>
      <c r="B67" s="19" t="s">
        <v>84</v>
      </c>
      <c r="C67" s="64">
        <v>28</v>
      </c>
      <c r="D67" s="64">
        <v>27</v>
      </c>
      <c r="E67" s="64">
        <v>41</v>
      </c>
      <c r="F67" s="64">
        <v>43</v>
      </c>
      <c r="G67" s="64">
        <v>29</v>
      </c>
      <c r="H67" s="64">
        <v>30</v>
      </c>
      <c r="I67" s="64">
        <v>26</v>
      </c>
      <c r="J67" s="64">
        <v>25</v>
      </c>
      <c r="K67" s="64">
        <v>43</v>
      </c>
      <c r="L67" s="64">
        <v>46</v>
      </c>
      <c r="M67" s="64">
        <v>46</v>
      </c>
      <c r="N67" s="64">
        <v>47</v>
      </c>
      <c r="O67" s="64">
        <v>49</v>
      </c>
      <c r="P67" s="64">
        <v>51</v>
      </c>
      <c r="Q67" s="64">
        <v>49</v>
      </c>
      <c r="R67" s="64">
        <v>53</v>
      </c>
      <c r="S67" s="64">
        <v>54</v>
      </c>
      <c r="T67" s="64">
        <v>62</v>
      </c>
      <c r="U67" s="64">
        <v>61</v>
      </c>
      <c r="V67" s="64">
        <v>65</v>
      </c>
      <c r="W67" s="64">
        <v>62</v>
      </c>
      <c r="X67" s="64">
        <v>61</v>
      </c>
      <c r="Y67" s="64">
        <v>61</v>
      </c>
      <c r="Z67" s="64">
        <v>59</v>
      </c>
      <c r="AA67" s="64">
        <v>45</v>
      </c>
      <c r="AB67" s="64">
        <v>43</v>
      </c>
      <c r="AC67" s="64">
        <v>44</v>
      </c>
      <c r="AD67" s="64">
        <v>50</v>
      </c>
      <c r="AE67" s="145">
        <v>46</v>
      </c>
      <c r="AF67" s="10"/>
    </row>
    <row r="68" spans="1:32" ht="15" customHeight="1" thickBot="1" x14ac:dyDescent="0.3">
      <c r="A68" s="150">
        <v>80</v>
      </c>
      <c r="B68" s="14" t="s">
        <v>85</v>
      </c>
      <c r="C68" s="70">
        <v>28</v>
      </c>
      <c r="D68" s="67">
        <v>27</v>
      </c>
      <c r="E68" s="67">
        <v>41</v>
      </c>
      <c r="F68" s="67">
        <v>43</v>
      </c>
      <c r="G68" s="67">
        <v>29</v>
      </c>
      <c r="H68" s="67">
        <v>30</v>
      </c>
      <c r="I68" s="67">
        <v>26</v>
      </c>
      <c r="J68" s="67">
        <v>25</v>
      </c>
      <c r="K68" s="67">
        <v>43</v>
      </c>
      <c r="L68" s="67">
        <v>46</v>
      </c>
      <c r="M68" s="67">
        <v>46</v>
      </c>
      <c r="N68" s="67">
        <v>47</v>
      </c>
      <c r="O68" s="67">
        <v>49</v>
      </c>
      <c r="P68" s="67">
        <v>51</v>
      </c>
      <c r="Q68" s="67">
        <v>49</v>
      </c>
      <c r="R68" s="67">
        <v>53</v>
      </c>
      <c r="S68" s="67">
        <v>54</v>
      </c>
      <c r="T68" s="67">
        <v>62</v>
      </c>
      <c r="U68" s="67">
        <v>61</v>
      </c>
      <c r="V68" s="67">
        <v>65</v>
      </c>
      <c r="W68" s="67">
        <v>62</v>
      </c>
      <c r="X68" s="67">
        <v>61</v>
      </c>
      <c r="Y68" s="67">
        <v>61</v>
      </c>
      <c r="Z68" s="67">
        <v>59</v>
      </c>
      <c r="AA68" s="67">
        <v>45</v>
      </c>
      <c r="AB68" s="67">
        <v>43</v>
      </c>
      <c r="AC68" s="67">
        <v>44</v>
      </c>
      <c r="AD68" s="67">
        <v>50</v>
      </c>
      <c r="AE68" s="151">
        <v>46</v>
      </c>
    </row>
    <row r="69" spans="1:32" s="11" customFormat="1" ht="15" customHeight="1" thickBot="1" x14ac:dyDescent="0.3">
      <c r="A69" s="144" t="s">
        <v>86</v>
      </c>
      <c r="B69" s="9" t="s">
        <v>87</v>
      </c>
      <c r="C69" s="64">
        <v>116</v>
      </c>
      <c r="D69" s="64">
        <v>113</v>
      </c>
      <c r="E69" s="64">
        <v>121</v>
      </c>
      <c r="F69" s="64">
        <v>112</v>
      </c>
      <c r="G69" s="64">
        <v>109</v>
      </c>
      <c r="H69" s="64">
        <v>107</v>
      </c>
      <c r="I69" s="64">
        <v>104</v>
      </c>
      <c r="J69" s="64">
        <v>104</v>
      </c>
      <c r="K69" s="64">
        <v>120</v>
      </c>
      <c r="L69" s="64">
        <v>132</v>
      </c>
      <c r="M69" s="64">
        <v>149</v>
      </c>
      <c r="N69" s="64">
        <v>162</v>
      </c>
      <c r="O69" s="64">
        <v>169</v>
      </c>
      <c r="P69" s="64">
        <v>171</v>
      </c>
      <c r="Q69" s="64">
        <v>179</v>
      </c>
      <c r="R69" s="64">
        <v>190</v>
      </c>
      <c r="S69" s="64">
        <v>194</v>
      </c>
      <c r="T69" s="64">
        <v>200</v>
      </c>
      <c r="U69" s="64">
        <v>202</v>
      </c>
      <c r="V69" s="64">
        <v>206</v>
      </c>
      <c r="W69" s="64">
        <v>215</v>
      </c>
      <c r="X69" s="64">
        <v>206</v>
      </c>
      <c r="Y69" s="64">
        <v>209</v>
      </c>
      <c r="Z69" s="64">
        <v>207</v>
      </c>
      <c r="AA69" s="64">
        <v>193</v>
      </c>
      <c r="AB69" s="64">
        <v>203</v>
      </c>
      <c r="AC69" s="64">
        <v>205</v>
      </c>
      <c r="AD69" s="64">
        <v>207</v>
      </c>
      <c r="AE69" s="145">
        <v>203</v>
      </c>
      <c r="AF69" s="10"/>
    </row>
    <row r="70" spans="1:32" ht="15" customHeight="1" thickBot="1" x14ac:dyDescent="0.3">
      <c r="A70" s="150">
        <v>85</v>
      </c>
      <c r="B70" s="14" t="s">
        <v>88</v>
      </c>
      <c r="C70" s="67">
        <v>116</v>
      </c>
      <c r="D70" s="67">
        <v>113</v>
      </c>
      <c r="E70" s="67">
        <v>121</v>
      </c>
      <c r="F70" s="67">
        <v>112</v>
      </c>
      <c r="G70" s="67">
        <v>109</v>
      </c>
      <c r="H70" s="67">
        <v>107</v>
      </c>
      <c r="I70" s="67">
        <v>104</v>
      </c>
      <c r="J70" s="67">
        <v>104</v>
      </c>
      <c r="K70" s="67">
        <v>120</v>
      </c>
      <c r="L70" s="67">
        <v>132</v>
      </c>
      <c r="M70" s="67">
        <v>149</v>
      </c>
      <c r="N70" s="67">
        <v>162</v>
      </c>
      <c r="O70" s="67">
        <v>169</v>
      </c>
      <c r="P70" s="67">
        <v>171</v>
      </c>
      <c r="Q70" s="67">
        <v>179</v>
      </c>
      <c r="R70" s="67">
        <v>190</v>
      </c>
      <c r="S70" s="67">
        <v>194</v>
      </c>
      <c r="T70" s="67">
        <v>200</v>
      </c>
      <c r="U70" s="67">
        <v>202</v>
      </c>
      <c r="V70" s="67">
        <v>206</v>
      </c>
      <c r="W70" s="67">
        <v>215</v>
      </c>
      <c r="X70" s="67">
        <v>206</v>
      </c>
      <c r="Y70" s="67">
        <v>209</v>
      </c>
      <c r="Z70" s="67">
        <v>207</v>
      </c>
      <c r="AA70" s="67">
        <v>193</v>
      </c>
      <c r="AB70" s="67">
        <v>203</v>
      </c>
      <c r="AC70" s="67">
        <v>205</v>
      </c>
      <c r="AD70" s="67">
        <v>207</v>
      </c>
      <c r="AE70" s="151">
        <v>203</v>
      </c>
    </row>
    <row r="71" spans="1:32" s="11" customFormat="1" ht="15" customHeight="1" thickBot="1" x14ac:dyDescent="0.3">
      <c r="A71" s="144" t="s">
        <v>89</v>
      </c>
      <c r="B71" s="9" t="s">
        <v>90</v>
      </c>
      <c r="C71" s="64">
        <v>228</v>
      </c>
      <c r="D71" s="64">
        <v>234</v>
      </c>
      <c r="E71" s="64">
        <v>234</v>
      </c>
      <c r="F71" s="64">
        <v>233</v>
      </c>
      <c r="G71" s="64">
        <v>235</v>
      </c>
      <c r="H71" s="64">
        <v>218</v>
      </c>
      <c r="I71" s="64">
        <v>187</v>
      </c>
      <c r="J71" s="64">
        <v>216</v>
      </c>
      <c r="K71" s="64">
        <v>256</v>
      </c>
      <c r="L71" s="64">
        <v>265</v>
      </c>
      <c r="M71" s="64">
        <v>271</v>
      </c>
      <c r="N71" s="64">
        <v>285</v>
      </c>
      <c r="O71" s="64">
        <v>319</v>
      </c>
      <c r="P71" s="64">
        <v>310</v>
      </c>
      <c r="Q71" s="64">
        <v>346</v>
      </c>
      <c r="R71" s="64">
        <v>361</v>
      </c>
      <c r="S71" s="64">
        <v>345</v>
      </c>
      <c r="T71" s="64">
        <v>333</v>
      </c>
      <c r="U71" s="64">
        <v>339</v>
      </c>
      <c r="V71" s="64">
        <v>338</v>
      </c>
      <c r="W71" s="64">
        <v>327</v>
      </c>
      <c r="X71" s="64">
        <v>332</v>
      </c>
      <c r="Y71" s="64">
        <v>301</v>
      </c>
      <c r="Z71" s="64">
        <v>277</v>
      </c>
      <c r="AA71" s="64">
        <v>260</v>
      </c>
      <c r="AB71" s="64">
        <v>271</v>
      </c>
      <c r="AC71" s="64">
        <v>280</v>
      </c>
      <c r="AD71" s="64">
        <v>261</v>
      </c>
      <c r="AE71" s="145">
        <v>247</v>
      </c>
      <c r="AF71" s="10"/>
    </row>
    <row r="72" spans="1:32" ht="15" customHeight="1" x14ac:dyDescent="0.25">
      <c r="A72" s="146">
        <v>90</v>
      </c>
      <c r="B72" s="12" t="s">
        <v>91</v>
      </c>
      <c r="C72" s="65" t="s">
        <v>383</v>
      </c>
      <c r="D72" s="65">
        <v>5</v>
      </c>
      <c r="E72" s="65">
        <v>6</v>
      </c>
      <c r="F72" s="65">
        <v>7</v>
      </c>
      <c r="G72" s="65">
        <v>10</v>
      </c>
      <c r="H72" s="65">
        <v>8</v>
      </c>
      <c r="I72" s="65">
        <v>4</v>
      </c>
      <c r="J72" s="65">
        <v>4</v>
      </c>
      <c r="K72" s="65">
        <v>4</v>
      </c>
      <c r="L72" s="65" t="s">
        <v>383</v>
      </c>
      <c r="M72" s="65" t="s">
        <v>383</v>
      </c>
      <c r="N72" s="65">
        <v>4</v>
      </c>
      <c r="O72" s="65">
        <v>4</v>
      </c>
      <c r="P72" s="65" t="s">
        <v>383</v>
      </c>
      <c r="Q72" s="65">
        <v>5</v>
      </c>
      <c r="R72" s="65">
        <v>5</v>
      </c>
      <c r="S72" s="65">
        <v>5</v>
      </c>
      <c r="T72" s="65">
        <v>5</v>
      </c>
      <c r="U72" s="65">
        <v>4</v>
      </c>
      <c r="V72" s="65">
        <v>6</v>
      </c>
      <c r="W72" s="65">
        <v>8</v>
      </c>
      <c r="X72" s="65">
        <v>6</v>
      </c>
      <c r="Y72" s="65">
        <v>7</v>
      </c>
      <c r="Z72" s="65">
        <v>6</v>
      </c>
      <c r="AA72" s="65">
        <v>9</v>
      </c>
      <c r="AB72" s="65">
        <v>8</v>
      </c>
      <c r="AC72" s="65">
        <v>8</v>
      </c>
      <c r="AD72" s="65">
        <v>9</v>
      </c>
      <c r="AE72" s="147">
        <v>8</v>
      </c>
    </row>
    <row r="73" spans="1:32" ht="15" customHeight="1" x14ac:dyDescent="0.25">
      <c r="A73" s="156">
        <v>91</v>
      </c>
      <c r="B73" s="17" t="s">
        <v>92</v>
      </c>
      <c r="C73" s="70">
        <v>84</v>
      </c>
      <c r="D73" s="70">
        <v>88</v>
      </c>
      <c r="E73" s="70">
        <v>88</v>
      </c>
      <c r="F73" s="70">
        <v>89</v>
      </c>
      <c r="G73" s="70">
        <v>87</v>
      </c>
      <c r="H73" s="70">
        <v>82</v>
      </c>
      <c r="I73" s="70">
        <v>76</v>
      </c>
      <c r="J73" s="70">
        <v>81</v>
      </c>
      <c r="K73" s="70">
        <v>88</v>
      </c>
      <c r="L73" s="70">
        <v>90</v>
      </c>
      <c r="M73" s="70">
        <v>91</v>
      </c>
      <c r="N73" s="70">
        <v>94</v>
      </c>
      <c r="O73" s="70">
        <v>104</v>
      </c>
      <c r="P73" s="70">
        <v>105</v>
      </c>
      <c r="Q73" s="70">
        <v>110</v>
      </c>
      <c r="R73" s="70">
        <v>111</v>
      </c>
      <c r="S73" s="70">
        <v>121</v>
      </c>
      <c r="T73" s="70">
        <v>126</v>
      </c>
      <c r="U73" s="70">
        <v>126</v>
      </c>
      <c r="V73" s="70">
        <v>127</v>
      </c>
      <c r="W73" s="70">
        <v>128</v>
      </c>
      <c r="X73" s="70">
        <v>128</v>
      </c>
      <c r="Y73" s="70">
        <v>120</v>
      </c>
      <c r="Z73" s="70">
        <v>120</v>
      </c>
      <c r="AA73" s="70">
        <v>121</v>
      </c>
      <c r="AB73" s="70">
        <v>124</v>
      </c>
      <c r="AC73" s="70">
        <v>126</v>
      </c>
      <c r="AD73" s="70">
        <v>125</v>
      </c>
      <c r="AE73" s="157">
        <v>127</v>
      </c>
    </row>
    <row r="74" spans="1:32" ht="15" customHeight="1" x14ac:dyDescent="0.25">
      <c r="A74" s="156">
        <v>92</v>
      </c>
      <c r="B74" s="17" t="s">
        <v>93</v>
      </c>
      <c r="C74" s="70" t="s">
        <v>383</v>
      </c>
      <c r="D74" s="70">
        <v>46</v>
      </c>
      <c r="E74" s="70">
        <v>52</v>
      </c>
      <c r="F74" s="70">
        <v>47</v>
      </c>
      <c r="G74" s="70">
        <v>41</v>
      </c>
      <c r="H74" s="70">
        <v>36</v>
      </c>
      <c r="I74" s="70">
        <v>36</v>
      </c>
      <c r="J74" s="70">
        <v>37</v>
      </c>
      <c r="K74" s="70">
        <v>42</v>
      </c>
      <c r="L74" s="70" t="s">
        <v>383</v>
      </c>
      <c r="M74" s="70">
        <v>60</v>
      </c>
      <c r="N74" s="70">
        <v>64</v>
      </c>
      <c r="O74" s="70">
        <v>74</v>
      </c>
      <c r="P74" s="70">
        <v>76</v>
      </c>
      <c r="Q74" s="70">
        <v>83</v>
      </c>
      <c r="R74" s="70">
        <v>90</v>
      </c>
      <c r="S74" s="70">
        <v>81</v>
      </c>
      <c r="T74" s="70">
        <v>76</v>
      </c>
      <c r="U74" s="70">
        <v>78</v>
      </c>
      <c r="V74" s="70">
        <v>76</v>
      </c>
      <c r="W74" s="70">
        <v>76</v>
      </c>
      <c r="X74" s="70">
        <v>76</v>
      </c>
      <c r="Y74" s="70">
        <v>64</v>
      </c>
      <c r="Z74" s="70">
        <v>58</v>
      </c>
      <c r="AA74" s="70">
        <v>52</v>
      </c>
      <c r="AB74" s="70">
        <v>57</v>
      </c>
      <c r="AC74" s="70">
        <v>59</v>
      </c>
      <c r="AD74" s="70">
        <v>51</v>
      </c>
      <c r="AE74" s="157">
        <v>40</v>
      </c>
    </row>
    <row r="75" spans="1:32" ht="15" customHeight="1" thickBot="1" x14ac:dyDescent="0.3">
      <c r="A75" s="158">
        <v>93</v>
      </c>
      <c r="B75" s="18" t="s">
        <v>94</v>
      </c>
      <c r="C75" s="76">
        <v>93</v>
      </c>
      <c r="D75" s="76">
        <v>95</v>
      </c>
      <c r="E75" s="76">
        <v>88</v>
      </c>
      <c r="F75" s="76">
        <v>90</v>
      </c>
      <c r="G75" s="76">
        <v>97</v>
      </c>
      <c r="H75" s="76">
        <v>92</v>
      </c>
      <c r="I75" s="76">
        <v>71</v>
      </c>
      <c r="J75" s="76">
        <v>94</v>
      </c>
      <c r="K75" s="76">
        <v>122</v>
      </c>
      <c r="L75" s="76">
        <v>123</v>
      </c>
      <c r="M75" s="76" t="s">
        <v>383</v>
      </c>
      <c r="N75" s="76">
        <v>123</v>
      </c>
      <c r="O75" s="76">
        <v>137</v>
      </c>
      <c r="P75" s="76" t="s">
        <v>383</v>
      </c>
      <c r="Q75" s="76">
        <v>148</v>
      </c>
      <c r="R75" s="76">
        <v>155</v>
      </c>
      <c r="S75" s="76">
        <v>138</v>
      </c>
      <c r="T75" s="76">
        <v>126</v>
      </c>
      <c r="U75" s="76">
        <v>131</v>
      </c>
      <c r="V75" s="76">
        <v>129</v>
      </c>
      <c r="W75" s="76">
        <v>115</v>
      </c>
      <c r="X75" s="76">
        <v>122</v>
      </c>
      <c r="Y75" s="76">
        <v>110</v>
      </c>
      <c r="Z75" s="76">
        <v>93</v>
      </c>
      <c r="AA75" s="76">
        <v>78</v>
      </c>
      <c r="AB75" s="76">
        <v>82</v>
      </c>
      <c r="AC75" s="76">
        <v>87</v>
      </c>
      <c r="AD75" s="76">
        <v>76</v>
      </c>
      <c r="AE75" s="165">
        <v>72</v>
      </c>
    </row>
    <row r="76" spans="1:32" s="23" customFormat="1" ht="15" customHeight="1" thickBot="1" x14ac:dyDescent="0.3">
      <c r="A76" s="166"/>
      <c r="B76" s="167" t="s">
        <v>95</v>
      </c>
      <c r="C76" s="168">
        <v>2507</v>
      </c>
      <c r="D76" s="168">
        <v>2548</v>
      </c>
      <c r="E76" s="168">
        <v>2781</v>
      </c>
      <c r="F76" s="168">
        <v>2756</v>
      </c>
      <c r="G76" s="168">
        <v>2686</v>
      </c>
      <c r="H76" s="168">
        <v>2553</v>
      </c>
      <c r="I76" s="168">
        <v>2448</v>
      </c>
      <c r="J76" s="168">
        <v>2656</v>
      </c>
      <c r="K76" s="168">
        <v>3156</v>
      </c>
      <c r="L76" s="168">
        <v>3520</v>
      </c>
      <c r="M76" s="168">
        <v>3789</v>
      </c>
      <c r="N76" s="168">
        <v>4009</v>
      </c>
      <c r="O76" s="168">
        <v>4252</v>
      </c>
      <c r="P76" s="168">
        <v>4231</v>
      </c>
      <c r="Q76" s="168">
        <v>4432</v>
      </c>
      <c r="R76" s="168">
        <v>4673</v>
      </c>
      <c r="S76" s="168">
        <v>4733</v>
      </c>
      <c r="T76" s="168">
        <v>4780</v>
      </c>
      <c r="U76" s="168">
        <v>4875</v>
      </c>
      <c r="V76" s="168">
        <v>4941</v>
      </c>
      <c r="W76" s="168">
        <v>4804</v>
      </c>
      <c r="X76" s="168">
        <v>4749</v>
      </c>
      <c r="Y76" s="168">
        <v>4561</v>
      </c>
      <c r="Z76" s="168">
        <v>4402</v>
      </c>
      <c r="AA76" s="168">
        <v>4050</v>
      </c>
      <c r="AB76" s="168">
        <v>4232</v>
      </c>
      <c r="AC76" s="168">
        <v>4546</v>
      </c>
      <c r="AD76" s="168">
        <v>4576</v>
      </c>
      <c r="AE76" s="169">
        <v>4536</v>
      </c>
      <c r="AF76" s="22"/>
    </row>
    <row r="77" spans="1:32" ht="12" customHeight="1" x14ac:dyDescent="0.25">
      <c r="A77" s="7"/>
      <c r="B77" s="7"/>
      <c r="C77" s="7"/>
      <c r="D77" s="7"/>
      <c r="E77" s="24"/>
      <c r="F77" s="7"/>
      <c r="G77" s="25"/>
      <c r="H77" s="7"/>
      <c r="I77" s="7"/>
      <c r="J77" s="7"/>
      <c r="K77" s="7"/>
      <c r="L77" s="7"/>
      <c r="M77" s="7"/>
      <c r="N77" s="7"/>
      <c r="O77" s="7"/>
      <c r="P77" s="7"/>
      <c r="Q77" s="7"/>
      <c r="R77" s="7"/>
      <c r="S77" s="7"/>
      <c r="T77" s="7"/>
      <c r="U77" s="7"/>
      <c r="V77" s="7"/>
      <c r="W77" s="7"/>
      <c r="X77" s="7"/>
      <c r="Y77" s="7"/>
      <c r="Z77" s="7"/>
      <c r="AA77" s="7"/>
      <c r="AB77" s="7"/>
      <c r="AC77" s="7"/>
      <c r="AD77" s="7"/>
      <c r="AE77" s="7"/>
    </row>
    <row r="78" spans="1:32" ht="11.25" x14ac:dyDescent="0.25">
      <c r="A78" s="307" t="s">
        <v>96</v>
      </c>
      <c r="B78" s="307"/>
      <c r="C78" s="277"/>
      <c r="D78" s="277"/>
      <c r="E78" s="277"/>
      <c r="F78" s="26"/>
      <c r="G78" s="26"/>
      <c r="H78" s="7"/>
      <c r="I78" s="7"/>
      <c r="J78" s="7"/>
      <c r="K78" s="7"/>
      <c r="L78" s="7"/>
      <c r="M78" s="7"/>
      <c r="N78" s="7"/>
      <c r="O78" s="7"/>
      <c r="P78" s="7"/>
      <c r="Q78" s="7"/>
      <c r="R78" s="7"/>
      <c r="S78" s="7"/>
      <c r="T78" s="7"/>
      <c r="U78" s="7"/>
      <c r="V78" s="7"/>
      <c r="W78" s="7"/>
      <c r="X78" s="7"/>
      <c r="Y78" s="7"/>
      <c r="Z78" s="7"/>
      <c r="AA78" s="7"/>
      <c r="AB78" s="7"/>
      <c r="AC78" s="7"/>
      <c r="AD78" s="7"/>
      <c r="AE78" s="7"/>
    </row>
    <row r="79" spans="1:32" ht="26.45" customHeight="1" x14ac:dyDescent="0.25">
      <c r="A79" s="307" t="s">
        <v>381</v>
      </c>
      <c r="B79" s="307"/>
      <c r="C79" s="307"/>
      <c r="D79" s="277"/>
      <c r="E79" s="277"/>
      <c r="F79" s="277"/>
      <c r="G79" s="277"/>
      <c r="H79" s="27"/>
      <c r="I79" s="27"/>
      <c r="J79" s="27"/>
      <c r="K79" s="27"/>
      <c r="L79" s="7"/>
      <c r="M79" s="7"/>
      <c r="N79" s="7"/>
      <c r="O79" s="7"/>
      <c r="P79" s="7"/>
      <c r="Q79" s="7"/>
      <c r="R79" s="7"/>
      <c r="S79" s="7"/>
      <c r="T79" s="7"/>
      <c r="U79" s="7"/>
      <c r="V79" s="7"/>
      <c r="W79" s="7"/>
      <c r="X79" s="7"/>
      <c r="Y79" s="7"/>
      <c r="Z79" s="7"/>
      <c r="AA79" s="7"/>
      <c r="AB79" s="7"/>
      <c r="AC79" s="7"/>
      <c r="AD79" s="7"/>
      <c r="AE79" s="7"/>
    </row>
    <row r="80" spans="1:32" ht="26.45" customHeight="1" x14ac:dyDescent="0.25">
      <c r="A80" s="307" t="s">
        <v>382</v>
      </c>
      <c r="B80" s="307"/>
      <c r="C80" s="307"/>
      <c r="D80" s="277"/>
      <c r="E80" s="277"/>
      <c r="F80" s="277"/>
      <c r="G80" s="277"/>
      <c r="H80" s="27"/>
      <c r="I80" s="27"/>
      <c r="J80" s="27"/>
      <c r="K80" s="27"/>
      <c r="L80" s="7"/>
      <c r="M80" s="7"/>
      <c r="N80" s="7"/>
      <c r="O80" s="7"/>
      <c r="P80" s="7"/>
      <c r="Q80" s="7"/>
      <c r="R80" s="7"/>
      <c r="S80" s="7"/>
      <c r="T80" s="7"/>
      <c r="U80" s="7"/>
      <c r="V80" s="7"/>
      <c r="W80" s="7"/>
      <c r="X80" s="7"/>
      <c r="Y80" s="7"/>
      <c r="Z80" s="7"/>
      <c r="AA80" s="7"/>
      <c r="AB80" s="7"/>
      <c r="AC80" s="7"/>
      <c r="AD80" s="7"/>
      <c r="AE80" s="7"/>
    </row>
    <row r="81" spans="1:32" ht="26.45" customHeight="1" x14ac:dyDescent="0.25">
      <c r="A81" s="307" t="s">
        <v>151</v>
      </c>
      <c r="B81" s="307"/>
      <c r="C81" s="307"/>
      <c r="D81" s="277"/>
      <c r="E81" s="277"/>
      <c r="F81" s="277"/>
      <c r="G81" s="277"/>
      <c r="H81" s="27"/>
      <c r="I81" s="27"/>
      <c r="J81" s="27"/>
      <c r="K81" s="27"/>
      <c r="L81" s="7"/>
      <c r="M81" s="7"/>
      <c r="N81" s="7"/>
      <c r="O81" s="7"/>
      <c r="P81" s="7"/>
      <c r="Q81" s="7"/>
      <c r="R81" s="7"/>
      <c r="S81" s="7"/>
      <c r="T81" s="7"/>
      <c r="U81" s="7"/>
      <c r="V81" s="7"/>
      <c r="W81" s="7"/>
      <c r="X81" s="7"/>
      <c r="Y81" s="7"/>
      <c r="Z81" s="7"/>
      <c r="AA81" s="7"/>
      <c r="AB81" s="7"/>
      <c r="AC81" s="7"/>
      <c r="AD81" s="7"/>
      <c r="AE81" s="7"/>
    </row>
    <row r="82" spans="1:32" ht="46.5" customHeight="1" x14ac:dyDescent="0.25">
      <c r="A82" s="307" t="s">
        <v>384</v>
      </c>
      <c r="B82" s="307"/>
      <c r="C82" s="307"/>
      <c r="D82" s="307"/>
      <c r="E82" s="307"/>
      <c r="F82" s="307"/>
      <c r="G82" s="307"/>
      <c r="H82" s="28"/>
      <c r="I82" s="28"/>
      <c r="J82" s="28"/>
      <c r="K82" s="29"/>
      <c r="L82" s="29"/>
      <c r="M82" s="29"/>
      <c r="N82" s="29"/>
      <c r="O82" s="29"/>
      <c r="P82" s="29"/>
      <c r="Q82" s="29"/>
      <c r="R82" s="29"/>
      <c r="S82" s="29"/>
      <c r="T82" s="29"/>
      <c r="U82" s="29"/>
      <c r="V82" s="29"/>
      <c r="W82" s="29"/>
      <c r="X82" s="29"/>
      <c r="Y82" s="29"/>
      <c r="Z82" s="29"/>
      <c r="AA82" s="29"/>
      <c r="AB82" s="29"/>
      <c r="AC82" s="29"/>
      <c r="AD82" s="29"/>
      <c r="AE82" s="29"/>
      <c r="AF82" s="29"/>
    </row>
    <row r="83" spans="1:32" ht="19.899999999999999" customHeight="1" x14ac:dyDescent="0.25">
      <c r="A83" s="276"/>
      <c r="B83" s="276"/>
      <c r="C83" s="276"/>
      <c r="D83" s="276"/>
      <c r="E83" s="276"/>
      <c r="F83" s="276"/>
      <c r="G83" s="276"/>
      <c r="H83" s="28"/>
      <c r="I83" s="28"/>
      <c r="J83" s="28"/>
      <c r="K83" s="7"/>
      <c r="L83" s="7"/>
      <c r="M83" s="7"/>
      <c r="N83" s="7"/>
      <c r="O83" s="7"/>
      <c r="P83" s="7"/>
      <c r="Q83" s="7"/>
      <c r="R83" s="7"/>
      <c r="S83" s="7"/>
      <c r="T83" s="7"/>
      <c r="U83" s="7"/>
      <c r="V83" s="7"/>
      <c r="W83" s="7"/>
      <c r="X83" s="7"/>
      <c r="Y83" s="7"/>
      <c r="Z83" s="7"/>
      <c r="AA83" s="7"/>
      <c r="AB83" s="7"/>
      <c r="AC83" s="7"/>
      <c r="AD83" s="7"/>
      <c r="AE83" s="7"/>
    </row>
    <row r="84" spans="1:32" ht="6.75" customHeight="1" x14ac:dyDescent="0.25">
      <c r="A84" s="7"/>
      <c r="B84" s="7"/>
      <c r="C84" s="7"/>
      <c r="D84" s="7"/>
      <c r="E84" s="7"/>
      <c r="F84" s="7"/>
      <c r="G84" s="7"/>
      <c r="H84" s="7"/>
      <c r="I84" s="7"/>
      <c r="J84" s="7"/>
      <c r="K84" s="7"/>
      <c r="L84" s="7"/>
      <c r="M84" s="7"/>
      <c r="N84" s="7"/>
      <c r="O84" s="7"/>
      <c r="P84" s="7"/>
      <c r="Q84" s="7"/>
      <c r="R84" s="7"/>
      <c r="S84" s="7"/>
      <c r="T84" s="7"/>
      <c r="U84" s="7"/>
      <c r="V84" s="7"/>
      <c r="W84" s="7"/>
      <c r="X84" s="7"/>
      <c r="Y84" s="7"/>
      <c r="Z84" s="7"/>
      <c r="AA84" s="7"/>
      <c r="AB84" s="7"/>
      <c r="AC84" s="7"/>
      <c r="AD84" s="7"/>
      <c r="AE84" s="7"/>
    </row>
    <row r="85" spans="1:32" ht="0" hidden="1" customHeight="1" x14ac:dyDescent="0.25"/>
    <row r="86" spans="1:32" ht="0" hidden="1" customHeight="1" x14ac:dyDescent="0.25"/>
    <row r="87" spans="1:32" ht="0" hidden="1" customHeight="1" x14ac:dyDescent="0.25"/>
    <row r="88" spans="1:32" ht="0" hidden="1" customHeight="1" x14ac:dyDescent="0.25"/>
    <row r="89" spans="1:32" ht="0" hidden="1" customHeight="1" x14ac:dyDescent="0.25"/>
    <row r="90" spans="1:32" ht="0" hidden="1" customHeight="1" x14ac:dyDescent="0.25"/>
    <row r="91" spans="1:32" ht="0" hidden="1" customHeight="1" x14ac:dyDescent="0.25"/>
    <row r="92" spans="1:32" ht="0" hidden="1" customHeight="1" x14ac:dyDescent="0.25"/>
    <row r="93" spans="1:32" ht="0" hidden="1" customHeight="1" x14ac:dyDescent="0.25"/>
    <row r="94" spans="1:32" ht="0" hidden="1" customHeight="1" x14ac:dyDescent="0.25"/>
  </sheetData>
  <mergeCells count="37">
    <mergeCell ref="Q4:Q5"/>
    <mergeCell ref="F4:F5"/>
    <mergeCell ref="G4:G5"/>
    <mergeCell ref="A82:G82"/>
    <mergeCell ref="W4:W5"/>
    <mergeCell ref="A79:C79"/>
    <mergeCell ref="A80:C80"/>
    <mergeCell ref="A81:C81"/>
    <mergeCell ref="A78:B78"/>
    <mergeCell ref="H4:H5"/>
    <mergeCell ref="X4:X5"/>
    <mergeCell ref="S4:S5"/>
    <mergeCell ref="T4:T5"/>
    <mergeCell ref="U4:U5"/>
    <mergeCell ref="V4:V5"/>
    <mergeCell ref="A2:C2"/>
    <mergeCell ref="B4:B5"/>
    <mergeCell ref="C4:C5"/>
    <mergeCell ref="D4:D5"/>
    <mergeCell ref="E4:E5"/>
    <mergeCell ref="A4:A5"/>
    <mergeCell ref="AB4:AB5"/>
    <mergeCell ref="I4:I5"/>
    <mergeCell ref="O4:O5"/>
    <mergeCell ref="AE4:AE5"/>
    <mergeCell ref="J4:J5"/>
    <mergeCell ref="AA4:AA5"/>
    <mergeCell ref="Z4:Z5"/>
    <mergeCell ref="Y4:Y5"/>
    <mergeCell ref="R4:R5"/>
    <mergeCell ref="K4:K5"/>
    <mergeCell ref="L4:L5"/>
    <mergeCell ref="M4:M5"/>
    <mergeCell ref="N4:N5"/>
    <mergeCell ref="AC4:AC5"/>
    <mergeCell ref="P4:P5"/>
    <mergeCell ref="AD4:AD5"/>
  </mergeCells>
  <pageMargins left="0.74803149606299213" right="0.74803149606299213" top="0.98425196850393704" bottom="0.98425196850393704" header="0" footer="0"/>
  <pageSetup paperSize="9" scale="65" fitToWidth="19" orientation="portrait" r:id="rId1"/>
  <headerFooter alignWithMargins="0"/>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35"/>
  <dimension ref="A1:DW94"/>
  <sheetViews>
    <sheetView zoomScale="115" zoomScaleNormal="115" workbookViewId="0">
      <pane xSplit="2" ySplit="5" topLeftCell="C6" activePane="bottomRight" state="frozen"/>
      <selection activeCell="C6" sqref="C6"/>
      <selection pane="topRight" activeCell="C6" sqref="C6"/>
      <selection pane="bottomLeft" activeCell="C6" sqref="C6"/>
      <selection pane="bottomRight" activeCell="C6" sqref="C6"/>
    </sheetView>
  </sheetViews>
  <sheetFormatPr baseColWidth="10" defaultColWidth="0" defaultRowHeight="0" customHeight="1" zeroHeight="1" x14ac:dyDescent="0.25"/>
  <cols>
    <col min="1" max="1" width="5.7109375" style="8" customWidth="1"/>
    <col min="2" max="2" width="37.5703125" style="8" customWidth="1"/>
    <col min="3" max="4" width="11.140625" style="30" customWidth="1"/>
    <col min="5" max="6" width="11.140625" style="8" customWidth="1"/>
    <col min="7" max="7" width="11.140625" style="31" customWidth="1"/>
    <col min="8" max="31" width="11.140625" style="8" customWidth="1"/>
    <col min="32" max="32" width="5.42578125" style="7" customWidth="1"/>
    <col min="33" max="127" width="0" style="8" hidden="1" customWidth="1"/>
    <col min="128" max="16384" width="5.42578125" style="8" hidden="1"/>
  </cols>
  <sheetData>
    <row r="1" spans="1:32" s="5" customFormat="1" ht="25.5" customHeight="1" thickBot="1" x14ac:dyDescent="0.25">
      <c r="A1" s="1"/>
      <c r="B1" s="2"/>
      <c r="C1" s="3"/>
      <c r="D1" s="172" t="s">
        <v>0</v>
      </c>
      <c r="E1" s="171"/>
      <c r="F1" s="171"/>
      <c r="G1" s="173"/>
      <c r="H1" s="171"/>
      <c r="I1" s="171"/>
      <c r="J1" s="171"/>
      <c r="K1" s="171"/>
      <c r="L1" s="171"/>
      <c r="M1" s="171"/>
      <c r="N1" s="171"/>
      <c r="O1" s="171"/>
      <c r="P1" s="171"/>
      <c r="Q1" s="171"/>
      <c r="R1" s="171"/>
      <c r="S1" s="171"/>
      <c r="T1" s="171"/>
      <c r="U1" s="171"/>
      <c r="V1" s="171"/>
      <c r="W1" s="171"/>
      <c r="X1" s="171"/>
      <c r="Y1" s="171"/>
      <c r="Z1" s="171"/>
      <c r="AA1" s="171"/>
      <c r="AB1" s="171"/>
      <c r="AC1" s="171"/>
      <c r="AD1" s="171"/>
      <c r="AE1" s="171"/>
      <c r="AF1" s="2"/>
    </row>
    <row r="2" spans="1:32" ht="22.5" customHeight="1" thickBot="1" x14ac:dyDescent="0.3">
      <c r="A2" s="303" t="s">
        <v>125</v>
      </c>
      <c r="B2" s="304"/>
      <c r="C2" s="304"/>
      <c r="D2" s="140"/>
      <c r="E2" s="140"/>
      <c r="F2" s="140"/>
      <c r="G2" s="140"/>
      <c r="H2" s="140"/>
      <c r="I2" s="140"/>
      <c r="J2" s="140"/>
      <c r="K2" s="140"/>
      <c r="L2" s="140"/>
      <c r="M2" s="140"/>
      <c r="N2" s="140"/>
      <c r="O2" s="140"/>
      <c r="P2" s="140"/>
      <c r="Q2" s="140"/>
      <c r="R2" s="140"/>
      <c r="S2" s="140"/>
      <c r="T2" s="140"/>
      <c r="U2" s="140"/>
      <c r="V2" s="140"/>
      <c r="W2" s="140"/>
      <c r="X2" s="140"/>
      <c r="Y2" s="140"/>
      <c r="Z2" s="140"/>
      <c r="AA2" s="140"/>
      <c r="AB2" s="140"/>
      <c r="AC2" s="140"/>
      <c r="AD2" s="140"/>
      <c r="AE2" s="141"/>
    </row>
    <row r="3" spans="1:32" ht="16.5" customHeight="1" thickBot="1" x14ac:dyDescent="0.25">
      <c r="A3" s="142" t="s">
        <v>299</v>
      </c>
      <c r="B3" s="57"/>
      <c r="C3" s="57"/>
      <c r="D3" s="58"/>
      <c r="E3" s="58"/>
      <c r="F3" s="58"/>
      <c r="G3" s="58"/>
      <c r="H3" s="59"/>
      <c r="I3" s="59"/>
      <c r="J3" s="59"/>
      <c r="K3" s="59"/>
      <c r="L3" s="59"/>
      <c r="M3" s="59"/>
      <c r="N3" s="59"/>
      <c r="O3" s="59"/>
      <c r="P3" s="59"/>
      <c r="Q3" s="59"/>
      <c r="R3" s="59"/>
      <c r="S3" s="59"/>
      <c r="T3" s="59"/>
      <c r="U3" s="59"/>
      <c r="V3" s="59"/>
      <c r="W3" s="59"/>
      <c r="X3" s="59"/>
      <c r="Y3" s="59"/>
      <c r="Z3" s="59"/>
      <c r="AA3" s="59"/>
      <c r="AB3" s="59"/>
      <c r="AC3" s="59"/>
      <c r="AD3" s="59"/>
      <c r="AE3" s="143"/>
    </row>
    <row r="4" spans="1:32" ht="15.75" customHeight="1" x14ac:dyDescent="0.25">
      <c r="A4" s="310"/>
      <c r="B4" s="308" t="s">
        <v>2</v>
      </c>
      <c r="C4" s="301">
        <v>1996</v>
      </c>
      <c r="D4" s="301">
        <v>1997</v>
      </c>
      <c r="E4" s="301">
        <v>1998</v>
      </c>
      <c r="F4" s="301">
        <v>1999</v>
      </c>
      <c r="G4" s="301">
        <v>2000</v>
      </c>
      <c r="H4" s="301">
        <v>2001</v>
      </c>
      <c r="I4" s="301">
        <v>2002</v>
      </c>
      <c r="J4" s="301">
        <v>2003</v>
      </c>
      <c r="K4" s="301">
        <v>2004</v>
      </c>
      <c r="L4" s="301">
        <v>2005</v>
      </c>
      <c r="M4" s="301">
        <v>2006</v>
      </c>
      <c r="N4" s="301">
        <v>2007</v>
      </c>
      <c r="O4" s="301">
        <v>2008</v>
      </c>
      <c r="P4" s="301">
        <v>2009</v>
      </c>
      <c r="Q4" s="301">
        <v>2010</v>
      </c>
      <c r="R4" s="301">
        <v>2011</v>
      </c>
      <c r="S4" s="301">
        <v>2012</v>
      </c>
      <c r="T4" s="301">
        <v>2013</v>
      </c>
      <c r="U4" s="301">
        <v>2014</v>
      </c>
      <c r="V4" s="301">
        <v>2015</v>
      </c>
      <c r="W4" s="301">
        <v>2016</v>
      </c>
      <c r="X4" s="301">
        <v>2017</v>
      </c>
      <c r="Y4" s="301">
        <v>2018</v>
      </c>
      <c r="Z4" s="301">
        <v>2019</v>
      </c>
      <c r="AA4" s="301">
        <v>2020</v>
      </c>
      <c r="AB4" s="301">
        <v>2021</v>
      </c>
      <c r="AC4" s="301">
        <v>2022</v>
      </c>
      <c r="AD4" s="301">
        <v>2023</v>
      </c>
      <c r="AE4" s="299">
        <v>2024</v>
      </c>
    </row>
    <row r="5" spans="1:32" ht="15.75" customHeight="1" thickBot="1" x14ac:dyDescent="0.3">
      <c r="A5" s="311"/>
      <c r="B5" s="309"/>
      <c r="C5" s="302"/>
      <c r="D5" s="302" t="s">
        <v>3</v>
      </c>
      <c r="E5" s="302"/>
      <c r="F5" s="302" t="s">
        <v>4</v>
      </c>
      <c r="G5" s="302"/>
      <c r="H5" s="302" t="s">
        <v>5</v>
      </c>
      <c r="I5" s="302"/>
      <c r="J5" s="302" t="s">
        <v>6</v>
      </c>
      <c r="K5" s="302"/>
      <c r="L5" s="302" t="s">
        <v>7</v>
      </c>
      <c r="M5" s="302"/>
      <c r="N5" s="302" t="s">
        <v>8</v>
      </c>
      <c r="O5" s="302"/>
      <c r="P5" s="302" t="s">
        <v>9</v>
      </c>
      <c r="Q5" s="302"/>
      <c r="R5" s="302" t="s">
        <v>10</v>
      </c>
      <c r="S5" s="302"/>
      <c r="T5" s="302"/>
      <c r="U5" s="302"/>
      <c r="V5" s="302"/>
      <c r="W5" s="302"/>
      <c r="X5" s="302"/>
      <c r="Y5" s="302"/>
      <c r="Z5" s="302"/>
      <c r="AA5" s="302"/>
      <c r="AB5" s="302"/>
      <c r="AC5" s="302"/>
      <c r="AD5" s="302"/>
      <c r="AE5" s="300"/>
    </row>
    <row r="6" spans="1:32" s="11" customFormat="1" ht="15" customHeight="1" thickBot="1" x14ac:dyDescent="0.3">
      <c r="A6" s="144" t="s">
        <v>11</v>
      </c>
      <c r="B6" s="9" t="s">
        <v>12</v>
      </c>
      <c r="C6" s="64">
        <v>7184</v>
      </c>
      <c r="D6" s="64">
        <v>7223</v>
      </c>
      <c r="E6" s="64">
        <v>7070</v>
      </c>
      <c r="F6" s="64">
        <v>7031</v>
      </c>
      <c r="G6" s="64">
        <v>6786</v>
      </c>
      <c r="H6" s="64">
        <v>6606</v>
      </c>
      <c r="I6" s="64">
        <v>6609</v>
      </c>
      <c r="J6" s="64">
        <v>7055</v>
      </c>
      <c r="K6" s="64">
        <v>7553</v>
      </c>
      <c r="L6" s="64">
        <v>8041</v>
      </c>
      <c r="M6" s="64">
        <v>8356</v>
      </c>
      <c r="N6" s="64">
        <v>8544</v>
      </c>
      <c r="O6" s="64">
        <v>8674</v>
      </c>
      <c r="P6" s="64">
        <v>8439</v>
      </c>
      <c r="Q6" s="64">
        <v>8519</v>
      </c>
      <c r="R6" s="64">
        <v>8918</v>
      </c>
      <c r="S6" s="64">
        <v>8785</v>
      </c>
      <c r="T6" s="64">
        <v>8612</v>
      </c>
      <c r="U6" s="64">
        <v>8440</v>
      </c>
      <c r="V6" s="64">
        <v>8137</v>
      </c>
      <c r="W6" s="64">
        <v>7936</v>
      </c>
      <c r="X6" s="64">
        <v>7776</v>
      </c>
      <c r="Y6" s="64">
        <v>7653</v>
      </c>
      <c r="Z6" s="64">
        <v>7599</v>
      </c>
      <c r="AA6" s="64">
        <v>7630</v>
      </c>
      <c r="AB6" s="64">
        <v>7740</v>
      </c>
      <c r="AC6" s="64">
        <v>7795</v>
      </c>
      <c r="AD6" s="64">
        <v>7613</v>
      </c>
      <c r="AE6" s="145">
        <v>7462</v>
      </c>
      <c r="AF6" s="10"/>
    </row>
    <row r="7" spans="1:32" ht="15" customHeight="1" x14ac:dyDescent="0.25">
      <c r="A7" s="146">
        <v>1</v>
      </c>
      <c r="B7" s="12" t="s">
        <v>13</v>
      </c>
      <c r="C7" s="68">
        <v>7169</v>
      </c>
      <c r="D7" s="68">
        <v>7208</v>
      </c>
      <c r="E7" s="68">
        <v>7054</v>
      </c>
      <c r="F7" s="68">
        <v>7016</v>
      </c>
      <c r="G7" s="68">
        <v>6772</v>
      </c>
      <c r="H7" s="68">
        <v>6594</v>
      </c>
      <c r="I7" s="68">
        <v>6593</v>
      </c>
      <c r="J7" s="68">
        <v>7039</v>
      </c>
      <c r="K7" s="68">
        <v>7538</v>
      </c>
      <c r="L7" s="68">
        <v>8023</v>
      </c>
      <c r="M7" s="68">
        <v>8339</v>
      </c>
      <c r="N7" s="68">
        <v>8519</v>
      </c>
      <c r="O7" s="68">
        <v>8653</v>
      </c>
      <c r="P7" s="68">
        <v>8418</v>
      </c>
      <c r="Q7" s="68">
        <v>8496</v>
      </c>
      <c r="R7" s="68">
        <v>8894</v>
      </c>
      <c r="S7" s="68">
        <v>8759</v>
      </c>
      <c r="T7" s="68">
        <v>8588</v>
      </c>
      <c r="U7" s="68">
        <v>8420</v>
      </c>
      <c r="V7" s="68">
        <v>8119</v>
      </c>
      <c r="W7" s="68">
        <v>7919</v>
      </c>
      <c r="X7" s="68">
        <v>7762</v>
      </c>
      <c r="Y7" s="68">
        <v>7639</v>
      </c>
      <c r="Z7" s="68">
        <v>7584</v>
      </c>
      <c r="AA7" s="68">
        <v>7616</v>
      </c>
      <c r="AB7" s="68">
        <v>7727</v>
      </c>
      <c r="AC7" s="68">
        <v>7781</v>
      </c>
      <c r="AD7" s="68">
        <v>7596</v>
      </c>
      <c r="AE7" s="147">
        <v>7449</v>
      </c>
    </row>
    <row r="8" spans="1:32" ht="15" customHeight="1" thickBot="1" x14ac:dyDescent="0.3">
      <c r="A8" s="148">
        <v>2</v>
      </c>
      <c r="B8" s="13" t="s">
        <v>14</v>
      </c>
      <c r="C8" s="69">
        <v>15</v>
      </c>
      <c r="D8" s="69">
        <v>15</v>
      </c>
      <c r="E8" s="69">
        <v>16</v>
      </c>
      <c r="F8" s="69">
        <v>15</v>
      </c>
      <c r="G8" s="69">
        <v>14</v>
      </c>
      <c r="H8" s="69">
        <v>12</v>
      </c>
      <c r="I8" s="69">
        <v>16</v>
      </c>
      <c r="J8" s="69">
        <v>16</v>
      </c>
      <c r="K8" s="69">
        <v>15</v>
      </c>
      <c r="L8" s="69">
        <v>18</v>
      </c>
      <c r="M8" s="69">
        <v>17</v>
      </c>
      <c r="N8" s="69">
        <v>25</v>
      </c>
      <c r="O8" s="69">
        <v>21</v>
      </c>
      <c r="P8" s="69">
        <v>21</v>
      </c>
      <c r="Q8" s="69">
        <v>23</v>
      </c>
      <c r="R8" s="69">
        <v>24</v>
      </c>
      <c r="S8" s="69">
        <v>26</v>
      </c>
      <c r="T8" s="69">
        <v>24</v>
      </c>
      <c r="U8" s="69">
        <v>20</v>
      </c>
      <c r="V8" s="69">
        <v>18</v>
      </c>
      <c r="W8" s="69">
        <v>17</v>
      </c>
      <c r="X8" s="69">
        <v>14</v>
      </c>
      <c r="Y8" s="69">
        <v>14</v>
      </c>
      <c r="Z8" s="69">
        <v>15</v>
      </c>
      <c r="AA8" s="69">
        <v>14</v>
      </c>
      <c r="AB8" s="69">
        <v>13</v>
      </c>
      <c r="AC8" s="69">
        <v>14</v>
      </c>
      <c r="AD8" s="69">
        <v>17</v>
      </c>
      <c r="AE8" s="149">
        <v>13</v>
      </c>
    </row>
    <row r="9" spans="1:32" s="11" customFormat="1" ht="15" customHeight="1" thickBot="1" x14ac:dyDescent="0.3">
      <c r="A9" s="144" t="s">
        <v>15</v>
      </c>
      <c r="B9" s="9" t="s">
        <v>16</v>
      </c>
      <c r="C9" s="64" t="s">
        <v>383</v>
      </c>
      <c r="D9" s="64" t="s">
        <v>383</v>
      </c>
      <c r="E9" s="64" t="s">
        <v>383</v>
      </c>
      <c r="F9" s="64" t="s">
        <v>383</v>
      </c>
      <c r="G9" s="64" t="s">
        <v>383</v>
      </c>
      <c r="H9" s="64" t="s">
        <v>383</v>
      </c>
      <c r="I9" s="64">
        <v>5</v>
      </c>
      <c r="J9" s="64">
        <v>4</v>
      </c>
      <c r="K9" s="64">
        <v>5</v>
      </c>
      <c r="L9" s="64">
        <v>8</v>
      </c>
      <c r="M9" s="64">
        <v>8</v>
      </c>
      <c r="N9" s="64">
        <v>7</v>
      </c>
      <c r="O9" s="64">
        <v>6</v>
      </c>
      <c r="P9" s="64">
        <v>8</v>
      </c>
      <c r="Q9" s="64">
        <v>9</v>
      </c>
      <c r="R9" s="64">
        <v>5</v>
      </c>
      <c r="S9" s="64" t="s">
        <v>383</v>
      </c>
      <c r="T9" s="64" t="s">
        <v>383</v>
      </c>
      <c r="U9" s="64" t="s">
        <v>383</v>
      </c>
      <c r="V9" s="64" t="s">
        <v>383</v>
      </c>
      <c r="W9" s="64" t="s">
        <v>383</v>
      </c>
      <c r="X9" s="64" t="s">
        <v>383</v>
      </c>
      <c r="Y9" s="64" t="s">
        <v>383</v>
      </c>
      <c r="Z9" s="64" t="s">
        <v>383</v>
      </c>
      <c r="AA9" s="64" t="s">
        <v>383</v>
      </c>
      <c r="AB9" s="64" t="s">
        <v>383</v>
      </c>
      <c r="AC9" s="64" t="s">
        <v>383</v>
      </c>
      <c r="AD9" s="64" t="s">
        <v>383</v>
      </c>
      <c r="AE9" s="145" t="s">
        <v>383</v>
      </c>
      <c r="AF9" s="10"/>
    </row>
    <row r="10" spans="1:32" ht="15" customHeight="1" thickBot="1" x14ac:dyDescent="0.3">
      <c r="A10" s="150">
        <v>5</v>
      </c>
      <c r="B10" s="14" t="s">
        <v>17</v>
      </c>
      <c r="C10" s="67" t="s">
        <v>383</v>
      </c>
      <c r="D10" s="67" t="s">
        <v>383</v>
      </c>
      <c r="E10" s="67" t="s">
        <v>383</v>
      </c>
      <c r="F10" s="67" t="s">
        <v>383</v>
      </c>
      <c r="G10" s="67" t="s">
        <v>383</v>
      </c>
      <c r="H10" s="67" t="s">
        <v>383</v>
      </c>
      <c r="I10" s="67">
        <v>5</v>
      </c>
      <c r="J10" s="67">
        <v>4</v>
      </c>
      <c r="K10" s="67">
        <v>5</v>
      </c>
      <c r="L10" s="67">
        <v>8</v>
      </c>
      <c r="M10" s="67">
        <v>8</v>
      </c>
      <c r="N10" s="67">
        <v>7</v>
      </c>
      <c r="O10" s="67">
        <v>6</v>
      </c>
      <c r="P10" s="67">
        <v>8</v>
      </c>
      <c r="Q10" s="67">
        <v>9</v>
      </c>
      <c r="R10" s="67">
        <v>5</v>
      </c>
      <c r="S10" s="67" t="s">
        <v>383</v>
      </c>
      <c r="T10" s="67" t="s">
        <v>383</v>
      </c>
      <c r="U10" s="67" t="s">
        <v>383</v>
      </c>
      <c r="V10" s="67" t="s">
        <v>383</v>
      </c>
      <c r="W10" s="67" t="s">
        <v>383</v>
      </c>
      <c r="X10" s="67" t="s">
        <v>383</v>
      </c>
      <c r="Y10" s="67" t="s">
        <v>383</v>
      </c>
      <c r="Z10" s="67" t="s">
        <v>383</v>
      </c>
      <c r="AA10" s="67" t="s">
        <v>383</v>
      </c>
      <c r="AB10" s="67" t="s">
        <v>383</v>
      </c>
      <c r="AC10" s="67" t="s">
        <v>383</v>
      </c>
      <c r="AD10" s="67" t="s">
        <v>383</v>
      </c>
      <c r="AE10" s="151" t="s">
        <v>383</v>
      </c>
    </row>
    <row r="11" spans="1:32" s="11" customFormat="1" ht="15" customHeight="1" thickBot="1" x14ac:dyDescent="0.3">
      <c r="A11" s="144" t="s">
        <v>18</v>
      </c>
      <c r="B11" s="9" t="s">
        <v>19</v>
      </c>
      <c r="C11" s="64">
        <v>38</v>
      </c>
      <c r="D11" s="64">
        <v>41</v>
      </c>
      <c r="E11" s="64">
        <v>34</v>
      </c>
      <c r="F11" s="64">
        <v>41</v>
      </c>
      <c r="G11" s="64">
        <v>46</v>
      </c>
      <c r="H11" s="64">
        <v>43</v>
      </c>
      <c r="I11" s="64">
        <v>39</v>
      </c>
      <c r="J11" s="64">
        <v>47</v>
      </c>
      <c r="K11" s="64">
        <v>45</v>
      </c>
      <c r="L11" s="64">
        <v>44</v>
      </c>
      <c r="M11" s="64">
        <v>43</v>
      </c>
      <c r="N11" s="64">
        <v>44</v>
      </c>
      <c r="O11" s="64">
        <v>40</v>
      </c>
      <c r="P11" s="64">
        <v>38</v>
      </c>
      <c r="Q11" s="64">
        <v>42</v>
      </c>
      <c r="R11" s="64">
        <v>40</v>
      </c>
      <c r="S11" s="64">
        <v>36</v>
      </c>
      <c r="T11" s="64">
        <v>36</v>
      </c>
      <c r="U11" s="64">
        <v>38</v>
      </c>
      <c r="V11" s="64">
        <v>37</v>
      </c>
      <c r="W11" s="64">
        <v>34</v>
      </c>
      <c r="X11" s="64">
        <v>36</v>
      </c>
      <c r="Y11" s="64">
        <v>38</v>
      </c>
      <c r="Z11" s="64">
        <v>35</v>
      </c>
      <c r="AA11" s="64">
        <v>38</v>
      </c>
      <c r="AB11" s="64">
        <v>37</v>
      </c>
      <c r="AC11" s="64">
        <v>42</v>
      </c>
      <c r="AD11" s="64">
        <v>40</v>
      </c>
      <c r="AE11" s="145">
        <v>40</v>
      </c>
      <c r="AF11" s="10"/>
    </row>
    <row r="12" spans="1:32" ht="15" customHeight="1" x14ac:dyDescent="0.25">
      <c r="A12" s="152">
        <v>11</v>
      </c>
      <c r="B12" s="15" t="s">
        <v>20</v>
      </c>
      <c r="C12" s="68" t="s">
        <v>383</v>
      </c>
      <c r="D12" s="68" t="s">
        <v>383</v>
      </c>
      <c r="E12" s="68" t="s">
        <v>383</v>
      </c>
      <c r="F12" s="68" t="s">
        <v>383</v>
      </c>
      <c r="G12" s="68" t="s">
        <v>383</v>
      </c>
      <c r="H12" s="68" t="s">
        <v>383</v>
      </c>
      <c r="I12" s="68" t="s">
        <v>383</v>
      </c>
      <c r="J12" s="68" t="s">
        <v>383</v>
      </c>
      <c r="K12" s="68" t="s">
        <v>383</v>
      </c>
      <c r="L12" s="68" t="s">
        <v>383</v>
      </c>
      <c r="M12" s="68" t="s">
        <v>383</v>
      </c>
      <c r="N12" s="68" t="s">
        <v>383</v>
      </c>
      <c r="O12" s="68" t="s">
        <v>383</v>
      </c>
      <c r="P12" s="68" t="s">
        <v>383</v>
      </c>
      <c r="Q12" s="68" t="s">
        <v>383</v>
      </c>
      <c r="R12" s="68" t="s">
        <v>383</v>
      </c>
      <c r="S12" s="68" t="s">
        <v>383</v>
      </c>
      <c r="T12" s="68" t="s">
        <v>383</v>
      </c>
      <c r="U12" s="68" t="s">
        <v>383</v>
      </c>
      <c r="V12" s="68" t="s">
        <v>383</v>
      </c>
      <c r="W12" s="68" t="s">
        <v>383</v>
      </c>
      <c r="X12" s="68" t="s">
        <v>383</v>
      </c>
      <c r="Y12" s="68" t="s">
        <v>383</v>
      </c>
      <c r="Z12" s="68" t="s">
        <v>383</v>
      </c>
      <c r="AA12" s="68" t="s">
        <v>383</v>
      </c>
      <c r="AB12" s="68" t="s">
        <v>383</v>
      </c>
      <c r="AC12" s="68" t="s">
        <v>383</v>
      </c>
      <c r="AD12" s="68">
        <v>5</v>
      </c>
      <c r="AE12" s="153" t="s">
        <v>383</v>
      </c>
    </row>
    <row r="13" spans="1:32" ht="15" customHeight="1" x14ac:dyDescent="0.25">
      <c r="A13" s="154">
        <v>13</v>
      </c>
      <c r="B13" s="16" t="s">
        <v>21</v>
      </c>
      <c r="C13" s="69" t="s">
        <v>383</v>
      </c>
      <c r="D13" s="69" t="s">
        <v>383</v>
      </c>
      <c r="E13" s="69" t="s">
        <v>383</v>
      </c>
      <c r="F13" s="69" t="s">
        <v>383</v>
      </c>
      <c r="G13" s="69" t="s">
        <v>383</v>
      </c>
      <c r="H13" s="69" t="s">
        <v>383</v>
      </c>
      <c r="I13" s="69" t="s">
        <v>383</v>
      </c>
      <c r="J13" s="69" t="s">
        <v>383</v>
      </c>
      <c r="K13" s="69" t="s">
        <v>383</v>
      </c>
      <c r="L13" s="69" t="s">
        <v>383</v>
      </c>
      <c r="M13" s="69" t="s">
        <v>383</v>
      </c>
      <c r="N13" s="69" t="s">
        <v>383</v>
      </c>
      <c r="O13" s="69" t="s">
        <v>383</v>
      </c>
      <c r="P13" s="69" t="s">
        <v>383</v>
      </c>
      <c r="Q13" s="69" t="s">
        <v>383</v>
      </c>
      <c r="R13" s="69" t="s">
        <v>383</v>
      </c>
      <c r="S13" s="69" t="s">
        <v>383</v>
      </c>
      <c r="T13" s="69" t="s">
        <v>383</v>
      </c>
      <c r="U13" s="69" t="s">
        <v>383</v>
      </c>
      <c r="V13" s="69" t="s">
        <v>383</v>
      </c>
      <c r="W13" s="69" t="s">
        <v>383</v>
      </c>
      <c r="X13" s="69" t="s">
        <v>383</v>
      </c>
      <c r="Y13" s="69" t="s">
        <v>383</v>
      </c>
      <c r="Z13" s="69" t="s">
        <v>383</v>
      </c>
      <c r="AA13" s="69" t="s">
        <v>383</v>
      </c>
      <c r="AB13" s="69" t="s">
        <v>383</v>
      </c>
      <c r="AC13" s="69" t="s">
        <v>383</v>
      </c>
      <c r="AD13" s="69" t="s">
        <v>383</v>
      </c>
      <c r="AE13" s="155" t="s">
        <v>383</v>
      </c>
    </row>
    <row r="14" spans="1:32" ht="15" customHeight="1" thickBot="1" x14ac:dyDescent="0.3">
      <c r="A14" s="152">
        <v>14</v>
      </c>
      <c r="B14" s="15" t="s">
        <v>22</v>
      </c>
      <c r="C14" s="68">
        <v>29</v>
      </c>
      <c r="D14" s="68">
        <v>32</v>
      </c>
      <c r="E14" s="68">
        <v>27</v>
      </c>
      <c r="F14" s="68">
        <v>33</v>
      </c>
      <c r="G14" s="68">
        <v>37</v>
      </c>
      <c r="H14" s="68">
        <v>37</v>
      </c>
      <c r="I14" s="68">
        <v>34</v>
      </c>
      <c r="J14" s="68">
        <v>40</v>
      </c>
      <c r="K14" s="68">
        <v>39</v>
      </c>
      <c r="L14" s="68">
        <v>39</v>
      </c>
      <c r="M14" s="68">
        <v>38</v>
      </c>
      <c r="N14" s="68">
        <v>37</v>
      </c>
      <c r="O14" s="68">
        <v>35</v>
      </c>
      <c r="P14" s="68">
        <v>33</v>
      </c>
      <c r="Q14" s="68">
        <v>36</v>
      </c>
      <c r="R14" s="68">
        <v>37</v>
      </c>
      <c r="S14" s="68">
        <v>33</v>
      </c>
      <c r="T14" s="68">
        <v>31</v>
      </c>
      <c r="U14" s="68">
        <v>33</v>
      </c>
      <c r="V14" s="68">
        <v>33</v>
      </c>
      <c r="W14" s="68">
        <v>30</v>
      </c>
      <c r="X14" s="68">
        <v>33</v>
      </c>
      <c r="Y14" s="68">
        <v>33</v>
      </c>
      <c r="Z14" s="68">
        <v>30</v>
      </c>
      <c r="AA14" s="68">
        <v>32</v>
      </c>
      <c r="AB14" s="68">
        <v>32</v>
      </c>
      <c r="AC14" s="68">
        <v>35</v>
      </c>
      <c r="AD14" s="68" t="s">
        <v>383</v>
      </c>
      <c r="AE14" s="153">
        <v>33</v>
      </c>
    </row>
    <row r="15" spans="1:32" s="11" customFormat="1" ht="15" customHeight="1" thickBot="1" x14ac:dyDescent="0.3">
      <c r="A15" s="144" t="s">
        <v>23</v>
      </c>
      <c r="B15" s="9" t="s">
        <v>24</v>
      </c>
      <c r="C15" s="64">
        <v>5227</v>
      </c>
      <c r="D15" s="64">
        <v>5321</v>
      </c>
      <c r="E15" s="64">
        <v>5296</v>
      </c>
      <c r="F15" s="64">
        <v>5224</v>
      </c>
      <c r="G15" s="64">
        <v>5039</v>
      </c>
      <c r="H15" s="64">
        <v>4743</v>
      </c>
      <c r="I15" s="64">
        <v>4364</v>
      </c>
      <c r="J15" s="64">
        <v>4819</v>
      </c>
      <c r="K15" s="64">
        <v>5292</v>
      </c>
      <c r="L15" s="64">
        <v>5671</v>
      </c>
      <c r="M15" s="64">
        <v>6016</v>
      </c>
      <c r="N15" s="64">
        <v>6226</v>
      </c>
      <c r="O15" s="64">
        <v>6392</v>
      </c>
      <c r="P15" s="64">
        <v>6301</v>
      </c>
      <c r="Q15" s="64">
        <v>6342</v>
      </c>
      <c r="R15" s="64">
        <v>6433</v>
      </c>
      <c r="S15" s="64">
        <v>6404</v>
      </c>
      <c r="T15" s="64">
        <v>6363</v>
      </c>
      <c r="U15" s="64">
        <v>6333</v>
      </c>
      <c r="V15" s="64">
        <v>6345</v>
      </c>
      <c r="W15" s="64">
        <v>6336</v>
      </c>
      <c r="X15" s="64">
        <v>6275</v>
      </c>
      <c r="Y15" s="64">
        <v>6155</v>
      </c>
      <c r="Z15" s="64">
        <v>5998</v>
      </c>
      <c r="AA15" s="64">
        <v>5883</v>
      </c>
      <c r="AB15" s="64">
        <v>5924</v>
      </c>
      <c r="AC15" s="64">
        <v>6061</v>
      </c>
      <c r="AD15" s="64">
        <v>6058</v>
      </c>
      <c r="AE15" s="145">
        <v>5941</v>
      </c>
      <c r="AF15" s="10"/>
    </row>
    <row r="16" spans="1:32" ht="15" customHeight="1" x14ac:dyDescent="0.25">
      <c r="A16" s="152">
        <v>15</v>
      </c>
      <c r="B16" s="15" t="s">
        <v>25</v>
      </c>
      <c r="C16" s="68">
        <v>1230</v>
      </c>
      <c r="D16" s="68">
        <v>1224</v>
      </c>
      <c r="E16" s="68">
        <v>1190</v>
      </c>
      <c r="F16" s="68">
        <v>1166</v>
      </c>
      <c r="G16" s="68">
        <v>1148</v>
      </c>
      <c r="H16" s="68">
        <v>1094</v>
      </c>
      <c r="I16" s="68">
        <v>1057</v>
      </c>
      <c r="J16" s="68">
        <v>1124</v>
      </c>
      <c r="K16" s="68">
        <v>1208</v>
      </c>
      <c r="L16" s="68">
        <v>1245</v>
      </c>
      <c r="M16" s="68">
        <v>1286</v>
      </c>
      <c r="N16" s="68">
        <v>1341</v>
      </c>
      <c r="O16" s="68">
        <v>1385</v>
      </c>
      <c r="P16" s="68">
        <v>1405</v>
      </c>
      <c r="Q16" s="68">
        <v>1430</v>
      </c>
      <c r="R16" s="68">
        <v>1424</v>
      </c>
      <c r="S16" s="68">
        <v>1444</v>
      </c>
      <c r="T16" s="68">
        <v>1411</v>
      </c>
      <c r="U16" s="68">
        <v>1421</v>
      </c>
      <c r="V16" s="68">
        <v>1455</v>
      </c>
      <c r="W16" s="68">
        <v>1464</v>
      </c>
      <c r="X16" s="68">
        <v>1441</v>
      </c>
      <c r="Y16" s="68">
        <v>1433</v>
      </c>
      <c r="Z16" s="68">
        <v>1443</v>
      </c>
      <c r="AA16" s="68">
        <v>1384</v>
      </c>
      <c r="AB16" s="68">
        <v>1386</v>
      </c>
      <c r="AC16" s="68">
        <v>1428</v>
      </c>
      <c r="AD16" s="68">
        <v>1435</v>
      </c>
      <c r="AE16" s="153">
        <v>1433</v>
      </c>
    </row>
    <row r="17" spans="1:31" ht="15" customHeight="1" x14ac:dyDescent="0.25">
      <c r="A17" s="156">
        <v>16</v>
      </c>
      <c r="B17" s="17" t="s">
        <v>26</v>
      </c>
      <c r="C17" s="70" t="s">
        <v>383</v>
      </c>
      <c r="D17" s="70" t="s">
        <v>383</v>
      </c>
      <c r="E17" s="70" t="s">
        <v>383</v>
      </c>
      <c r="F17" s="70" t="s">
        <v>383</v>
      </c>
      <c r="G17" s="70" t="s">
        <v>383</v>
      </c>
      <c r="H17" s="70" t="s">
        <v>383</v>
      </c>
      <c r="I17" s="70" t="s">
        <v>383</v>
      </c>
      <c r="J17" s="70" t="s">
        <v>383</v>
      </c>
      <c r="K17" s="70" t="s">
        <v>383</v>
      </c>
      <c r="L17" s="70" t="s">
        <v>383</v>
      </c>
      <c r="M17" s="70" t="s">
        <v>383</v>
      </c>
      <c r="N17" s="70" t="s">
        <v>383</v>
      </c>
      <c r="O17" s="70" t="s">
        <v>383</v>
      </c>
      <c r="P17" s="70" t="s">
        <v>383</v>
      </c>
      <c r="Q17" s="70" t="s">
        <v>383</v>
      </c>
      <c r="R17" s="70" t="s">
        <v>383</v>
      </c>
      <c r="S17" s="70" t="s">
        <v>383</v>
      </c>
      <c r="T17" s="70" t="s">
        <v>383</v>
      </c>
      <c r="U17" s="70" t="s">
        <v>383</v>
      </c>
      <c r="V17" s="70" t="s">
        <v>383</v>
      </c>
      <c r="W17" s="70" t="s">
        <v>383</v>
      </c>
      <c r="X17" s="70" t="s">
        <v>383</v>
      </c>
      <c r="Y17" s="70" t="s">
        <v>383</v>
      </c>
      <c r="Z17" s="70" t="s">
        <v>383</v>
      </c>
      <c r="AA17" s="70" t="s">
        <v>383</v>
      </c>
      <c r="AB17" s="70" t="s">
        <v>383</v>
      </c>
      <c r="AC17" s="70">
        <v>4</v>
      </c>
      <c r="AD17" s="70" t="s">
        <v>383</v>
      </c>
      <c r="AE17" s="157" t="s">
        <v>383</v>
      </c>
    </row>
    <row r="18" spans="1:31" ht="15" customHeight="1" x14ac:dyDescent="0.25">
      <c r="A18" s="156">
        <v>17</v>
      </c>
      <c r="B18" s="17" t="s">
        <v>27</v>
      </c>
      <c r="C18" s="70">
        <v>104</v>
      </c>
      <c r="D18" s="70">
        <v>110</v>
      </c>
      <c r="E18" s="70">
        <v>104</v>
      </c>
      <c r="F18" s="70">
        <v>101</v>
      </c>
      <c r="G18" s="70">
        <v>99</v>
      </c>
      <c r="H18" s="70">
        <v>102</v>
      </c>
      <c r="I18" s="70">
        <v>88</v>
      </c>
      <c r="J18" s="70">
        <v>101</v>
      </c>
      <c r="K18" s="70">
        <v>114</v>
      </c>
      <c r="L18" s="70">
        <v>130</v>
      </c>
      <c r="M18" s="70">
        <v>141</v>
      </c>
      <c r="N18" s="70">
        <v>138</v>
      </c>
      <c r="O18" s="70">
        <v>144</v>
      </c>
      <c r="P18" s="70">
        <v>141</v>
      </c>
      <c r="Q18" s="70">
        <v>140</v>
      </c>
      <c r="R18" s="70">
        <v>143</v>
      </c>
      <c r="S18" s="70">
        <v>144</v>
      </c>
      <c r="T18" s="70">
        <v>143</v>
      </c>
      <c r="U18" s="70">
        <v>140</v>
      </c>
      <c r="V18" s="70">
        <v>143</v>
      </c>
      <c r="W18" s="70">
        <v>143</v>
      </c>
      <c r="X18" s="70">
        <v>148</v>
      </c>
      <c r="Y18" s="70">
        <v>139</v>
      </c>
      <c r="Z18" s="70">
        <v>127</v>
      </c>
      <c r="AA18" s="70">
        <v>123</v>
      </c>
      <c r="AB18" s="70">
        <v>118</v>
      </c>
      <c r="AC18" s="70">
        <v>117</v>
      </c>
      <c r="AD18" s="70">
        <v>130</v>
      </c>
      <c r="AE18" s="157">
        <v>132</v>
      </c>
    </row>
    <row r="19" spans="1:31" ht="15" customHeight="1" x14ac:dyDescent="0.25">
      <c r="A19" s="156">
        <v>18</v>
      </c>
      <c r="B19" s="17" t="s">
        <v>28</v>
      </c>
      <c r="C19" s="70">
        <v>212</v>
      </c>
      <c r="D19" s="70">
        <v>214</v>
      </c>
      <c r="E19" s="70">
        <v>199</v>
      </c>
      <c r="F19" s="70">
        <v>187</v>
      </c>
      <c r="G19" s="70">
        <v>181</v>
      </c>
      <c r="H19" s="70">
        <v>164</v>
      </c>
      <c r="I19" s="70">
        <v>139</v>
      </c>
      <c r="J19" s="70">
        <v>156</v>
      </c>
      <c r="K19" s="70">
        <v>184</v>
      </c>
      <c r="L19" s="70">
        <v>207</v>
      </c>
      <c r="M19" s="70">
        <v>211</v>
      </c>
      <c r="N19" s="70">
        <v>233</v>
      </c>
      <c r="O19" s="70">
        <v>233</v>
      </c>
      <c r="P19" s="70">
        <v>228</v>
      </c>
      <c r="Q19" s="70">
        <v>223</v>
      </c>
      <c r="R19" s="70">
        <v>219</v>
      </c>
      <c r="S19" s="70">
        <v>208</v>
      </c>
      <c r="T19" s="70">
        <v>202</v>
      </c>
      <c r="U19" s="70">
        <v>201</v>
      </c>
      <c r="V19" s="70">
        <v>194</v>
      </c>
      <c r="W19" s="70">
        <v>199</v>
      </c>
      <c r="X19" s="70">
        <v>184</v>
      </c>
      <c r="Y19" s="70">
        <v>181</v>
      </c>
      <c r="Z19" s="70">
        <v>161</v>
      </c>
      <c r="AA19" s="70">
        <v>155</v>
      </c>
      <c r="AB19" s="70">
        <v>154</v>
      </c>
      <c r="AC19" s="70">
        <v>155</v>
      </c>
      <c r="AD19" s="70">
        <v>163</v>
      </c>
      <c r="AE19" s="157">
        <v>161</v>
      </c>
    </row>
    <row r="20" spans="1:31" ht="15" customHeight="1" x14ac:dyDescent="0.25">
      <c r="A20" s="156">
        <v>19</v>
      </c>
      <c r="B20" s="17" t="s">
        <v>108</v>
      </c>
      <c r="C20" s="70">
        <v>109</v>
      </c>
      <c r="D20" s="70">
        <v>105</v>
      </c>
      <c r="E20" s="70">
        <v>109</v>
      </c>
      <c r="F20" s="70">
        <v>106</v>
      </c>
      <c r="G20" s="70">
        <v>98</v>
      </c>
      <c r="H20" s="70">
        <v>85</v>
      </c>
      <c r="I20" s="70">
        <v>72</v>
      </c>
      <c r="J20" s="70">
        <v>92</v>
      </c>
      <c r="K20" s="70">
        <v>97</v>
      </c>
      <c r="L20" s="70">
        <v>104</v>
      </c>
      <c r="M20" s="70">
        <v>114</v>
      </c>
      <c r="N20" s="70">
        <v>119</v>
      </c>
      <c r="O20" s="70">
        <v>120</v>
      </c>
      <c r="P20" s="70">
        <v>111</v>
      </c>
      <c r="Q20" s="70">
        <v>110</v>
      </c>
      <c r="R20" s="70">
        <v>117</v>
      </c>
      <c r="S20" s="70">
        <v>117</v>
      </c>
      <c r="T20" s="70">
        <v>126</v>
      </c>
      <c r="U20" s="70">
        <v>123</v>
      </c>
      <c r="V20" s="70">
        <v>123</v>
      </c>
      <c r="W20" s="70">
        <v>123</v>
      </c>
      <c r="X20" s="70">
        <v>119</v>
      </c>
      <c r="Y20" s="70">
        <v>111</v>
      </c>
      <c r="Z20" s="70">
        <v>101</v>
      </c>
      <c r="AA20" s="70">
        <v>104</v>
      </c>
      <c r="AB20" s="70">
        <v>100</v>
      </c>
      <c r="AC20" s="70">
        <v>100</v>
      </c>
      <c r="AD20" s="70">
        <v>97</v>
      </c>
      <c r="AE20" s="157">
        <v>94</v>
      </c>
    </row>
    <row r="21" spans="1:31" ht="15" customHeight="1" x14ac:dyDescent="0.25">
      <c r="A21" s="156">
        <v>20</v>
      </c>
      <c r="B21" s="17" t="s">
        <v>30</v>
      </c>
      <c r="C21" s="70">
        <v>224</v>
      </c>
      <c r="D21" s="70">
        <v>230</v>
      </c>
      <c r="E21" s="70">
        <v>220</v>
      </c>
      <c r="F21" s="70">
        <v>204</v>
      </c>
      <c r="G21" s="70">
        <v>198</v>
      </c>
      <c r="H21" s="70">
        <v>179</v>
      </c>
      <c r="I21" s="70">
        <v>160</v>
      </c>
      <c r="J21" s="70">
        <v>178</v>
      </c>
      <c r="K21" s="70">
        <v>195</v>
      </c>
      <c r="L21" s="70">
        <v>203</v>
      </c>
      <c r="M21" s="70">
        <v>221</v>
      </c>
      <c r="N21" s="70">
        <v>213</v>
      </c>
      <c r="O21" s="70">
        <v>223</v>
      </c>
      <c r="P21" s="70">
        <v>212</v>
      </c>
      <c r="Q21" s="70">
        <v>202</v>
      </c>
      <c r="R21" s="70">
        <v>205</v>
      </c>
      <c r="S21" s="70">
        <v>198</v>
      </c>
      <c r="T21" s="70">
        <v>182</v>
      </c>
      <c r="U21" s="70">
        <v>173</v>
      </c>
      <c r="V21" s="70">
        <v>175</v>
      </c>
      <c r="W21" s="70">
        <v>172</v>
      </c>
      <c r="X21" s="70">
        <v>164</v>
      </c>
      <c r="Y21" s="70">
        <v>160</v>
      </c>
      <c r="Z21" s="70">
        <v>152</v>
      </c>
      <c r="AA21" s="70">
        <v>154</v>
      </c>
      <c r="AB21" s="70">
        <v>155</v>
      </c>
      <c r="AC21" s="70">
        <v>154</v>
      </c>
      <c r="AD21" s="70">
        <v>144</v>
      </c>
      <c r="AE21" s="157">
        <v>148</v>
      </c>
    </row>
    <row r="22" spans="1:31" ht="15" customHeight="1" x14ac:dyDescent="0.25">
      <c r="A22" s="156">
        <v>21</v>
      </c>
      <c r="B22" s="17" t="s">
        <v>31</v>
      </c>
      <c r="C22" s="70">
        <v>81</v>
      </c>
      <c r="D22" s="70">
        <v>86</v>
      </c>
      <c r="E22" s="70">
        <v>84</v>
      </c>
      <c r="F22" s="70">
        <v>78</v>
      </c>
      <c r="G22" s="70">
        <v>77</v>
      </c>
      <c r="H22" s="70">
        <v>76</v>
      </c>
      <c r="I22" s="70">
        <v>75</v>
      </c>
      <c r="J22" s="70">
        <v>77</v>
      </c>
      <c r="K22" s="70">
        <v>82</v>
      </c>
      <c r="L22" s="70">
        <v>92</v>
      </c>
      <c r="M22" s="70">
        <v>99</v>
      </c>
      <c r="N22" s="70">
        <v>98</v>
      </c>
      <c r="O22" s="70">
        <v>95</v>
      </c>
      <c r="P22" s="70">
        <v>95</v>
      </c>
      <c r="Q22" s="70">
        <v>97</v>
      </c>
      <c r="R22" s="70">
        <v>97</v>
      </c>
      <c r="S22" s="70">
        <v>101</v>
      </c>
      <c r="T22" s="70">
        <v>102</v>
      </c>
      <c r="U22" s="70">
        <v>105</v>
      </c>
      <c r="V22" s="70">
        <v>105</v>
      </c>
      <c r="W22" s="70">
        <v>100</v>
      </c>
      <c r="X22" s="70">
        <v>98</v>
      </c>
      <c r="Y22" s="70">
        <v>98</v>
      </c>
      <c r="Z22" s="70">
        <v>97</v>
      </c>
      <c r="AA22" s="70">
        <v>98</v>
      </c>
      <c r="AB22" s="70">
        <v>92</v>
      </c>
      <c r="AC22" s="70">
        <v>92</v>
      </c>
      <c r="AD22" s="70">
        <v>97</v>
      </c>
      <c r="AE22" s="157">
        <v>97</v>
      </c>
    </row>
    <row r="23" spans="1:31" ht="15" customHeight="1" x14ac:dyDescent="0.25">
      <c r="A23" s="156">
        <v>22</v>
      </c>
      <c r="B23" s="17" t="s">
        <v>98</v>
      </c>
      <c r="C23" s="70">
        <v>253</v>
      </c>
      <c r="D23" s="70">
        <v>260</v>
      </c>
      <c r="E23" s="70">
        <v>258</v>
      </c>
      <c r="F23" s="70">
        <v>259</v>
      </c>
      <c r="G23" s="70">
        <v>252</v>
      </c>
      <c r="H23" s="70">
        <v>233</v>
      </c>
      <c r="I23" s="70">
        <v>217</v>
      </c>
      <c r="J23" s="70">
        <v>236</v>
      </c>
      <c r="K23" s="70">
        <v>250</v>
      </c>
      <c r="L23" s="70">
        <v>262</v>
      </c>
      <c r="M23" s="70">
        <v>271</v>
      </c>
      <c r="N23" s="70">
        <v>285</v>
      </c>
      <c r="O23" s="70">
        <v>294</v>
      </c>
      <c r="P23" s="70">
        <v>295</v>
      </c>
      <c r="Q23" s="70">
        <v>292</v>
      </c>
      <c r="R23" s="70">
        <v>298</v>
      </c>
      <c r="S23" s="70">
        <v>294</v>
      </c>
      <c r="T23" s="70">
        <v>287</v>
      </c>
      <c r="U23" s="70">
        <v>288</v>
      </c>
      <c r="V23" s="70">
        <v>273</v>
      </c>
      <c r="W23" s="70">
        <v>269</v>
      </c>
      <c r="X23" s="70">
        <v>259</v>
      </c>
      <c r="Y23" s="70">
        <v>244</v>
      </c>
      <c r="Z23" s="70">
        <v>228</v>
      </c>
      <c r="AA23" s="70">
        <v>219</v>
      </c>
      <c r="AB23" s="70">
        <v>208</v>
      </c>
      <c r="AC23" s="70">
        <v>210</v>
      </c>
      <c r="AD23" s="70">
        <v>206</v>
      </c>
      <c r="AE23" s="157">
        <v>193</v>
      </c>
    </row>
    <row r="24" spans="1:31" ht="15" customHeight="1" x14ac:dyDescent="0.25">
      <c r="A24" s="156">
        <v>23</v>
      </c>
      <c r="B24" s="17" t="s">
        <v>33</v>
      </c>
      <c r="C24" s="70">
        <v>13</v>
      </c>
      <c r="D24" s="70">
        <v>15</v>
      </c>
      <c r="E24" s="70">
        <v>14</v>
      </c>
      <c r="F24" s="70">
        <v>16</v>
      </c>
      <c r="G24" s="70">
        <v>13</v>
      </c>
      <c r="H24" s="70">
        <v>12</v>
      </c>
      <c r="I24" s="70">
        <v>12</v>
      </c>
      <c r="J24" s="70">
        <v>13</v>
      </c>
      <c r="K24" s="70">
        <v>13</v>
      </c>
      <c r="L24" s="70">
        <v>12</v>
      </c>
      <c r="M24" s="70">
        <v>12</v>
      </c>
      <c r="N24" s="70">
        <v>12</v>
      </c>
      <c r="O24" s="70">
        <v>13</v>
      </c>
      <c r="P24" s="70">
        <v>14</v>
      </c>
      <c r="Q24" s="70">
        <v>14</v>
      </c>
      <c r="R24" s="70">
        <v>13</v>
      </c>
      <c r="S24" s="70">
        <v>13</v>
      </c>
      <c r="T24" s="70">
        <v>13</v>
      </c>
      <c r="U24" s="70">
        <v>13</v>
      </c>
      <c r="V24" s="70">
        <v>13</v>
      </c>
      <c r="W24" s="70">
        <v>13</v>
      </c>
      <c r="X24" s="70">
        <v>12</v>
      </c>
      <c r="Y24" s="70">
        <v>11</v>
      </c>
      <c r="Z24" s="70">
        <v>10</v>
      </c>
      <c r="AA24" s="70">
        <v>12</v>
      </c>
      <c r="AB24" s="70">
        <v>12</v>
      </c>
      <c r="AC24" s="70">
        <v>12</v>
      </c>
      <c r="AD24" s="70">
        <v>12</v>
      </c>
      <c r="AE24" s="157">
        <v>12</v>
      </c>
    </row>
    <row r="25" spans="1:31" ht="15" customHeight="1" x14ac:dyDescent="0.25">
      <c r="A25" s="156">
        <v>24</v>
      </c>
      <c r="B25" s="17" t="s">
        <v>34</v>
      </c>
      <c r="C25" s="70">
        <v>241</v>
      </c>
      <c r="D25" s="70">
        <v>238</v>
      </c>
      <c r="E25" s="70">
        <v>241</v>
      </c>
      <c r="F25" s="70">
        <v>273</v>
      </c>
      <c r="G25" s="70">
        <v>293</v>
      </c>
      <c r="H25" s="70">
        <v>290</v>
      </c>
      <c r="I25" s="70">
        <v>282</v>
      </c>
      <c r="J25" s="70">
        <v>280</v>
      </c>
      <c r="K25" s="70">
        <v>293</v>
      </c>
      <c r="L25" s="70">
        <v>302</v>
      </c>
      <c r="M25" s="70">
        <v>312</v>
      </c>
      <c r="N25" s="70">
        <v>315</v>
      </c>
      <c r="O25" s="70">
        <v>320</v>
      </c>
      <c r="P25" s="70">
        <v>320</v>
      </c>
      <c r="Q25" s="70">
        <v>327</v>
      </c>
      <c r="R25" s="70">
        <v>335</v>
      </c>
      <c r="S25" s="70">
        <v>325</v>
      </c>
      <c r="T25" s="70">
        <v>320</v>
      </c>
      <c r="U25" s="70">
        <v>326</v>
      </c>
      <c r="V25" s="70">
        <v>328</v>
      </c>
      <c r="W25" s="70">
        <v>330</v>
      </c>
      <c r="X25" s="70">
        <v>325</v>
      </c>
      <c r="Y25" s="70">
        <v>325</v>
      </c>
      <c r="Z25" s="70">
        <v>315</v>
      </c>
      <c r="AA25" s="70">
        <v>305</v>
      </c>
      <c r="AB25" s="70">
        <v>309</v>
      </c>
      <c r="AC25" s="70">
        <v>307</v>
      </c>
      <c r="AD25" s="70">
        <v>308</v>
      </c>
      <c r="AE25" s="157">
        <v>301</v>
      </c>
    </row>
    <row r="26" spans="1:31" ht="15" customHeight="1" x14ac:dyDescent="0.25">
      <c r="A26" s="156">
        <v>25</v>
      </c>
      <c r="B26" s="17" t="s">
        <v>35</v>
      </c>
      <c r="C26" s="70">
        <v>219</v>
      </c>
      <c r="D26" s="70">
        <v>225</v>
      </c>
      <c r="E26" s="70">
        <v>233</v>
      </c>
      <c r="F26" s="70">
        <v>248</v>
      </c>
      <c r="G26" s="70">
        <v>243</v>
      </c>
      <c r="H26" s="70">
        <v>227</v>
      </c>
      <c r="I26" s="70">
        <v>224</v>
      </c>
      <c r="J26" s="70">
        <v>252</v>
      </c>
      <c r="K26" s="70">
        <v>270</v>
      </c>
      <c r="L26" s="70">
        <v>292</v>
      </c>
      <c r="M26" s="70">
        <v>312</v>
      </c>
      <c r="N26" s="70">
        <v>328</v>
      </c>
      <c r="O26" s="70">
        <v>329</v>
      </c>
      <c r="P26" s="70">
        <v>324</v>
      </c>
      <c r="Q26" s="70">
        <v>334</v>
      </c>
      <c r="R26" s="70">
        <v>343</v>
      </c>
      <c r="S26" s="70">
        <v>341</v>
      </c>
      <c r="T26" s="70">
        <v>351</v>
      </c>
      <c r="U26" s="70">
        <v>344</v>
      </c>
      <c r="V26" s="70">
        <v>355</v>
      </c>
      <c r="W26" s="70">
        <v>354</v>
      </c>
      <c r="X26" s="70">
        <v>349</v>
      </c>
      <c r="Y26" s="70">
        <v>343</v>
      </c>
      <c r="Z26" s="70">
        <v>330</v>
      </c>
      <c r="AA26" s="70">
        <v>330</v>
      </c>
      <c r="AB26" s="70">
        <v>345</v>
      </c>
      <c r="AC26" s="70">
        <v>354</v>
      </c>
      <c r="AD26" s="70">
        <v>341</v>
      </c>
      <c r="AE26" s="157">
        <v>337</v>
      </c>
    </row>
    <row r="27" spans="1:31" ht="15" customHeight="1" x14ac:dyDescent="0.25">
      <c r="A27" s="156">
        <v>26</v>
      </c>
      <c r="B27" s="17" t="s">
        <v>36</v>
      </c>
      <c r="C27" s="70">
        <v>214</v>
      </c>
      <c r="D27" s="70">
        <v>219</v>
      </c>
      <c r="E27" s="70">
        <v>219</v>
      </c>
      <c r="F27" s="70">
        <v>216</v>
      </c>
      <c r="G27" s="70">
        <v>204</v>
      </c>
      <c r="H27" s="70">
        <v>186</v>
      </c>
      <c r="I27" s="70">
        <v>163</v>
      </c>
      <c r="J27" s="70">
        <v>181</v>
      </c>
      <c r="K27" s="70">
        <v>197</v>
      </c>
      <c r="L27" s="70">
        <v>210</v>
      </c>
      <c r="M27" s="70">
        <v>226</v>
      </c>
      <c r="N27" s="70">
        <v>226</v>
      </c>
      <c r="O27" s="70">
        <v>229</v>
      </c>
      <c r="P27" s="70">
        <v>247</v>
      </c>
      <c r="Q27" s="70">
        <v>247</v>
      </c>
      <c r="R27" s="70">
        <v>232</v>
      </c>
      <c r="S27" s="70">
        <v>230</v>
      </c>
      <c r="T27" s="70">
        <v>227</v>
      </c>
      <c r="U27" s="70">
        <v>234</v>
      </c>
      <c r="V27" s="70">
        <v>248</v>
      </c>
      <c r="W27" s="70">
        <v>239</v>
      </c>
      <c r="X27" s="70">
        <v>231</v>
      </c>
      <c r="Y27" s="70">
        <v>230</v>
      </c>
      <c r="Z27" s="70">
        <v>228</v>
      </c>
      <c r="AA27" s="70">
        <v>217</v>
      </c>
      <c r="AB27" s="70">
        <v>222</v>
      </c>
      <c r="AC27" s="70">
        <v>229</v>
      </c>
      <c r="AD27" s="70">
        <v>227</v>
      </c>
      <c r="AE27" s="157">
        <v>211</v>
      </c>
    </row>
    <row r="28" spans="1:31" ht="15" customHeight="1" x14ac:dyDescent="0.25">
      <c r="A28" s="156">
        <v>27</v>
      </c>
      <c r="B28" s="17" t="s">
        <v>37</v>
      </c>
      <c r="C28" s="70">
        <v>158</v>
      </c>
      <c r="D28" s="70">
        <v>162</v>
      </c>
      <c r="E28" s="70">
        <v>159</v>
      </c>
      <c r="F28" s="70">
        <v>158</v>
      </c>
      <c r="G28" s="70">
        <v>148</v>
      </c>
      <c r="H28" s="70">
        <v>141</v>
      </c>
      <c r="I28" s="70">
        <v>133</v>
      </c>
      <c r="J28" s="70">
        <v>141</v>
      </c>
      <c r="K28" s="70">
        <v>160</v>
      </c>
      <c r="L28" s="70">
        <v>178</v>
      </c>
      <c r="M28" s="70">
        <v>184</v>
      </c>
      <c r="N28" s="70">
        <v>189</v>
      </c>
      <c r="O28" s="70">
        <v>189</v>
      </c>
      <c r="P28" s="70">
        <v>184</v>
      </c>
      <c r="Q28" s="70">
        <v>187</v>
      </c>
      <c r="R28" s="70">
        <v>183</v>
      </c>
      <c r="S28" s="70">
        <v>182</v>
      </c>
      <c r="T28" s="70">
        <v>177</v>
      </c>
      <c r="U28" s="70">
        <v>172</v>
      </c>
      <c r="V28" s="70">
        <v>164</v>
      </c>
      <c r="W28" s="70">
        <v>160</v>
      </c>
      <c r="X28" s="70">
        <v>171</v>
      </c>
      <c r="Y28" s="70">
        <v>164</v>
      </c>
      <c r="Z28" s="70">
        <v>155</v>
      </c>
      <c r="AA28" s="70">
        <v>153</v>
      </c>
      <c r="AB28" s="70">
        <v>154</v>
      </c>
      <c r="AC28" s="70">
        <v>150</v>
      </c>
      <c r="AD28" s="70">
        <v>148</v>
      </c>
      <c r="AE28" s="157">
        <v>146</v>
      </c>
    </row>
    <row r="29" spans="1:31" ht="15" customHeight="1" x14ac:dyDescent="0.25">
      <c r="A29" s="156">
        <v>28</v>
      </c>
      <c r="B29" s="17" t="s">
        <v>38</v>
      </c>
      <c r="C29" s="70">
        <v>729</v>
      </c>
      <c r="D29" s="70">
        <v>783</v>
      </c>
      <c r="E29" s="70">
        <v>793</v>
      </c>
      <c r="F29" s="70">
        <v>776</v>
      </c>
      <c r="G29" s="70">
        <v>756</v>
      </c>
      <c r="H29" s="70">
        <v>717</v>
      </c>
      <c r="I29" s="70">
        <v>668</v>
      </c>
      <c r="J29" s="70">
        <v>777</v>
      </c>
      <c r="K29" s="70">
        <v>885</v>
      </c>
      <c r="L29" s="70">
        <v>980</v>
      </c>
      <c r="M29" s="70">
        <v>1056</v>
      </c>
      <c r="N29" s="70">
        <v>1074</v>
      </c>
      <c r="O29" s="70">
        <v>1123</v>
      </c>
      <c r="P29" s="70">
        <v>1069</v>
      </c>
      <c r="Q29" s="70">
        <v>1100</v>
      </c>
      <c r="R29" s="70">
        <v>1135</v>
      </c>
      <c r="S29" s="70">
        <v>1128</v>
      </c>
      <c r="T29" s="70">
        <v>1135</v>
      </c>
      <c r="U29" s="70">
        <v>1130</v>
      </c>
      <c r="V29" s="70">
        <v>1121</v>
      </c>
      <c r="W29" s="70">
        <v>1122</v>
      </c>
      <c r="X29" s="70">
        <v>1139</v>
      </c>
      <c r="Y29" s="70">
        <v>1110</v>
      </c>
      <c r="Z29" s="70">
        <v>1083</v>
      </c>
      <c r="AA29" s="70">
        <v>1071</v>
      </c>
      <c r="AB29" s="70">
        <v>1082</v>
      </c>
      <c r="AC29" s="70">
        <v>1131</v>
      </c>
      <c r="AD29" s="70">
        <v>1134</v>
      </c>
      <c r="AE29" s="157">
        <v>1090</v>
      </c>
    </row>
    <row r="30" spans="1:31" ht="15" customHeight="1" x14ac:dyDescent="0.25">
      <c r="A30" s="156">
        <v>29</v>
      </c>
      <c r="B30" s="17" t="s">
        <v>39</v>
      </c>
      <c r="C30" s="70">
        <v>499</v>
      </c>
      <c r="D30" s="70">
        <v>514</v>
      </c>
      <c r="E30" s="70">
        <v>524</v>
      </c>
      <c r="F30" s="70">
        <v>519</v>
      </c>
      <c r="G30" s="70">
        <v>477</v>
      </c>
      <c r="H30" s="70">
        <v>450</v>
      </c>
      <c r="I30" s="70">
        <v>422</v>
      </c>
      <c r="J30" s="70">
        <v>478</v>
      </c>
      <c r="K30" s="70">
        <v>524</v>
      </c>
      <c r="L30" s="70">
        <v>558</v>
      </c>
      <c r="M30" s="70">
        <v>593</v>
      </c>
      <c r="N30" s="70">
        <v>626</v>
      </c>
      <c r="O30" s="70">
        <v>644</v>
      </c>
      <c r="P30" s="70">
        <v>617</v>
      </c>
      <c r="Q30" s="70">
        <v>623</v>
      </c>
      <c r="R30" s="70">
        <v>641</v>
      </c>
      <c r="S30" s="70">
        <v>643</v>
      </c>
      <c r="T30" s="70">
        <v>655</v>
      </c>
      <c r="U30" s="70">
        <v>651</v>
      </c>
      <c r="V30" s="70">
        <v>643</v>
      </c>
      <c r="W30" s="70">
        <v>649</v>
      </c>
      <c r="X30" s="70">
        <v>652</v>
      </c>
      <c r="Y30" s="70">
        <v>654</v>
      </c>
      <c r="Z30" s="70">
        <v>648</v>
      </c>
      <c r="AA30" s="70">
        <v>639</v>
      </c>
      <c r="AB30" s="70">
        <v>664</v>
      </c>
      <c r="AC30" s="70">
        <v>687</v>
      </c>
      <c r="AD30" s="70">
        <v>686</v>
      </c>
      <c r="AE30" s="157">
        <v>679</v>
      </c>
    </row>
    <row r="31" spans="1:31" ht="15" customHeight="1" x14ac:dyDescent="0.25">
      <c r="A31" s="156">
        <v>30</v>
      </c>
      <c r="B31" s="17" t="s">
        <v>40</v>
      </c>
      <c r="C31" s="70">
        <v>7</v>
      </c>
      <c r="D31" s="70">
        <v>6</v>
      </c>
      <c r="E31" s="70">
        <v>8</v>
      </c>
      <c r="F31" s="70">
        <v>7</v>
      </c>
      <c r="G31" s="70">
        <v>8</v>
      </c>
      <c r="H31" s="70">
        <v>7</v>
      </c>
      <c r="I31" s="70" t="s">
        <v>383</v>
      </c>
      <c r="J31" s="70">
        <v>12</v>
      </c>
      <c r="K31" s="70">
        <v>16</v>
      </c>
      <c r="L31" s="70" t="s">
        <v>383</v>
      </c>
      <c r="M31" s="70" t="s">
        <v>383</v>
      </c>
      <c r="N31" s="70" t="s">
        <v>383</v>
      </c>
      <c r="O31" s="70" t="s">
        <v>383</v>
      </c>
      <c r="P31" s="70" t="s">
        <v>383</v>
      </c>
      <c r="Q31" s="70" t="s">
        <v>383</v>
      </c>
      <c r="R31" s="70">
        <v>20</v>
      </c>
      <c r="S31" s="70">
        <v>17</v>
      </c>
      <c r="T31" s="70" t="s">
        <v>383</v>
      </c>
      <c r="U31" s="70" t="s">
        <v>383</v>
      </c>
      <c r="V31" s="70" t="s">
        <v>383</v>
      </c>
      <c r="W31" s="70" t="s">
        <v>383</v>
      </c>
      <c r="X31" s="70" t="s">
        <v>383</v>
      </c>
      <c r="Y31" s="70" t="s">
        <v>383</v>
      </c>
      <c r="Z31" s="70" t="s">
        <v>383</v>
      </c>
      <c r="AA31" s="70" t="s">
        <v>383</v>
      </c>
      <c r="AB31" s="70">
        <v>20</v>
      </c>
      <c r="AC31" s="70">
        <v>15</v>
      </c>
      <c r="AD31" s="70" t="s">
        <v>383</v>
      </c>
      <c r="AE31" s="157" t="s">
        <v>383</v>
      </c>
    </row>
    <row r="32" spans="1:31" ht="15" customHeight="1" x14ac:dyDescent="0.25">
      <c r="A32" s="156">
        <v>31</v>
      </c>
      <c r="B32" s="17" t="s">
        <v>41</v>
      </c>
      <c r="C32" s="70">
        <v>98</v>
      </c>
      <c r="D32" s="70">
        <v>98</v>
      </c>
      <c r="E32" s="70">
        <v>96</v>
      </c>
      <c r="F32" s="70">
        <v>90</v>
      </c>
      <c r="G32" s="70">
        <v>84</v>
      </c>
      <c r="H32" s="70">
        <v>83</v>
      </c>
      <c r="I32" s="70">
        <v>71</v>
      </c>
      <c r="J32" s="70">
        <v>85</v>
      </c>
      <c r="K32" s="70">
        <v>92</v>
      </c>
      <c r="L32" s="70">
        <v>95</v>
      </c>
      <c r="M32" s="70">
        <v>101</v>
      </c>
      <c r="N32" s="70">
        <v>110</v>
      </c>
      <c r="O32" s="70">
        <v>112</v>
      </c>
      <c r="P32" s="70">
        <v>112</v>
      </c>
      <c r="Q32" s="70">
        <v>111</v>
      </c>
      <c r="R32" s="70">
        <v>111</v>
      </c>
      <c r="S32" s="70">
        <v>111</v>
      </c>
      <c r="T32" s="70">
        <v>109</v>
      </c>
      <c r="U32" s="70">
        <v>101</v>
      </c>
      <c r="V32" s="70">
        <v>101</v>
      </c>
      <c r="W32" s="70">
        <v>105</v>
      </c>
      <c r="X32" s="70">
        <v>104</v>
      </c>
      <c r="Y32" s="70">
        <v>105</v>
      </c>
      <c r="Z32" s="70">
        <v>103</v>
      </c>
      <c r="AA32" s="70">
        <v>108</v>
      </c>
      <c r="AB32" s="70">
        <v>117</v>
      </c>
      <c r="AC32" s="70">
        <v>122</v>
      </c>
      <c r="AD32" s="70">
        <v>119</v>
      </c>
      <c r="AE32" s="157">
        <v>116</v>
      </c>
    </row>
    <row r="33" spans="1:32" ht="15" customHeight="1" x14ac:dyDescent="0.25">
      <c r="A33" s="156">
        <v>32</v>
      </c>
      <c r="B33" s="17" t="s">
        <v>42</v>
      </c>
      <c r="C33" s="70">
        <v>13</v>
      </c>
      <c r="D33" s="70">
        <v>12</v>
      </c>
      <c r="E33" s="70">
        <v>12</v>
      </c>
      <c r="F33" s="70">
        <v>15</v>
      </c>
      <c r="G33" s="70">
        <v>14</v>
      </c>
      <c r="H33" s="70">
        <v>14</v>
      </c>
      <c r="I33" s="70">
        <v>10</v>
      </c>
      <c r="J33" s="70">
        <v>9</v>
      </c>
      <c r="K33" s="70">
        <v>11</v>
      </c>
      <c r="L33" s="70">
        <v>13</v>
      </c>
      <c r="M33" s="70">
        <v>12</v>
      </c>
      <c r="N33" s="70">
        <v>13</v>
      </c>
      <c r="O33" s="70">
        <v>12</v>
      </c>
      <c r="P33" s="70">
        <v>12</v>
      </c>
      <c r="Q33" s="70">
        <v>10</v>
      </c>
      <c r="R33" s="70" t="s">
        <v>383</v>
      </c>
      <c r="S33" s="70" t="s">
        <v>383</v>
      </c>
      <c r="T33" s="70">
        <v>14</v>
      </c>
      <c r="U33" s="70">
        <v>14</v>
      </c>
      <c r="V33" s="70">
        <v>14</v>
      </c>
      <c r="W33" s="70">
        <v>16</v>
      </c>
      <c r="X33" s="70">
        <v>14</v>
      </c>
      <c r="Y33" s="70">
        <v>14</v>
      </c>
      <c r="Z33" s="70">
        <v>15</v>
      </c>
      <c r="AA33" s="70">
        <v>13</v>
      </c>
      <c r="AB33" s="70" t="s">
        <v>383</v>
      </c>
      <c r="AC33" s="70">
        <v>12</v>
      </c>
      <c r="AD33" s="70">
        <v>14</v>
      </c>
      <c r="AE33" s="157">
        <v>16</v>
      </c>
    </row>
    <row r="34" spans="1:32" ht="15" customHeight="1" x14ac:dyDescent="0.25">
      <c r="A34" s="156">
        <v>33</v>
      </c>
      <c r="B34" s="17" t="s">
        <v>43</v>
      </c>
      <c r="C34" s="70">
        <v>47</v>
      </c>
      <c r="D34" s="70">
        <v>47</v>
      </c>
      <c r="E34" s="70">
        <v>52</v>
      </c>
      <c r="F34" s="70">
        <v>50</v>
      </c>
      <c r="G34" s="70">
        <v>47</v>
      </c>
      <c r="H34" s="70">
        <v>47</v>
      </c>
      <c r="I34" s="70">
        <v>44</v>
      </c>
      <c r="J34" s="70">
        <v>45</v>
      </c>
      <c r="K34" s="70">
        <v>54</v>
      </c>
      <c r="L34" s="70">
        <v>57</v>
      </c>
      <c r="M34" s="70">
        <v>52</v>
      </c>
      <c r="N34" s="70">
        <v>60</v>
      </c>
      <c r="O34" s="70">
        <v>65</v>
      </c>
      <c r="P34" s="70">
        <v>64</v>
      </c>
      <c r="Q34" s="70">
        <v>64</v>
      </c>
      <c r="R34" s="70">
        <v>67</v>
      </c>
      <c r="S34" s="70">
        <v>67</v>
      </c>
      <c r="T34" s="70">
        <v>63</v>
      </c>
      <c r="U34" s="70">
        <v>65</v>
      </c>
      <c r="V34" s="70">
        <v>64</v>
      </c>
      <c r="W34" s="70">
        <v>66</v>
      </c>
      <c r="X34" s="70">
        <v>67</v>
      </c>
      <c r="Y34" s="70">
        <v>63</v>
      </c>
      <c r="Z34" s="70">
        <v>61</v>
      </c>
      <c r="AA34" s="70">
        <v>61</v>
      </c>
      <c r="AB34" s="70">
        <v>63</v>
      </c>
      <c r="AC34" s="70">
        <v>63</v>
      </c>
      <c r="AD34" s="70">
        <v>66</v>
      </c>
      <c r="AE34" s="157">
        <v>69</v>
      </c>
    </row>
    <row r="35" spans="1:32" ht="15" customHeight="1" x14ac:dyDescent="0.25">
      <c r="A35" s="156">
        <v>34</v>
      </c>
      <c r="B35" s="17" t="s">
        <v>44</v>
      </c>
      <c r="C35" s="70">
        <v>216</v>
      </c>
      <c r="D35" s="70">
        <v>221</v>
      </c>
      <c r="E35" s="70">
        <v>228</v>
      </c>
      <c r="F35" s="70">
        <v>228</v>
      </c>
      <c r="G35" s="70">
        <v>217</v>
      </c>
      <c r="H35" s="70">
        <v>208</v>
      </c>
      <c r="I35" s="70">
        <v>203</v>
      </c>
      <c r="J35" s="70">
        <v>222</v>
      </c>
      <c r="K35" s="70">
        <v>245</v>
      </c>
      <c r="L35" s="70">
        <v>262</v>
      </c>
      <c r="M35" s="70">
        <v>284</v>
      </c>
      <c r="N35" s="70">
        <v>296</v>
      </c>
      <c r="O35" s="70">
        <v>304</v>
      </c>
      <c r="P35" s="70">
        <v>289</v>
      </c>
      <c r="Q35" s="70">
        <v>285</v>
      </c>
      <c r="R35" s="70">
        <v>290</v>
      </c>
      <c r="S35" s="70">
        <v>276</v>
      </c>
      <c r="T35" s="70">
        <v>272</v>
      </c>
      <c r="U35" s="70">
        <v>267</v>
      </c>
      <c r="V35" s="70">
        <v>261</v>
      </c>
      <c r="W35" s="70">
        <v>264</v>
      </c>
      <c r="X35" s="70">
        <v>262</v>
      </c>
      <c r="Y35" s="70">
        <v>254</v>
      </c>
      <c r="Z35" s="70">
        <v>249</v>
      </c>
      <c r="AA35" s="70">
        <v>252</v>
      </c>
      <c r="AB35" s="70">
        <v>243</v>
      </c>
      <c r="AC35" s="70">
        <v>244</v>
      </c>
      <c r="AD35" s="70">
        <v>246</v>
      </c>
      <c r="AE35" s="157">
        <v>240</v>
      </c>
    </row>
    <row r="36" spans="1:32" ht="15" customHeight="1" x14ac:dyDescent="0.25">
      <c r="A36" s="156">
        <v>35</v>
      </c>
      <c r="B36" s="17" t="s">
        <v>45</v>
      </c>
      <c r="C36" s="70">
        <v>64</v>
      </c>
      <c r="D36" s="70">
        <v>61</v>
      </c>
      <c r="E36" s="70">
        <v>61</v>
      </c>
      <c r="F36" s="70">
        <v>59</v>
      </c>
      <c r="G36" s="70">
        <v>52</v>
      </c>
      <c r="H36" s="70">
        <v>49</v>
      </c>
      <c r="I36" s="70">
        <v>40</v>
      </c>
      <c r="J36" s="70">
        <v>42</v>
      </c>
      <c r="K36" s="70">
        <v>44</v>
      </c>
      <c r="L36" s="70">
        <v>51</v>
      </c>
      <c r="M36" s="70">
        <v>51</v>
      </c>
      <c r="N36" s="70">
        <v>55</v>
      </c>
      <c r="O36" s="70">
        <v>58</v>
      </c>
      <c r="P36" s="70">
        <v>61</v>
      </c>
      <c r="Q36" s="70">
        <v>54</v>
      </c>
      <c r="R36" s="70">
        <v>58</v>
      </c>
      <c r="S36" s="70">
        <v>66</v>
      </c>
      <c r="T36" s="70">
        <v>59</v>
      </c>
      <c r="U36" s="70">
        <v>58</v>
      </c>
      <c r="V36" s="70">
        <v>59</v>
      </c>
      <c r="W36" s="70">
        <v>56</v>
      </c>
      <c r="X36" s="70">
        <v>52</v>
      </c>
      <c r="Y36" s="70">
        <v>53</v>
      </c>
      <c r="Z36" s="70">
        <v>51</v>
      </c>
      <c r="AA36" s="70">
        <v>53</v>
      </c>
      <c r="AB36" s="70">
        <v>52</v>
      </c>
      <c r="AC36" s="70">
        <v>52</v>
      </c>
      <c r="AD36" s="70">
        <v>50</v>
      </c>
      <c r="AE36" s="157">
        <v>51</v>
      </c>
    </row>
    <row r="37" spans="1:32" ht="15" customHeight="1" x14ac:dyDescent="0.25">
      <c r="A37" s="156">
        <v>36</v>
      </c>
      <c r="B37" s="17" t="s">
        <v>46</v>
      </c>
      <c r="C37" s="70">
        <v>488</v>
      </c>
      <c r="D37" s="70">
        <v>484</v>
      </c>
      <c r="E37" s="70">
        <v>486</v>
      </c>
      <c r="F37" s="70">
        <v>462</v>
      </c>
      <c r="G37" s="70">
        <v>417</v>
      </c>
      <c r="H37" s="70">
        <v>366</v>
      </c>
      <c r="I37" s="70">
        <v>265</v>
      </c>
      <c r="J37" s="70">
        <v>305</v>
      </c>
      <c r="K37" s="70">
        <v>346</v>
      </c>
      <c r="L37" s="70">
        <v>385</v>
      </c>
      <c r="M37" s="70">
        <v>439</v>
      </c>
      <c r="N37" s="70">
        <v>452</v>
      </c>
      <c r="O37" s="70">
        <v>455</v>
      </c>
      <c r="P37" s="70">
        <v>462</v>
      </c>
      <c r="Q37" s="70">
        <v>453</v>
      </c>
      <c r="R37" s="70">
        <v>468</v>
      </c>
      <c r="S37" s="70">
        <v>464</v>
      </c>
      <c r="T37" s="70">
        <v>473</v>
      </c>
      <c r="U37" s="70">
        <v>467</v>
      </c>
      <c r="V37" s="70">
        <v>461</v>
      </c>
      <c r="W37" s="70">
        <v>451</v>
      </c>
      <c r="X37" s="70">
        <v>443</v>
      </c>
      <c r="Y37" s="70">
        <v>423</v>
      </c>
      <c r="Z37" s="70">
        <v>401</v>
      </c>
      <c r="AA37" s="70">
        <v>392</v>
      </c>
      <c r="AB37" s="70">
        <v>392</v>
      </c>
      <c r="AC37" s="70">
        <v>400</v>
      </c>
      <c r="AD37" s="70">
        <v>390</v>
      </c>
      <c r="AE37" s="157">
        <v>374</v>
      </c>
    </row>
    <row r="38" spans="1:32" ht="15" customHeight="1" thickBot="1" x14ac:dyDescent="0.3">
      <c r="A38" s="152">
        <v>37</v>
      </c>
      <c r="B38" s="15" t="s">
        <v>47</v>
      </c>
      <c r="C38" s="68" t="s">
        <v>383</v>
      </c>
      <c r="D38" s="68" t="s">
        <v>383</v>
      </c>
      <c r="E38" s="68" t="s">
        <v>383</v>
      </c>
      <c r="F38" s="68" t="s">
        <v>383</v>
      </c>
      <c r="G38" s="68" t="s">
        <v>383</v>
      </c>
      <c r="H38" s="68" t="s">
        <v>383</v>
      </c>
      <c r="I38" s="68">
        <v>11</v>
      </c>
      <c r="J38" s="68" t="s">
        <v>383</v>
      </c>
      <c r="K38" s="68" t="s">
        <v>383</v>
      </c>
      <c r="L38" s="68">
        <v>17</v>
      </c>
      <c r="M38" s="68">
        <v>20</v>
      </c>
      <c r="N38" s="68">
        <v>23</v>
      </c>
      <c r="O38" s="68">
        <v>26</v>
      </c>
      <c r="P38" s="68">
        <v>21</v>
      </c>
      <c r="Q38" s="68">
        <v>20</v>
      </c>
      <c r="R38" s="68">
        <v>21</v>
      </c>
      <c r="S38" s="68">
        <v>20</v>
      </c>
      <c r="T38" s="68">
        <v>22</v>
      </c>
      <c r="U38" s="68">
        <v>22</v>
      </c>
      <c r="V38" s="68">
        <v>25</v>
      </c>
      <c r="W38" s="68">
        <v>22</v>
      </c>
      <c r="X38" s="68">
        <v>23</v>
      </c>
      <c r="Y38" s="68">
        <v>23</v>
      </c>
      <c r="Z38" s="68">
        <v>22</v>
      </c>
      <c r="AA38" s="68">
        <v>19</v>
      </c>
      <c r="AB38" s="68">
        <v>21</v>
      </c>
      <c r="AC38" s="68">
        <v>23</v>
      </c>
      <c r="AD38" s="68">
        <v>25</v>
      </c>
      <c r="AE38" s="153">
        <v>23</v>
      </c>
    </row>
    <row r="39" spans="1:32" s="11" customFormat="1" ht="15" customHeight="1" thickBot="1" x14ac:dyDescent="0.3">
      <c r="A39" s="144" t="s">
        <v>48</v>
      </c>
      <c r="B39" s="9" t="s">
        <v>49</v>
      </c>
      <c r="C39" s="64">
        <v>131</v>
      </c>
      <c r="D39" s="64">
        <v>130</v>
      </c>
      <c r="E39" s="64">
        <v>129</v>
      </c>
      <c r="F39" s="64">
        <v>134</v>
      </c>
      <c r="G39" s="64">
        <v>132</v>
      </c>
      <c r="H39" s="64">
        <v>136</v>
      </c>
      <c r="I39" s="64">
        <v>139</v>
      </c>
      <c r="J39" s="64">
        <v>138</v>
      </c>
      <c r="K39" s="64">
        <v>141</v>
      </c>
      <c r="L39" s="64">
        <v>140</v>
      </c>
      <c r="M39" s="64">
        <v>141</v>
      </c>
      <c r="N39" s="64">
        <v>141</v>
      </c>
      <c r="O39" s="64">
        <v>145</v>
      </c>
      <c r="P39" s="64">
        <v>144</v>
      </c>
      <c r="Q39" s="64">
        <v>141</v>
      </c>
      <c r="R39" s="64">
        <v>142</v>
      </c>
      <c r="S39" s="64">
        <v>145</v>
      </c>
      <c r="T39" s="64">
        <v>141</v>
      </c>
      <c r="U39" s="64">
        <v>143</v>
      </c>
      <c r="V39" s="64">
        <v>142</v>
      </c>
      <c r="W39" s="64">
        <v>147</v>
      </c>
      <c r="X39" s="64">
        <v>144</v>
      </c>
      <c r="Y39" s="64">
        <v>145</v>
      </c>
      <c r="Z39" s="64">
        <v>143</v>
      </c>
      <c r="AA39" s="64">
        <v>146</v>
      </c>
      <c r="AB39" s="64">
        <v>146</v>
      </c>
      <c r="AC39" s="64">
        <v>149</v>
      </c>
      <c r="AD39" s="64">
        <v>148</v>
      </c>
      <c r="AE39" s="145">
        <v>149</v>
      </c>
      <c r="AF39" s="10"/>
    </row>
    <row r="40" spans="1:32" ht="15" customHeight="1" x14ac:dyDescent="0.25">
      <c r="A40" s="146">
        <v>40</v>
      </c>
      <c r="B40" s="12" t="s">
        <v>50</v>
      </c>
      <c r="C40" s="65">
        <v>63</v>
      </c>
      <c r="D40" s="65">
        <v>61</v>
      </c>
      <c r="E40" s="65">
        <v>60</v>
      </c>
      <c r="F40" s="65">
        <v>61</v>
      </c>
      <c r="G40" s="65">
        <v>60</v>
      </c>
      <c r="H40" s="65">
        <v>61</v>
      </c>
      <c r="I40" s="65">
        <v>64</v>
      </c>
      <c r="J40" s="65">
        <v>63</v>
      </c>
      <c r="K40" s="65">
        <v>64</v>
      </c>
      <c r="L40" s="65">
        <v>63</v>
      </c>
      <c r="M40" s="65">
        <v>63</v>
      </c>
      <c r="N40" s="65">
        <v>64</v>
      </c>
      <c r="O40" s="65">
        <v>66</v>
      </c>
      <c r="P40" s="65">
        <v>64</v>
      </c>
      <c r="Q40" s="65">
        <v>63</v>
      </c>
      <c r="R40" s="65">
        <v>65</v>
      </c>
      <c r="S40" s="65">
        <v>64</v>
      </c>
      <c r="T40" s="65">
        <v>63</v>
      </c>
      <c r="U40" s="65">
        <v>65</v>
      </c>
      <c r="V40" s="65">
        <v>65</v>
      </c>
      <c r="W40" s="65">
        <v>67</v>
      </c>
      <c r="X40" s="65">
        <v>65</v>
      </c>
      <c r="Y40" s="65">
        <v>66</v>
      </c>
      <c r="Z40" s="65">
        <v>67</v>
      </c>
      <c r="AA40" s="65">
        <v>70</v>
      </c>
      <c r="AB40" s="65">
        <v>69</v>
      </c>
      <c r="AC40" s="65">
        <v>73</v>
      </c>
      <c r="AD40" s="65">
        <v>73</v>
      </c>
      <c r="AE40" s="147">
        <v>75</v>
      </c>
    </row>
    <row r="41" spans="1:32" ht="15" customHeight="1" thickBot="1" x14ac:dyDescent="0.3">
      <c r="A41" s="158">
        <v>41</v>
      </c>
      <c r="B41" s="18" t="s">
        <v>51</v>
      </c>
      <c r="C41" s="71">
        <v>68</v>
      </c>
      <c r="D41" s="71">
        <v>69</v>
      </c>
      <c r="E41" s="71">
        <v>69</v>
      </c>
      <c r="F41" s="71">
        <v>73</v>
      </c>
      <c r="G41" s="71">
        <v>72</v>
      </c>
      <c r="H41" s="71">
        <v>75</v>
      </c>
      <c r="I41" s="71">
        <v>75</v>
      </c>
      <c r="J41" s="71">
        <v>75</v>
      </c>
      <c r="K41" s="71">
        <v>77</v>
      </c>
      <c r="L41" s="71">
        <v>77</v>
      </c>
      <c r="M41" s="71">
        <v>78</v>
      </c>
      <c r="N41" s="71">
        <v>77</v>
      </c>
      <c r="O41" s="71">
        <v>79</v>
      </c>
      <c r="P41" s="71">
        <v>80</v>
      </c>
      <c r="Q41" s="71">
        <v>78</v>
      </c>
      <c r="R41" s="71">
        <v>77</v>
      </c>
      <c r="S41" s="71">
        <v>81</v>
      </c>
      <c r="T41" s="71">
        <v>78</v>
      </c>
      <c r="U41" s="71">
        <v>78</v>
      </c>
      <c r="V41" s="71">
        <v>77</v>
      </c>
      <c r="W41" s="71">
        <v>80</v>
      </c>
      <c r="X41" s="71">
        <v>79</v>
      </c>
      <c r="Y41" s="71">
        <v>79</v>
      </c>
      <c r="Z41" s="71">
        <v>76</v>
      </c>
      <c r="AA41" s="71">
        <v>76</v>
      </c>
      <c r="AB41" s="71">
        <v>77</v>
      </c>
      <c r="AC41" s="71">
        <v>76</v>
      </c>
      <c r="AD41" s="71">
        <v>75</v>
      </c>
      <c r="AE41" s="159">
        <v>74</v>
      </c>
    </row>
    <row r="42" spans="1:32" s="11" customFormat="1" ht="15" customHeight="1" thickBot="1" x14ac:dyDescent="0.3">
      <c r="A42" s="160" t="s">
        <v>52</v>
      </c>
      <c r="B42" s="19" t="s">
        <v>53</v>
      </c>
      <c r="C42" s="64">
        <v>1137</v>
      </c>
      <c r="D42" s="64">
        <v>1177</v>
      </c>
      <c r="E42" s="64">
        <v>1174</v>
      </c>
      <c r="F42" s="64">
        <v>1179</v>
      </c>
      <c r="G42" s="64">
        <v>1146</v>
      </c>
      <c r="H42" s="64">
        <v>1044</v>
      </c>
      <c r="I42" s="64">
        <v>892</v>
      </c>
      <c r="J42" s="64">
        <v>1058</v>
      </c>
      <c r="K42" s="64">
        <v>1267</v>
      </c>
      <c r="L42" s="64">
        <v>1493</v>
      </c>
      <c r="M42" s="64">
        <v>1695</v>
      </c>
      <c r="N42" s="64">
        <v>1853</v>
      </c>
      <c r="O42" s="64">
        <v>1999</v>
      </c>
      <c r="P42" s="64">
        <v>1971</v>
      </c>
      <c r="Q42" s="64">
        <v>2046</v>
      </c>
      <c r="R42" s="64">
        <v>2179</v>
      </c>
      <c r="S42" s="64">
        <v>2161</v>
      </c>
      <c r="T42" s="64">
        <v>2145</v>
      </c>
      <c r="U42" s="64">
        <v>2135</v>
      </c>
      <c r="V42" s="64">
        <v>2102</v>
      </c>
      <c r="W42" s="64">
        <v>2083</v>
      </c>
      <c r="X42" s="64">
        <v>2169</v>
      </c>
      <c r="Y42" s="64">
        <v>2150</v>
      </c>
      <c r="Z42" s="64">
        <v>2093</v>
      </c>
      <c r="AA42" s="64">
        <v>1996</v>
      </c>
      <c r="AB42" s="64">
        <v>2078</v>
      </c>
      <c r="AC42" s="64">
        <v>2160</v>
      </c>
      <c r="AD42" s="64">
        <v>2124</v>
      </c>
      <c r="AE42" s="145">
        <v>2042</v>
      </c>
      <c r="AF42" s="10"/>
    </row>
    <row r="43" spans="1:32" ht="15" customHeight="1" thickBot="1" x14ac:dyDescent="0.3">
      <c r="A43" s="150">
        <v>45</v>
      </c>
      <c r="B43" s="14" t="s">
        <v>54</v>
      </c>
      <c r="C43" s="67">
        <v>1137</v>
      </c>
      <c r="D43" s="67">
        <v>1177</v>
      </c>
      <c r="E43" s="67">
        <v>1174</v>
      </c>
      <c r="F43" s="67">
        <v>1179</v>
      </c>
      <c r="G43" s="67">
        <v>1146</v>
      </c>
      <c r="H43" s="67">
        <v>1044</v>
      </c>
      <c r="I43" s="67">
        <v>892</v>
      </c>
      <c r="J43" s="67">
        <v>1058</v>
      </c>
      <c r="K43" s="67">
        <v>1267</v>
      </c>
      <c r="L43" s="67">
        <v>1493</v>
      </c>
      <c r="M43" s="67">
        <v>1695</v>
      </c>
      <c r="N43" s="67">
        <v>1853</v>
      </c>
      <c r="O43" s="67">
        <v>1999</v>
      </c>
      <c r="P43" s="67">
        <v>1971</v>
      </c>
      <c r="Q43" s="67">
        <v>2046</v>
      </c>
      <c r="R43" s="67">
        <v>2179</v>
      </c>
      <c r="S43" s="67">
        <v>2161</v>
      </c>
      <c r="T43" s="67">
        <v>2145</v>
      </c>
      <c r="U43" s="67">
        <v>2135</v>
      </c>
      <c r="V43" s="67">
        <v>2102</v>
      </c>
      <c r="W43" s="67">
        <v>2083</v>
      </c>
      <c r="X43" s="67">
        <v>2169</v>
      </c>
      <c r="Y43" s="67">
        <v>2150</v>
      </c>
      <c r="Z43" s="67">
        <v>2093</v>
      </c>
      <c r="AA43" s="67">
        <v>1996</v>
      </c>
      <c r="AB43" s="67">
        <v>2078</v>
      </c>
      <c r="AC43" s="67">
        <v>2160</v>
      </c>
      <c r="AD43" s="67">
        <v>2124</v>
      </c>
      <c r="AE43" s="151">
        <v>2042</v>
      </c>
    </row>
    <row r="44" spans="1:32" s="11" customFormat="1" ht="15" customHeight="1" thickBot="1" x14ac:dyDescent="0.3">
      <c r="A44" s="144" t="s">
        <v>55</v>
      </c>
      <c r="B44" s="9" t="s">
        <v>56</v>
      </c>
      <c r="C44" s="64">
        <v>9048</v>
      </c>
      <c r="D44" s="64">
        <v>9126</v>
      </c>
      <c r="E44" s="64">
        <v>9140</v>
      </c>
      <c r="F44" s="64">
        <v>9110</v>
      </c>
      <c r="G44" s="64">
        <v>9099</v>
      </c>
      <c r="H44" s="64">
        <v>8857</v>
      </c>
      <c r="I44" s="64">
        <v>8348</v>
      </c>
      <c r="J44" s="64">
        <v>9233</v>
      </c>
      <c r="K44" s="64">
        <v>10590</v>
      </c>
      <c r="L44" s="64">
        <v>11514</v>
      </c>
      <c r="M44" s="64">
        <v>12288</v>
      </c>
      <c r="N44" s="64">
        <v>13042</v>
      </c>
      <c r="O44" s="64">
        <v>13776</v>
      </c>
      <c r="P44" s="64">
        <v>14082</v>
      </c>
      <c r="Q44" s="64">
        <v>14344</v>
      </c>
      <c r="R44" s="64">
        <v>14848</v>
      </c>
      <c r="S44" s="64">
        <v>15025</v>
      </c>
      <c r="T44" s="64">
        <v>15171</v>
      </c>
      <c r="U44" s="64">
        <v>15093</v>
      </c>
      <c r="V44" s="64">
        <v>15329</v>
      </c>
      <c r="W44" s="64">
        <v>15446</v>
      </c>
      <c r="X44" s="64">
        <v>15777</v>
      </c>
      <c r="Y44" s="64">
        <v>15630</v>
      </c>
      <c r="Z44" s="64">
        <v>15250</v>
      </c>
      <c r="AA44" s="64">
        <v>14947</v>
      </c>
      <c r="AB44" s="64">
        <v>15226</v>
      </c>
      <c r="AC44" s="64">
        <v>15939</v>
      </c>
      <c r="AD44" s="64">
        <v>16064</v>
      </c>
      <c r="AE44" s="145">
        <v>16091</v>
      </c>
      <c r="AF44" s="10"/>
    </row>
    <row r="45" spans="1:32" ht="15" customHeight="1" x14ac:dyDescent="0.25">
      <c r="A45" s="146">
        <v>50</v>
      </c>
      <c r="B45" s="12" t="s">
        <v>57</v>
      </c>
      <c r="C45" s="65">
        <v>1502</v>
      </c>
      <c r="D45" s="65">
        <v>1538</v>
      </c>
      <c r="E45" s="65">
        <v>1561</v>
      </c>
      <c r="F45" s="65">
        <v>1557</v>
      </c>
      <c r="G45" s="65">
        <v>1537</v>
      </c>
      <c r="H45" s="65">
        <v>1487</v>
      </c>
      <c r="I45" s="65">
        <v>1418</v>
      </c>
      <c r="J45" s="65">
        <v>1583</v>
      </c>
      <c r="K45" s="65">
        <v>1795</v>
      </c>
      <c r="L45" s="65">
        <v>1905</v>
      </c>
      <c r="M45" s="65">
        <v>2001</v>
      </c>
      <c r="N45" s="65">
        <v>2083</v>
      </c>
      <c r="O45" s="65">
        <v>2102</v>
      </c>
      <c r="P45" s="65">
        <v>2109</v>
      </c>
      <c r="Q45" s="65">
        <v>2112</v>
      </c>
      <c r="R45" s="65">
        <v>2138</v>
      </c>
      <c r="S45" s="65">
        <v>2142</v>
      </c>
      <c r="T45" s="65">
        <v>2142</v>
      </c>
      <c r="U45" s="65">
        <v>2158</v>
      </c>
      <c r="V45" s="65">
        <v>2135</v>
      </c>
      <c r="W45" s="65">
        <v>2124</v>
      </c>
      <c r="X45" s="65">
        <v>2150</v>
      </c>
      <c r="Y45" s="65">
        <v>2130</v>
      </c>
      <c r="Z45" s="65">
        <v>2083</v>
      </c>
      <c r="AA45" s="65">
        <v>2053</v>
      </c>
      <c r="AB45" s="65">
        <v>2057</v>
      </c>
      <c r="AC45" s="65">
        <v>2080</v>
      </c>
      <c r="AD45" s="65">
        <v>2096</v>
      </c>
      <c r="AE45" s="147">
        <v>2065</v>
      </c>
    </row>
    <row r="46" spans="1:32" ht="15" customHeight="1" x14ac:dyDescent="0.25">
      <c r="A46" s="156">
        <v>51</v>
      </c>
      <c r="B46" s="17" t="s">
        <v>58</v>
      </c>
      <c r="C46" s="70">
        <v>2537</v>
      </c>
      <c r="D46" s="70">
        <v>2585</v>
      </c>
      <c r="E46" s="70">
        <v>2551</v>
      </c>
      <c r="F46" s="70">
        <v>2596</v>
      </c>
      <c r="G46" s="70">
        <v>2550</v>
      </c>
      <c r="H46" s="70">
        <v>2479</v>
      </c>
      <c r="I46" s="70">
        <v>2345</v>
      </c>
      <c r="J46" s="70">
        <v>2542</v>
      </c>
      <c r="K46" s="70">
        <v>2764</v>
      </c>
      <c r="L46" s="70">
        <v>2924</v>
      </c>
      <c r="M46" s="70">
        <v>3054</v>
      </c>
      <c r="N46" s="70">
        <v>3192</v>
      </c>
      <c r="O46" s="70">
        <v>3335</v>
      </c>
      <c r="P46" s="70">
        <v>3381</v>
      </c>
      <c r="Q46" s="70">
        <v>3422</v>
      </c>
      <c r="R46" s="70">
        <v>3479</v>
      </c>
      <c r="S46" s="70">
        <v>3514</v>
      </c>
      <c r="T46" s="70">
        <v>3524</v>
      </c>
      <c r="U46" s="70">
        <v>3507</v>
      </c>
      <c r="V46" s="70">
        <v>3521</v>
      </c>
      <c r="W46" s="70">
        <v>3477</v>
      </c>
      <c r="X46" s="70">
        <v>3466</v>
      </c>
      <c r="Y46" s="70">
        <v>3428</v>
      </c>
      <c r="Z46" s="70">
        <v>3350</v>
      </c>
      <c r="AA46" s="70">
        <v>3382</v>
      </c>
      <c r="AB46" s="70">
        <v>3446</v>
      </c>
      <c r="AC46" s="70">
        <v>3561</v>
      </c>
      <c r="AD46" s="70">
        <v>3567</v>
      </c>
      <c r="AE46" s="157">
        <v>3640</v>
      </c>
    </row>
    <row r="47" spans="1:32" ht="15" customHeight="1" thickBot="1" x14ac:dyDescent="0.3">
      <c r="A47" s="158">
        <v>52</v>
      </c>
      <c r="B47" s="18" t="s">
        <v>59</v>
      </c>
      <c r="C47" s="71">
        <v>5009</v>
      </c>
      <c r="D47" s="71">
        <v>5003</v>
      </c>
      <c r="E47" s="71">
        <v>5028</v>
      </c>
      <c r="F47" s="71">
        <v>4957</v>
      </c>
      <c r="G47" s="71">
        <v>5012</v>
      </c>
      <c r="H47" s="71">
        <v>4891</v>
      </c>
      <c r="I47" s="71">
        <v>4585</v>
      </c>
      <c r="J47" s="71">
        <v>5108</v>
      </c>
      <c r="K47" s="71">
        <v>6031</v>
      </c>
      <c r="L47" s="71">
        <v>6685</v>
      </c>
      <c r="M47" s="71">
        <v>7233</v>
      </c>
      <c r="N47" s="71">
        <v>7767</v>
      </c>
      <c r="O47" s="71">
        <v>8339</v>
      </c>
      <c r="P47" s="71">
        <v>8592</v>
      </c>
      <c r="Q47" s="71">
        <v>8810</v>
      </c>
      <c r="R47" s="71">
        <v>9231</v>
      </c>
      <c r="S47" s="71">
        <v>9369</v>
      </c>
      <c r="T47" s="71">
        <v>9505</v>
      </c>
      <c r="U47" s="71">
        <v>9428</v>
      </c>
      <c r="V47" s="71">
        <v>9673</v>
      </c>
      <c r="W47" s="71">
        <v>9845</v>
      </c>
      <c r="X47" s="71">
        <v>10161</v>
      </c>
      <c r="Y47" s="71">
        <v>10072</v>
      </c>
      <c r="Z47" s="71">
        <v>9817</v>
      </c>
      <c r="AA47" s="71">
        <v>9512</v>
      </c>
      <c r="AB47" s="71">
        <v>9723</v>
      </c>
      <c r="AC47" s="71">
        <v>10298</v>
      </c>
      <c r="AD47" s="71">
        <v>10401</v>
      </c>
      <c r="AE47" s="159">
        <v>10386</v>
      </c>
    </row>
    <row r="48" spans="1:32" s="11" customFormat="1" ht="15" customHeight="1" thickBot="1" x14ac:dyDescent="0.3">
      <c r="A48" s="160" t="s">
        <v>60</v>
      </c>
      <c r="B48" s="19" t="s">
        <v>61</v>
      </c>
      <c r="C48" s="64">
        <v>903</v>
      </c>
      <c r="D48" s="64">
        <v>858</v>
      </c>
      <c r="E48" s="64">
        <v>868</v>
      </c>
      <c r="F48" s="64">
        <v>807</v>
      </c>
      <c r="G48" s="64">
        <v>802</v>
      </c>
      <c r="H48" s="64">
        <v>780</v>
      </c>
      <c r="I48" s="64">
        <v>713</v>
      </c>
      <c r="J48" s="64">
        <v>788</v>
      </c>
      <c r="K48" s="64">
        <v>972</v>
      </c>
      <c r="L48" s="64">
        <v>1108</v>
      </c>
      <c r="M48" s="64">
        <v>1242</v>
      </c>
      <c r="N48" s="64">
        <v>1313</v>
      </c>
      <c r="O48" s="64">
        <v>1430</v>
      </c>
      <c r="P48" s="64">
        <v>1498</v>
      </c>
      <c r="Q48" s="64">
        <v>1538</v>
      </c>
      <c r="R48" s="64">
        <v>1611</v>
      </c>
      <c r="S48" s="64">
        <v>1699</v>
      </c>
      <c r="T48" s="64">
        <v>1785</v>
      </c>
      <c r="U48" s="64">
        <v>1809</v>
      </c>
      <c r="V48" s="64">
        <v>1818</v>
      </c>
      <c r="W48" s="64">
        <v>1837</v>
      </c>
      <c r="X48" s="64">
        <v>1932</v>
      </c>
      <c r="Y48" s="64">
        <v>1879</v>
      </c>
      <c r="Z48" s="64">
        <v>1861</v>
      </c>
      <c r="AA48" s="64">
        <v>1687</v>
      </c>
      <c r="AB48" s="64">
        <v>1716</v>
      </c>
      <c r="AC48" s="64">
        <v>1897</v>
      </c>
      <c r="AD48" s="64">
        <v>1943</v>
      </c>
      <c r="AE48" s="145">
        <v>1887</v>
      </c>
      <c r="AF48" s="10"/>
    </row>
    <row r="49" spans="1:32" ht="15" customHeight="1" thickBot="1" x14ac:dyDescent="0.3">
      <c r="A49" s="150">
        <v>55</v>
      </c>
      <c r="B49" s="14" t="s">
        <v>62</v>
      </c>
      <c r="C49" s="67">
        <v>903</v>
      </c>
      <c r="D49" s="67">
        <v>858</v>
      </c>
      <c r="E49" s="67">
        <v>868</v>
      </c>
      <c r="F49" s="67">
        <v>807</v>
      </c>
      <c r="G49" s="67">
        <v>802</v>
      </c>
      <c r="H49" s="67">
        <v>780</v>
      </c>
      <c r="I49" s="67">
        <v>713</v>
      </c>
      <c r="J49" s="67">
        <v>788</v>
      </c>
      <c r="K49" s="67">
        <v>972</v>
      </c>
      <c r="L49" s="67">
        <v>1108</v>
      </c>
      <c r="M49" s="67">
        <v>1242</v>
      </c>
      <c r="N49" s="67">
        <v>1313</v>
      </c>
      <c r="O49" s="67">
        <v>1430</v>
      </c>
      <c r="P49" s="67">
        <v>1498</v>
      </c>
      <c r="Q49" s="67">
        <v>1538</v>
      </c>
      <c r="R49" s="67">
        <v>1611</v>
      </c>
      <c r="S49" s="67">
        <v>1699</v>
      </c>
      <c r="T49" s="67">
        <v>1785</v>
      </c>
      <c r="U49" s="67">
        <v>1809</v>
      </c>
      <c r="V49" s="67">
        <v>1818</v>
      </c>
      <c r="W49" s="67">
        <v>1837</v>
      </c>
      <c r="X49" s="67">
        <v>1932</v>
      </c>
      <c r="Y49" s="67">
        <v>1879</v>
      </c>
      <c r="Z49" s="67">
        <v>1861</v>
      </c>
      <c r="AA49" s="67">
        <v>1687</v>
      </c>
      <c r="AB49" s="67">
        <v>1716</v>
      </c>
      <c r="AC49" s="67">
        <v>1897</v>
      </c>
      <c r="AD49" s="67">
        <v>1943</v>
      </c>
      <c r="AE49" s="151">
        <v>1887</v>
      </c>
    </row>
    <row r="50" spans="1:32" s="11" customFormat="1" ht="15" customHeight="1" thickBot="1" x14ac:dyDescent="0.3">
      <c r="A50" s="144" t="s">
        <v>63</v>
      </c>
      <c r="B50" s="9" t="s">
        <v>64</v>
      </c>
      <c r="C50" s="64">
        <v>2208</v>
      </c>
      <c r="D50" s="64">
        <v>2351</v>
      </c>
      <c r="E50" s="64">
        <v>2562</v>
      </c>
      <c r="F50" s="64">
        <v>3169</v>
      </c>
      <c r="G50" s="64">
        <v>3263</v>
      </c>
      <c r="H50" s="64">
        <v>3208</v>
      </c>
      <c r="I50" s="64">
        <v>2947</v>
      </c>
      <c r="J50" s="64">
        <v>3475</v>
      </c>
      <c r="K50" s="64">
        <v>4137</v>
      </c>
      <c r="L50" s="64">
        <v>4789</v>
      </c>
      <c r="M50" s="64">
        <v>5342</v>
      </c>
      <c r="N50" s="64">
        <v>6032</v>
      </c>
      <c r="O50" s="64">
        <v>6476</v>
      </c>
      <c r="P50" s="64">
        <v>6561</v>
      </c>
      <c r="Q50" s="64">
        <v>6781</v>
      </c>
      <c r="R50" s="64">
        <v>7052</v>
      </c>
      <c r="S50" s="64">
        <v>7126</v>
      </c>
      <c r="T50" s="64">
        <v>7319</v>
      </c>
      <c r="U50" s="64">
        <v>7356</v>
      </c>
      <c r="V50" s="64">
        <v>7354</v>
      </c>
      <c r="W50" s="64">
        <v>7206</v>
      </c>
      <c r="X50" s="64">
        <v>7208</v>
      </c>
      <c r="Y50" s="64">
        <v>6996</v>
      </c>
      <c r="Z50" s="64">
        <v>6706</v>
      </c>
      <c r="AA50" s="64">
        <v>6381</v>
      </c>
      <c r="AB50" s="64">
        <v>6414</v>
      </c>
      <c r="AC50" s="64">
        <v>6552</v>
      </c>
      <c r="AD50" s="64">
        <v>6433</v>
      </c>
      <c r="AE50" s="145">
        <v>6020</v>
      </c>
      <c r="AF50" s="10"/>
    </row>
    <row r="51" spans="1:32" ht="15" customHeight="1" x14ac:dyDescent="0.25">
      <c r="A51" s="152">
        <v>60</v>
      </c>
      <c r="B51" s="15" t="s">
        <v>65</v>
      </c>
      <c r="C51" s="68">
        <v>1661</v>
      </c>
      <c r="D51" s="68">
        <v>1753</v>
      </c>
      <c r="E51" s="68">
        <v>1921</v>
      </c>
      <c r="F51" s="68">
        <v>2493</v>
      </c>
      <c r="G51" s="68">
        <v>2574</v>
      </c>
      <c r="H51" s="68">
        <v>2526</v>
      </c>
      <c r="I51" s="68">
        <v>2324</v>
      </c>
      <c r="J51" s="68">
        <v>2794</v>
      </c>
      <c r="K51" s="68">
        <v>3357</v>
      </c>
      <c r="L51" s="68">
        <v>3966</v>
      </c>
      <c r="M51" s="68">
        <v>4481</v>
      </c>
      <c r="N51" s="68">
        <v>5138</v>
      </c>
      <c r="O51" s="68">
        <v>5549</v>
      </c>
      <c r="P51" s="68">
        <v>5615</v>
      </c>
      <c r="Q51" s="68">
        <v>5806</v>
      </c>
      <c r="R51" s="68">
        <v>6046</v>
      </c>
      <c r="S51" s="68">
        <v>6117</v>
      </c>
      <c r="T51" s="68">
        <v>6299</v>
      </c>
      <c r="U51" s="68">
        <v>6320</v>
      </c>
      <c r="V51" s="68">
        <v>6300</v>
      </c>
      <c r="W51" s="68">
        <v>6135</v>
      </c>
      <c r="X51" s="68">
        <v>6126</v>
      </c>
      <c r="Y51" s="68">
        <v>5919</v>
      </c>
      <c r="Z51" s="68">
        <v>5673</v>
      </c>
      <c r="AA51" s="68">
        <v>5385</v>
      </c>
      <c r="AB51" s="68">
        <v>5426</v>
      </c>
      <c r="AC51" s="68">
        <v>5531</v>
      </c>
      <c r="AD51" s="68">
        <v>5404</v>
      </c>
      <c r="AE51" s="153">
        <v>4974</v>
      </c>
    </row>
    <row r="52" spans="1:32" ht="15" customHeight="1" x14ac:dyDescent="0.25">
      <c r="A52" s="161">
        <v>61</v>
      </c>
      <c r="B52" s="20" t="s">
        <v>66</v>
      </c>
      <c r="C52" s="73">
        <v>10</v>
      </c>
      <c r="D52" s="73">
        <v>9</v>
      </c>
      <c r="E52" s="73">
        <v>9</v>
      </c>
      <c r="F52" s="73">
        <v>9</v>
      </c>
      <c r="G52" s="73">
        <v>10</v>
      </c>
      <c r="H52" s="73">
        <v>12</v>
      </c>
      <c r="I52" s="73">
        <v>11</v>
      </c>
      <c r="J52" s="73">
        <v>15</v>
      </c>
      <c r="K52" s="73">
        <v>19</v>
      </c>
      <c r="L52" s="73">
        <v>21</v>
      </c>
      <c r="M52" s="73">
        <v>21</v>
      </c>
      <c r="N52" s="73">
        <v>24</v>
      </c>
      <c r="O52" s="73">
        <v>28</v>
      </c>
      <c r="P52" s="73">
        <v>31</v>
      </c>
      <c r="Q52" s="73">
        <v>30</v>
      </c>
      <c r="R52" s="73">
        <v>31</v>
      </c>
      <c r="S52" s="73">
        <v>29</v>
      </c>
      <c r="T52" s="73">
        <v>25</v>
      </c>
      <c r="U52" s="73">
        <v>24</v>
      </c>
      <c r="V52" s="73">
        <v>23</v>
      </c>
      <c r="W52" s="73">
        <v>24</v>
      </c>
      <c r="X52" s="73">
        <v>22</v>
      </c>
      <c r="Y52" s="73">
        <v>24</v>
      </c>
      <c r="Z52" s="73">
        <v>27</v>
      </c>
      <c r="AA52" s="73">
        <v>26</v>
      </c>
      <c r="AB52" s="73">
        <v>26</v>
      </c>
      <c r="AC52" s="73">
        <v>28</v>
      </c>
      <c r="AD52" s="73">
        <v>27</v>
      </c>
      <c r="AE52" s="162">
        <v>24</v>
      </c>
    </row>
    <row r="53" spans="1:32" ht="15" customHeight="1" x14ac:dyDescent="0.25">
      <c r="A53" s="152">
        <v>62</v>
      </c>
      <c r="B53" s="15" t="s">
        <v>67</v>
      </c>
      <c r="C53" s="68">
        <v>5</v>
      </c>
      <c r="D53" s="68">
        <v>8</v>
      </c>
      <c r="E53" s="68">
        <v>10</v>
      </c>
      <c r="F53" s="68">
        <v>10</v>
      </c>
      <c r="G53" s="68">
        <v>9</v>
      </c>
      <c r="H53" s="68">
        <v>11</v>
      </c>
      <c r="I53" s="68">
        <v>10</v>
      </c>
      <c r="J53" s="68">
        <v>10</v>
      </c>
      <c r="K53" s="68">
        <v>9</v>
      </c>
      <c r="L53" s="68">
        <v>12</v>
      </c>
      <c r="M53" s="68">
        <v>10</v>
      </c>
      <c r="N53" s="68">
        <v>9</v>
      </c>
      <c r="O53" s="68">
        <v>9</v>
      </c>
      <c r="P53" s="68">
        <v>10</v>
      </c>
      <c r="Q53" s="68">
        <v>13</v>
      </c>
      <c r="R53" s="68">
        <v>13</v>
      </c>
      <c r="S53" s="68">
        <v>10</v>
      </c>
      <c r="T53" s="68">
        <v>10</v>
      </c>
      <c r="U53" s="68">
        <v>9</v>
      </c>
      <c r="V53" s="68">
        <v>10</v>
      </c>
      <c r="W53" s="68">
        <v>12</v>
      </c>
      <c r="X53" s="68">
        <v>12</v>
      </c>
      <c r="Y53" s="68">
        <v>13</v>
      </c>
      <c r="Z53" s="68">
        <v>14</v>
      </c>
      <c r="AA53" s="68">
        <v>12</v>
      </c>
      <c r="AB53" s="68">
        <v>10</v>
      </c>
      <c r="AC53" s="68">
        <v>8</v>
      </c>
      <c r="AD53" s="68">
        <v>8</v>
      </c>
      <c r="AE53" s="153">
        <v>8</v>
      </c>
    </row>
    <row r="54" spans="1:32" ht="15" customHeight="1" x14ac:dyDescent="0.25">
      <c r="A54" s="163">
        <v>63</v>
      </c>
      <c r="B54" s="21" t="s">
        <v>68</v>
      </c>
      <c r="C54" s="74">
        <v>333</v>
      </c>
      <c r="D54" s="74">
        <v>351</v>
      </c>
      <c r="E54" s="74">
        <v>372</v>
      </c>
      <c r="F54" s="74">
        <v>364</v>
      </c>
      <c r="G54" s="74">
        <v>372</v>
      </c>
      <c r="H54" s="74">
        <v>370</v>
      </c>
      <c r="I54" s="74">
        <v>332</v>
      </c>
      <c r="J54" s="74">
        <v>374</v>
      </c>
      <c r="K54" s="74">
        <v>450</v>
      </c>
      <c r="L54" s="74">
        <v>497</v>
      </c>
      <c r="M54" s="74">
        <v>544</v>
      </c>
      <c r="N54" s="74">
        <v>587</v>
      </c>
      <c r="O54" s="74">
        <v>618</v>
      </c>
      <c r="P54" s="74">
        <v>642</v>
      </c>
      <c r="Q54" s="74">
        <v>674</v>
      </c>
      <c r="R54" s="74">
        <v>716</v>
      </c>
      <c r="S54" s="74">
        <v>726</v>
      </c>
      <c r="T54" s="74">
        <v>748</v>
      </c>
      <c r="U54" s="74">
        <v>759</v>
      </c>
      <c r="V54" s="74">
        <v>781</v>
      </c>
      <c r="W54" s="74">
        <v>797</v>
      </c>
      <c r="X54" s="74">
        <v>820</v>
      </c>
      <c r="Y54" s="74">
        <v>820</v>
      </c>
      <c r="Z54" s="74">
        <v>782</v>
      </c>
      <c r="AA54" s="74">
        <v>750</v>
      </c>
      <c r="AB54" s="74">
        <v>735</v>
      </c>
      <c r="AC54" s="74">
        <v>770</v>
      </c>
      <c r="AD54" s="74">
        <v>786</v>
      </c>
      <c r="AE54" s="164">
        <v>803</v>
      </c>
    </row>
    <row r="55" spans="1:32" ht="15" customHeight="1" thickBot="1" x14ac:dyDescent="0.3">
      <c r="A55" s="152">
        <v>64</v>
      </c>
      <c r="B55" s="15" t="s">
        <v>99</v>
      </c>
      <c r="C55" s="68">
        <v>199</v>
      </c>
      <c r="D55" s="68">
        <v>230</v>
      </c>
      <c r="E55" s="68">
        <v>250</v>
      </c>
      <c r="F55" s="68">
        <v>293</v>
      </c>
      <c r="G55" s="68">
        <v>298</v>
      </c>
      <c r="H55" s="68">
        <v>289</v>
      </c>
      <c r="I55" s="68">
        <v>270</v>
      </c>
      <c r="J55" s="68">
        <v>282</v>
      </c>
      <c r="K55" s="68">
        <v>302</v>
      </c>
      <c r="L55" s="68">
        <v>293</v>
      </c>
      <c r="M55" s="68">
        <v>286</v>
      </c>
      <c r="N55" s="68">
        <v>274</v>
      </c>
      <c r="O55" s="68">
        <v>272</v>
      </c>
      <c r="P55" s="68">
        <v>263</v>
      </c>
      <c r="Q55" s="68">
        <v>258</v>
      </c>
      <c r="R55" s="68">
        <v>246</v>
      </c>
      <c r="S55" s="68">
        <v>244</v>
      </c>
      <c r="T55" s="68">
        <v>237</v>
      </c>
      <c r="U55" s="68">
        <v>244</v>
      </c>
      <c r="V55" s="68">
        <v>240</v>
      </c>
      <c r="W55" s="68">
        <v>238</v>
      </c>
      <c r="X55" s="68">
        <v>228</v>
      </c>
      <c r="Y55" s="68">
        <v>220</v>
      </c>
      <c r="Z55" s="68">
        <v>210</v>
      </c>
      <c r="AA55" s="68">
        <v>208</v>
      </c>
      <c r="AB55" s="68">
        <v>217</v>
      </c>
      <c r="AC55" s="68">
        <v>215</v>
      </c>
      <c r="AD55" s="68">
        <v>208</v>
      </c>
      <c r="AE55" s="153">
        <v>211</v>
      </c>
    </row>
    <row r="56" spans="1:32" s="11" customFormat="1" ht="15" customHeight="1" thickBot="1" x14ac:dyDescent="0.3">
      <c r="A56" s="144" t="s">
        <v>70</v>
      </c>
      <c r="B56" s="9" t="s">
        <v>71</v>
      </c>
      <c r="C56" s="64">
        <v>414</v>
      </c>
      <c r="D56" s="64">
        <v>423</v>
      </c>
      <c r="E56" s="64">
        <v>435</v>
      </c>
      <c r="F56" s="64">
        <v>451</v>
      </c>
      <c r="G56" s="64">
        <v>468</v>
      </c>
      <c r="H56" s="64">
        <v>441</v>
      </c>
      <c r="I56" s="64">
        <v>419</v>
      </c>
      <c r="J56" s="64">
        <v>445</v>
      </c>
      <c r="K56" s="64">
        <v>479</v>
      </c>
      <c r="L56" s="64">
        <v>519</v>
      </c>
      <c r="M56" s="64">
        <v>535</v>
      </c>
      <c r="N56" s="64">
        <v>572</v>
      </c>
      <c r="O56" s="64">
        <v>589</v>
      </c>
      <c r="P56" s="64">
        <v>578</v>
      </c>
      <c r="Q56" s="64">
        <v>615</v>
      </c>
      <c r="R56" s="64">
        <v>618</v>
      </c>
      <c r="S56" s="64">
        <v>617</v>
      </c>
      <c r="T56" s="64">
        <v>631</v>
      </c>
      <c r="U56" s="64">
        <v>623</v>
      </c>
      <c r="V56" s="64">
        <v>636</v>
      </c>
      <c r="W56" s="64">
        <v>651</v>
      </c>
      <c r="X56" s="64">
        <v>670</v>
      </c>
      <c r="Y56" s="64">
        <v>668</v>
      </c>
      <c r="Z56" s="64">
        <v>666</v>
      </c>
      <c r="AA56" s="64">
        <v>667</v>
      </c>
      <c r="AB56" s="64">
        <v>674</v>
      </c>
      <c r="AC56" s="64">
        <v>658</v>
      </c>
      <c r="AD56" s="64">
        <v>658</v>
      </c>
      <c r="AE56" s="145">
        <v>636</v>
      </c>
      <c r="AF56" s="10"/>
    </row>
    <row r="57" spans="1:32" ht="15" customHeight="1" x14ac:dyDescent="0.25">
      <c r="A57" s="152">
        <v>65</v>
      </c>
      <c r="B57" s="15" t="s">
        <v>72</v>
      </c>
      <c r="C57" s="68">
        <v>146</v>
      </c>
      <c r="D57" s="68">
        <v>148</v>
      </c>
      <c r="E57" s="68">
        <v>156</v>
      </c>
      <c r="F57" s="68">
        <v>168</v>
      </c>
      <c r="G57" s="68">
        <v>173</v>
      </c>
      <c r="H57" s="68">
        <v>158</v>
      </c>
      <c r="I57" s="68">
        <v>142</v>
      </c>
      <c r="J57" s="68">
        <v>142</v>
      </c>
      <c r="K57" s="68">
        <v>146</v>
      </c>
      <c r="L57" s="68">
        <v>155</v>
      </c>
      <c r="M57" s="68">
        <v>152</v>
      </c>
      <c r="N57" s="68">
        <v>156</v>
      </c>
      <c r="O57" s="68">
        <v>154</v>
      </c>
      <c r="P57" s="68">
        <v>147</v>
      </c>
      <c r="Q57" s="68">
        <v>154</v>
      </c>
      <c r="R57" s="68">
        <v>158</v>
      </c>
      <c r="S57" s="68">
        <v>154</v>
      </c>
      <c r="T57" s="68">
        <v>149</v>
      </c>
      <c r="U57" s="68">
        <v>142</v>
      </c>
      <c r="V57" s="68">
        <v>143</v>
      </c>
      <c r="W57" s="68">
        <v>148</v>
      </c>
      <c r="X57" s="68">
        <v>149</v>
      </c>
      <c r="Y57" s="68">
        <v>148</v>
      </c>
      <c r="Z57" s="68">
        <v>142</v>
      </c>
      <c r="AA57" s="68">
        <v>142</v>
      </c>
      <c r="AB57" s="68">
        <v>138</v>
      </c>
      <c r="AC57" s="68">
        <v>130</v>
      </c>
      <c r="AD57" s="68">
        <v>123</v>
      </c>
      <c r="AE57" s="153">
        <v>125</v>
      </c>
    </row>
    <row r="58" spans="1:32" ht="15" customHeight="1" x14ac:dyDescent="0.25">
      <c r="A58" s="156">
        <v>66</v>
      </c>
      <c r="B58" s="17" t="s">
        <v>100</v>
      </c>
      <c r="C58" s="70">
        <v>99</v>
      </c>
      <c r="D58" s="70">
        <v>97</v>
      </c>
      <c r="E58" s="70">
        <v>95</v>
      </c>
      <c r="F58" s="70">
        <v>104</v>
      </c>
      <c r="G58" s="70">
        <v>107</v>
      </c>
      <c r="H58" s="70">
        <v>101</v>
      </c>
      <c r="I58" s="70">
        <v>102</v>
      </c>
      <c r="J58" s="70">
        <v>100</v>
      </c>
      <c r="K58" s="70">
        <v>103</v>
      </c>
      <c r="L58" s="70">
        <v>107</v>
      </c>
      <c r="M58" s="70">
        <v>105</v>
      </c>
      <c r="N58" s="70">
        <v>110</v>
      </c>
      <c r="O58" s="70">
        <v>104</v>
      </c>
      <c r="P58" s="70">
        <v>94</v>
      </c>
      <c r="Q58" s="70">
        <v>95</v>
      </c>
      <c r="R58" s="70">
        <v>96</v>
      </c>
      <c r="S58" s="70">
        <v>94</v>
      </c>
      <c r="T58" s="70">
        <v>95</v>
      </c>
      <c r="U58" s="70">
        <v>90</v>
      </c>
      <c r="V58" s="70">
        <v>91</v>
      </c>
      <c r="W58" s="70">
        <v>92</v>
      </c>
      <c r="X58" s="70">
        <v>93</v>
      </c>
      <c r="Y58" s="70">
        <v>95</v>
      </c>
      <c r="Z58" s="70">
        <v>94</v>
      </c>
      <c r="AA58" s="70">
        <v>91</v>
      </c>
      <c r="AB58" s="70">
        <v>91</v>
      </c>
      <c r="AC58" s="70">
        <v>90</v>
      </c>
      <c r="AD58" s="70">
        <v>90</v>
      </c>
      <c r="AE58" s="157">
        <v>90</v>
      </c>
    </row>
    <row r="59" spans="1:32" ht="15" customHeight="1" thickBot="1" x14ac:dyDescent="0.3">
      <c r="A59" s="152">
        <v>67</v>
      </c>
      <c r="B59" s="15" t="s">
        <v>74</v>
      </c>
      <c r="C59" s="68">
        <v>169</v>
      </c>
      <c r="D59" s="68">
        <v>178</v>
      </c>
      <c r="E59" s="68">
        <v>184</v>
      </c>
      <c r="F59" s="68">
        <v>179</v>
      </c>
      <c r="G59" s="68">
        <v>188</v>
      </c>
      <c r="H59" s="68">
        <v>182</v>
      </c>
      <c r="I59" s="68">
        <v>175</v>
      </c>
      <c r="J59" s="68">
        <v>203</v>
      </c>
      <c r="K59" s="68">
        <v>230</v>
      </c>
      <c r="L59" s="68">
        <v>257</v>
      </c>
      <c r="M59" s="68">
        <v>278</v>
      </c>
      <c r="N59" s="68">
        <v>306</v>
      </c>
      <c r="O59" s="68">
        <v>331</v>
      </c>
      <c r="P59" s="68">
        <v>337</v>
      </c>
      <c r="Q59" s="68">
        <v>366</v>
      </c>
      <c r="R59" s="68">
        <v>364</v>
      </c>
      <c r="S59" s="68">
        <v>369</v>
      </c>
      <c r="T59" s="68">
        <v>387</v>
      </c>
      <c r="U59" s="68">
        <v>391</v>
      </c>
      <c r="V59" s="68">
        <v>402</v>
      </c>
      <c r="W59" s="68">
        <v>411</v>
      </c>
      <c r="X59" s="68">
        <v>428</v>
      </c>
      <c r="Y59" s="68">
        <v>425</v>
      </c>
      <c r="Z59" s="68">
        <v>430</v>
      </c>
      <c r="AA59" s="68">
        <v>434</v>
      </c>
      <c r="AB59" s="68">
        <v>445</v>
      </c>
      <c r="AC59" s="68">
        <v>438</v>
      </c>
      <c r="AD59" s="68">
        <v>445</v>
      </c>
      <c r="AE59" s="153">
        <v>421</v>
      </c>
    </row>
    <row r="60" spans="1:32" s="11" customFormat="1" ht="15" customHeight="1" thickBot="1" x14ac:dyDescent="0.3">
      <c r="A60" s="144" t="s">
        <v>75</v>
      </c>
      <c r="B60" s="9" t="s">
        <v>76</v>
      </c>
      <c r="C60" s="64">
        <v>7654</v>
      </c>
      <c r="D60" s="64">
        <v>7803</v>
      </c>
      <c r="E60" s="64">
        <v>7842</v>
      </c>
      <c r="F60" s="64">
        <v>7915</v>
      </c>
      <c r="G60" s="64">
        <v>7930</v>
      </c>
      <c r="H60" s="64">
        <v>7776</v>
      </c>
      <c r="I60" s="64">
        <v>7499</v>
      </c>
      <c r="J60" s="64">
        <v>7932</v>
      </c>
      <c r="K60" s="64">
        <v>8550</v>
      </c>
      <c r="L60" s="64">
        <v>9057</v>
      </c>
      <c r="M60" s="64">
        <v>9385</v>
      </c>
      <c r="N60" s="64">
        <v>9531</v>
      </c>
      <c r="O60" s="64">
        <v>9456</v>
      </c>
      <c r="P60" s="64">
        <v>9263</v>
      </c>
      <c r="Q60" s="64">
        <v>9178</v>
      </c>
      <c r="R60" s="64">
        <v>9135</v>
      </c>
      <c r="S60" s="64">
        <v>8915</v>
      </c>
      <c r="T60" s="64">
        <v>8723</v>
      </c>
      <c r="U60" s="64">
        <v>8383</v>
      </c>
      <c r="V60" s="64">
        <v>8246</v>
      </c>
      <c r="W60" s="64">
        <v>7956</v>
      </c>
      <c r="X60" s="64">
        <v>7655</v>
      </c>
      <c r="Y60" s="64">
        <v>7443</v>
      </c>
      <c r="Z60" s="64">
        <v>7053</v>
      </c>
      <c r="AA60" s="64">
        <v>6666</v>
      </c>
      <c r="AB60" s="64">
        <v>6493</v>
      </c>
      <c r="AC60" s="64">
        <v>6357</v>
      </c>
      <c r="AD60" s="64">
        <v>6122</v>
      </c>
      <c r="AE60" s="145">
        <v>5798</v>
      </c>
      <c r="AF60" s="10"/>
    </row>
    <row r="61" spans="1:32" ht="15" customHeight="1" x14ac:dyDescent="0.25">
      <c r="A61" s="146">
        <v>70</v>
      </c>
      <c r="B61" s="12" t="s">
        <v>77</v>
      </c>
      <c r="C61" s="65">
        <v>4775</v>
      </c>
      <c r="D61" s="65">
        <v>4785</v>
      </c>
      <c r="E61" s="65">
        <v>4776</v>
      </c>
      <c r="F61" s="65">
        <v>4758</v>
      </c>
      <c r="G61" s="65">
        <v>4666</v>
      </c>
      <c r="H61" s="65">
        <v>4538</v>
      </c>
      <c r="I61" s="65">
        <v>4446</v>
      </c>
      <c r="J61" s="65">
        <v>4641</v>
      </c>
      <c r="K61" s="65">
        <v>4896</v>
      </c>
      <c r="L61" s="65">
        <v>5046</v>
      </c>
      <c r="M61" s="65">
        <v>5117</v>
      </c>
      <c r="N61" s="65">
        <v>5077</v>
      </c>
      <c r="O61" s="65">
        <v>4910</v>
      </c>
      <c r="P61" s="65">
        <v>4755</v>
      </c>
      <c r="Q61" s="65">
        <v>4612</v>
      </c>
      <c r="R61" s="65">
        <v>4526</v>
      </c>
      <c r="S61" s="65">
        <v>4328</v>
      </c>
      <c r="T61" s="65">
        <v>4148</v>
      </c>
      <c r="U61" s="65">
        <v>3893</v>
      </c>
      <c r="V61" s="65">
        <v>3745</v>
      </c>
      <c r="W61" s="65">
        <v>3514</v>
      </c>
      <c r="X61" s="65">
        <v>3246</v>
      </c>
      <c r="Y61" s="65">
        <v>3037</v>
      </c>
      <c r="Z61" s="65">
        <v>2787</v>
      </c>
      <c r="AA61" s="65">
        <v>2586</v>
      </c>
      <c r="AB61" s="65">
        <v>2409</v>
      </c>
      <c r="AC61" s="65">
        <v>2223</v>
      </c>
      <c r="AD61" s="65">
        <v>2082</v>
      </c>
      <c r="AE61" s="147">
        <v>1938</v>
      </c>
    </row>
    <row r="62" spans="1:32" ht="15" customHeight="1" x14ac:dyDescent="0.25">
      <c r="A62" s="156">
        <v>71</v>
      </c>
      <c r="B62" s="17" t="s">
        <v>78</v>
      </c>
      <c r="C62" s="70">
        <v>108</v>
      </c>
      <c r="D62" s="70">
        <v>107</v>
      </c>
      <c r="E62" s="70">
        <v>97</v>
      </c>
      <c r="F62" s="70">
        <v>97</v>
      </c>
      <c r="G62" s="70">
        <v>94</v>
      </c>
      <c r="H62" s="70">
        <v>99</v>
      </c>
      <c r="I62" s="70">
        <v>86</v>
      </c>
      <c r="J62" s="70">
        <v>95</v>
      </c>
      <c r="K62" s="70">
        <v>117</v>
      </c>
      <c r="L62" s="70">
        <v>136</v>
      </c>
      <c r="M62" s="70">
        <v>148</v>
      </c>
      <c r="N62" s="70">
        <v>161</v>
      </c>
      <c r="O62" s="70">
        <v>155</v>
      </c>
      <c r="P62" s="70">
        <v>152</v>
      </c>
      <c r="Q62" s="70">
        <v>151</v>
      </c>
      <c r="R62" s="70">
        <v>156</v>
      </c>
      <c r="S62" s="70">
        <v>153</v>
      </c>
      <c r="T62" s="70">
        <v>144</v>
      </c>
      <c r="U62" s="70">
        <v>138</v>
      </c>
      <c r="V62" s="70">
        <v>128</v>
      </c>
      <c r="W62" s="70">
        <v>125</v>
      </c>
      <c r="X62" s="70">
        <v>126</v>
      </c>
      <c r="Y62" s="70">
        <v>125</v>
      </c>
      <c r="Z62" s="70">
        <v>119</v>
      </c>
      <c r="AA62" s="70">
        <v>111</v>
      </c>
      <c r="AB62" s="70">
        <v>103</v>
      </c>
      <c r="AC62" s="70">
        <v>104</v>
      </c>
      <c r="AD62" s="70">
        <v>103</v>
      </c>
      <c r="AE62" s="157">
        <v>104</v>
      </c>
    </row>
    <row r="63" spans="1:32" ht="15" customHeight="1" x14ac:dyDescent="0.25">
      <c r="A63" s="156">
        <v>72</v>
      </c>
      <c r="B63" s="17" t="s">
        <v>79</v>
      </c>
      <c r="C63" s="70">
        <v>85</v>
      </c>
      <c r="D63" s="70">
        <v>96</v>
      </c>
      <c r="E63" s="70">
        <v>107</v>
      </c>
      <c r="F63" s="70">
        <v>107</v>
      </c>
      <c r="G63" s="70">
        <v>123</v>
      </c>
      <c r="H63" s="70">
        <v>121</v>
      </c>
      <c r="I63" s="70">
        <v>111</v>
      </c>
      <c r="J63" s="70">
        <v>138</v>
      </c>
      <c r="K63" s="70">
        <v>149</v>
      </c>
      <c r="L63" s="70">
        <v>182</v>
      </c>
      <c r="M63" s="70">
        <v>213</v>
      </c>
      <c r="N63" s="70">
        <v>248</v>
      </c>
      <c r="O63" s="70">
        <v>251</v>
      </c>
      <c r="P63" s="70">
        <v>256</v>
      </c>
      <c r="Q63" s="70">
        <v>268</v>
      </c>
      <c r="R63" s="70">
        <v>268</v>
      </c>
      <c r="S63" s="70">
        <v>274</v>
      </c>
      <c r="T63" s="70">
        <v>280</v>
      </c>
      <c r="U63" s="70">
        <v>300</v>
      </c>
      <c r="V63" s="70">
        <v>316</v>
      </c>
      <c r="W63" s="70">
        <v>335</v>
      </c>
      <c r="X63" s="70">
        <v>355</v>
      </c>
      <c r="Y63" s="70">
        <v>366</v>
      </c>
      <c r="Z63" s="70">
        <v>374</v>
      </c>
      <c r="AA63" s="70">
        <v>375</v>
      </c>
      <c r="AB63" s="70">
        <v>427</v>
      </c>
      <c r="AC63" s="70">
        <v>453</v>
      </c>
      <c r="AD63" s="70">
        <v>466</v>
      </c>
      <c r="AE63" s="157">
        <v>472</v>
      </c>
    </row>
    <row r="64" spans="1:32" ht="15" customHeight="1" x14ac:dyDescent="0.25">
      <c r="A64" s="156">
        <v>73</v>
      </c>
      <c r="B64" s="17" t="s">
        <v>80</v>
      </c>
      <c r="C64" s="70">
        <v>9</v>
      </c>
      <c r="D64" s="70">
        <v>9</v>
      </c>
      <c r="E64" s="70">
        <v>13</v>
      </c>
      <c r="F64" s="70">
        <v>14</v>
      </c>
      <c r="G64" s="70">
        <v>14</v>
      </c>
      <c r="H64" s="70">
        <v>12</v>
      </c>
      <c r="I64" s="70">
        <v>12</v>
      </c>
      <c r="J64" s="70">
        <v>19</v>
      </c>
      <c r="K64" s="70">
        <v>25</v>
      </c>
      <c r="L64" s="70">
        <v>26</v>
      </c>
      <c r="M64" s="70">
        <v>27</v>
      </c>
      <c r="N64" s="70">
        <v>28</v>
      </c>
      <c r="O64" s="70">
        <v>29</v>
      </c>
      <c r="P64" s="70">
        <v>32</v>
      </c>
      <c r="Q64" s="70">
        <v>31</v>
      </c>
      <c r="R64" s="70">
        <v>38</v>
      </c>
      <c r="S64" s="70">
        <v>41</v>
      </c>
      <c r="T64" s="70">
        <v>35</v>
      </c>
      <c r="U64" s="70">
        <v>36</v>
      </c>
      <c r="V64" s="70">
        <v>35</v>
      </c>
      <c r="W64" s="70">
        <v>39</v>
      </c>
      <c r="X64" s="70">
        <v>36</v>
      </c>
      <c r="Y64" s="70">
        <v>45</v>
      </c>
      <c r="Z64" s="70">
        <v>50</v>
      </c>
      <c r="AA64" s="70">
        <v>50</v>
      </c>
      <c r="AB64" s="70">
        <v>55</v>
      </c>
      <c r="AC64" s="70">
        <v>64</v>
      </c>
      <c r="AD64" s="70">
        <v>66</v>
      </c>
      <c r="AE64" s="157">
        <v>64</v>
      </c>
    </row>
    <row r="65" spans="1:32" ht="15" customHeight="1" x14ac:dyDescent="0.25">
      <c r="A65" s="156">
        <v>74</v>
      </c>
      <c r="B65" s="17" t="s">
        <v>81</v>
      </c>
      <c r="C65" s="70">
        <v>2667</v>
      </c>
      <c r="D65" s="70">
        <v>2796</v>
      </c>
      <c r="E65" s="70">
        <v>2835</v>
      </c>
      <c r="F65" s="70">
        <v>2921</v>
      </c>
      <c r="G65" s="70">
        <v>3013</v>
      </c>
      <c r="H65" s="70">
        <v>2986</v>
      </c>
      <c r="I65" s="70">
        <v>2825</v>
      </c>
      <c r="J65" s="70">
        <v>3018</v>
      </c>
      <c r="K65" s="70">
        <v>3339</v>
      </c>
      <c r="L65" s="70">
        <v>3642</v>
      </c>
      <c r="M65" s="70">
        <v>3854</v>
      </c>
      <c r="N65" s="70">
        <v>3993</v>
      </c>
      <c r="O65" s="70">
        <v>4083</v>
      </c>
      <c r="P65" s="70">
        <v>4039</v>
      </c>
      <c r="Q65" s="70">
        <v>4089</v>
      </c>
      <c r="R65" s="70">
        <v>4121</v>
      </c>
      <c r="S65" s="70">
        <v>4094</v>
      </c>
      <c r="T65" s="70">
        <v>4091</v>
      </c>
      <c r="U65" s="70">
        <v>3994</v>
      </c>
      <c r="V65" s="70">
        <v>3999</v>
      </c>
      <c r="W65" s="70">
        <v>3921</v>
      </c>
      <c r="X65" s="70">
        <v>3870</v>
      </c>
      <c r="Y65" s="70">
        <v>3853</v>
      </c>
      <c r="Z65" s="70">
        <v>3709</v>
      </c>
      <c r="AA65" s="70">
        <v>3528</v>
      </c>
      <c r="AB65" s="70">
        <v>3484</v>
      </c>
      <c r="AC65" s="70">
        <v>3499</v>
      </c>
      <c r="AD65" s="70">
        <v>3391</v>
      </c>
      <c r="AE65" s="157">
        <v>3207</v>
      </c>
    </row>
    <row r="66" spans="1:32" ht="15" customHeight="1" thickBot="1" x14ac:dyDescent="0.3">
      <c r="A66" s="158">
        <v>75</v>
      </c>
      <c r="B66" s="18" t="s">
        <v>185</v>
      </c>
      <c r="C66" s="71">
        <v>10</v>
      </c>
      <c r="D66" s="71">
        <v>10</v>
      </c>
      <c r="E66" s="71">
        <v>14</v>
      </c>
      <c r="F66" s="71">
        <v>18</v>
      </c>
      <c r="G66" s="71">
        <v>20</v>
      </c>
      <c r="H66" s="71">
        <v>20</v>
      </c>
      <c r="I66" s="71">
        <v>19</v>
      </c>
      <c r="J66" s="71">
        <v>21</v>
      </c>
      <c r="K66" s="71">
        <v>24</v>
      </c>
      <c r="L66" s="71">
        <v>25</v>
      </c>
      <c r="M66" s="71">
        <v>26</v>
      </c>
      <c r="N66" s="71">
        <v>24</v>
      </c>
      <c r="O66" s="71">
        <v>28</v>
      </c>
      <c r="P66" s="71">
        <v>29</v>
      </c>
      <c r="Q66" s="71">
        <v>27</v>
      </c>
      <c r="R66" s="71">
        <v>26</v>
      </c>
      <c r="S66" s="71">
        <v>25</v>
      </c>
      <c r="T66" s="71">
        <v>25</v>
      </c>
      <c r="U66" s="71">
        <v>22</v>
      </c>
      <c r="V66" s="71">
        <v>23</v>
      </c>
      <c r="W66" s="71">
        <v>22</v>
      </c>
      <c r="X66" s="71">
        <v>22</v>
      </c>
      <c r="Y66" s="71">
        <v>17</v>
      </c>
      <c r="Z66" s="71">
        <v>14</v>
      </c>
      <c r="AA66" s="71">
        <v>16</v>
      </c>
      <c r="AB66" s="71">
        <v>15</v>
      </c>
      <c r="AC66" s="71">
        <v>14</v>
      </c>
      <c r="AD66" s="71">
        <v>14</v>
      </c>
      <c r="AE66" s="159">
        <v>13</v>
      </c>
    </row>
    <row r="67" spans="1:32" s="11" customFormat="1" ht="15" customHeight="1" thickBot="1" x14ac:dyDescent="0.3">
      <c r="A67" s="160" t="s">
        <v>83</v>
      </c>
      <c r="B67" s="19" t="s">
        <v>84</v>
      </c>
      <c r="C67" s="64">
        <v>706</v>
      </c>
      <c r="D67" s="64">
        <v>733</v>
      </c>
      <c r="E67" s="64">
        <v>726</v>
      </c>
      <c r="F67" s="64">
        <v>738</v>
      </c>
      <c r="G67" s="64">
        <v>747</v>
      </c>
      <c r="H67" s="64">
        <v>754</v>
      </c>
      <c r="I67" s="64">
        <v>738</v>
      </c>
      <c r="J67" s="64">
        <v>760</v>
      </c>
      <c r="K67" s="64">
        <v>803</v>
      </c>
      <c r="L67" s="64">
        <v>831</v>
      </c>
      <c r="M67" s="64">
        <v>867</v>
      </c>
      <c r="N67" s="64">
        <v>880</v>
      </c>
      <c r="O67" s="64">
        <v>891</v>
      </c>
      <c r="P67" s="64">
        <v>950</v>
      </c>
      <c r="Q67" s="64">
        <v>984</v>
      </c>
      <c r="R67" s="64">
        <v>989</v>
      </c>
      <c r="S67" s="64">
        <v>1008</v>
      </c>
      <c r="T67" s="64">
        <v>1006</v>
      </c>
      <c r="U67" s="64">
        <v>993</v>
      </c>
      <c r="V67" s="64">
        <v>995</v>
      </c>
      <c r="W67" s="64">
        <v>1010</v>
      </c>
      <c r="X67" s="64">
        <v>1036</v>
      </c>
      <c r="Y67" s="64">
        <v>1052</v>
      </c>
      <c r="Z67" s="64">
        <v>1045</v>
      </c>
      <c r="AA67" s="64">
        <v>986</v>
      </c>
      <c r="AB67" s="64">
        <v>985</v>
      </c>
      <c r="AC67" s="64">
        <v>992</v>
      </c>
      <c r="AD67" s="64">
        <v>989</v>
      </c>
      <c r="AE67" s="145">
        <v>973</v>
      </c>
      <c r="AF67" s="10"/>
    </row>
    <row r="68" spans="1:32" ht="15" customHeight="1" thickBot="1" x14ac:dyDescent="0.3">
      <c r="A68" s="150">
        <v>80</v>
      </c>
      <c r="B68" s="14" t="s">
        <v>85</v>
      </c>
      <c r="C68" s="70">
        <v>706</v>
      </c>
      <c r="D68" s="67">
        <v>733</v>
      </c>
      <c r="E68" s="67">
        <v>726</v>
      </c>
      <c r="F68" s="67">
        <v>738</v>
      </c>
      <c r="G68" s="67">
        <v>747</v>
      </c>
      <c r="H68" s="67">
        <v>754</v>
      </c>
      <c r="I68" s="67">
        <v>738</v>
      </c>
      <c r="J68" s="67">
        <v>760</v>
      </c>
      <c r="K68" s="67">
        <v>803</v>
      </c>
      <c r="L68" s="67">
        <v>831</v>
      </c>
      <c r="M68" s="67">
        <v>867</v>
      </c>
      <c r="N68" s="67">
        <v>880</v>
      </c>
      <c r="O68" s="67">
        <v>891</v>
      </c>
      <c r="P68" s="67">
        <v>950</v>
      </c>
      <c r="Q68" s="67">
        <v>984</v>
      </c>
      <c r="R68" s="67">
        <v>989</v>
      </c>
      <c r="S68" s="67">
        <v>1008</v>
      </c>
      <c r="T68" s="67">
        <v>1006</v>
      </c>
      <c r="U68" s="67">
        <v>993</v>
      </c>
      <c r="V68" s="67">
        <v>995</v>
      </c>
      <c r="W68" s="67">
        <v>1010</v>
      </c>
      <c r="X68" s="67">
        <v>1036</v>
      </c>
      <c r="Y68" s="67">
        <v>1052</v>
      </c>
      <c r="Z68" s="67">
        <v>1045</v>
      </c>
      <c r="AA68" s="67">
        <v>986</v>
      </c>
      <c r="AB68" s="67">
        <v>985</v>
      </c>
      <c r="AC68" s="67">
        <v>992</v>
      </c>
      <c r="AD68" s="67">
        <v>989</v>
      </c>
      <c r="AE68" s="151">
        <v>973</v>
      </c>
    </row>
    <row r="69" spans="1:32" s="11" customFormat="1" ht="15" customHeight="1" thickBot="1" x14ac:dyDescent="0.3">
      <c r="A69" s="144" t="s">
        <v>86</v>
      </c>
      <c r="B69" s="9" t="s">
        <v>87</v>
      </c>
      <c r="C69" s="64">
        <v>1603</v>
      </c>
      <c r="D69" s="64">
        <v>1630</v>
      </c>
      <c r="E69" s="64">
        <v>1630</v>
      </c>
      <c r="F69" s="64">
        <v>1654</v>
      </c>
      <c r="G69" s="64">
        <v>1667</v>
      </c>
      <c r="H69" s="64">
        <v>1658</v>
      </c>
      <c r="I69" s="64">
        <v>1605</v>
      </c>
      <c r="J69" s="64">
        <v>1645</v>
      </c>
      <c r="K69" s="64">
        <v>1737</v>
      </c>
      <c r="L69" s="64">
        <v>1852</v>
      </c>
      <c r="M69" s="64">
        <v>1957</v>
      </c>
      <c r="N69" s="64">
        <v>2050</v>
      </c>
      <c r="O69" s="64">
        <v>2107</v>
      </c>
      <c r="P69" s="64">
        <v>2168</v>
      </c>
      <c r="Q69" s="64">
        <v>2231</v>
      </c>
      <c r="R69" s="64">
        <v>2277</v>
      </c>
      <c r="S69" s="64">
        <v>2337</v>
      </c>
      <c r="T69" s="64">
        <v>2378</v>
      </c>
      <c r="U69" s="64">
        <v>2411</v>
      </c>
      <c r="V69" s="64">
        <v>2437</v>
      </c>
      <c r="W69" s="64">
        <v>2425</v>
      </c>
      <c r="X69" s="64">
        <v>2429</v>
      </c>
      <c r="Y69" s="64">
        <v>2427</v>
      </c>
      <c r="Z69" s="64">
        <v>2425</v>
      </c>
      <c r="AA69" s="64">
        <v>2320</v>
      </c>
      <c r="AB69" s="64">
        <v>2311</v>
      </c>
      <c r="AC69" s="64">
        <v>2315</v>
      </c>
      <c r="AD69" s="64">
        <v>2291</v>
      </c>
      <c r="AE69" s="145">
        <v>2223</v>
      </c>
      <c r="AF69" s="10"/>
    </row>
    <row r="70" spans="1:32" ht="15" customHeight="1" thickBot="1" x14ac:dyDescent="0.3">
      <c r="A70" s="150">
        <v>85</v>
      </c>
      <c r="B70" s="14" t="s">
        <v>88</v>
      </c>
      <c r="C70" s="67">
        <v>1603</v>
      </c>
      <c r="D70" s="67">
        <v>1630</v>
      </c>
      <c r="E70" s="67">
        <v>1630</v>
      </c>
      <c r="F70" s="67">
        <v>1654</v>
      </c>
      <c r="G70" s="67">
        <v>1667</v>
      </c>
      <c r="H70" s="67">
        <v>1658</v>
      </c>
      <c r="I70" s="67">
        <v>1605</v>
      </c>
      <c r="J70" s="67">
        <v>1645</v>
      </c>
      <c r="K70" s="67">
        <v>1737</v>
      </c>
      <c r="L70" s="67">
        <v>1852</v>
      </c>
      <c r="M70" s="67">
        <v>1957</v>
      </c>
      <c r="N70" s="67">
        <v>2050</v>
      </c>
      <c r="O70" s="67">
        <v>2107</v>
      </c>
      <c r="P70" s="67">
        <v>2168</v>
      </c>
      <c r="Q70" s="67">
        <v>2231</v>
      </c>
      <c r="R70" s="67">
        <v>2277</v>
      </c>
      <c r="S70" s="67">
        <v>2337</v>
      </c>
      <c r="T70" s="67">
        <v>2378</v>
      </c>
      <c r="U70" s="67">
        <v>2411</v>
      </c>
      <c r="V70" s="67">
        <v>2437</v>
      </c>
      <c r="W70" s="67">
        <v>2425</v>
      </c>
      <c r="X70" s="67">
        <v>2429</v>
      </c>
      <c r="Y70" s="67">
        <v>2427</v>
      </c>
      <c r="Z70" s="67">
        <v>2425</v>
      </c>
      <c r="AA70" s="67">
        <v>2320</v>
      </c>
      <c r="AB70" s="67">
        <v>2311</v>
      </c>
      <c r="AC70" s="67">
        <v>2315</v>
      </c>
      <c r="AD70" s="67">
        <v>2291</v>
      </c>
      <c r="AE70" s="151">
        <v>2223</v>
      </c>
    </row>
    <row r="71" spans="1:32" s="11" customFormat="1" ht="15" customHeight="1" thickBot="1" x14ac:dyDescent="0.3">
      <c r="A71" s="144" t="s">
        <v>89</v>
      </c>
      <c r="B71" s="9" t="s">
        <v>90</v>
      </c>
      <c r="C71" s="64">
        <v>3302</v>
      </c>
      <c r="D71" s="64">
        <v>3340</v>
      </c>
      <c r="E71" s="64">
        <v>3336</v>
      </c>
      <c r="F71" s="64">
        <v>3418</v>
      </c>
      <c r="G71" s="64">
        <v>3477</v>
      </c>
      <c r="H71" s="64">
        <v>3429</v>
      </c>
      <c r="I71" s="64">
        <v>3235</v>
      </c>
      <c r="J71" s="64">
        <v>3528</v>
      </c>
      <c r="K71" s="64">
        <v>3979</v>
      </c>
      <c r="L71" s="64">
        <v>4271</v>
      </c>
      <c r="M71" s="64">
        <v>4487</v>
      </c>
      <c r="N71" s="64">
        <v>4490</v>
      </c>
      <c r="O71" s="64">
        <v>4508</v>
      </c>
      <c r="P71" s="64">
        <v>4432</v>
      </c>
      <c r="Q71" s="64">
        <v>4526</v>
      </c>
      <c r="R71" s="64">
        <v>4622</v>
      </c>
      <c r="S71" s="64">
        <v>4567</v>
      </c>
      <c r="T71" s="64">
        <v>4477</v>
      </c>
      <c r="U71" s="64">
        <v>4441</v>
      </c>
      <c r="V71" s="64">
        <v>4371</v>
      </c>
      <c r="W71" s="64">
        <v>4301</v>
      </c>
      <c r="X71" s="64">
        <v>4280</v>
      </c>
      <c r="Y71" s="64">
        <v>4155</v>
      </c>
      <c r="Z71" s="64">
        <v>3969</v>
      </c>
      <c r="AA71" s="64">
        <v>3689</v>
      </c>
      <c r="AB71" s="64">
        <v>3615</v>
      </c>
      <c r="AC71" s="64">
        <v>3625</v>
      </c>
      <c r="AD71" s="64">
        <v>3549</v>
      </c>
      <c r="AE71" s="145">
        <v>3340</v>
      </c>
      <c r="AF71" s="10"/>
    </row>
    <row r="72" spans="1:32" ht="15" customHeight="1" x14ac:dyDescent="0.25">
      <c r="A72" s="146">
        <v>90</v>
      </c>
      <c r="B72" s="12" t="s">
        <v>91</v>
      </c>
      <c r="C72" s="65">
        <v>59</v>
      </c>
      <c r="D72" s="65">
        <v>60</v>
      </c>
      <c r="E72" s="65">
        <v>54</v>
      </c>
      <c r="F72" s="65">
        <v>54</v>
      </c>
      <c r="G72" s="65">
        <v>67</v>
      </c>
      <c r="H72" s="65">
        <v>63</v>
      </c>
      <c r="I72" s="65">
        <v>58</v>
      </c>
      <c r="J72" s="65">
        <v>56</v>
      </c>
      <c r="K72" s="65">
        <v>54</v>
      </c>
      <c r="L72" s="65">
        <v>50</v>
      </c>
      <c r="M72" s="65">
        <v>60</v>
      </c>
      <c r="N72" s="65">
        <v>64</v>
      </c>
      <c r="O72" s="65">
        <v>64</v>
      </c>
      <c r="P72" s="65">
        <v>69</v>
      </c>
      <c r="Q72" s="65">
        <v>72</v>
      </c>
      <c r="R72" s="65">
        <v>76</v>
      </c>
      <c r="S72" s="65">
        <v>76</v>
      </c>
      <c r="T72" s="65">
        <v>78</v>
      </c>
      <c r="U72" s="65">
        <v>86</v>
      </c>
      <c r="V72" s="65">
        <v>85</v>
      </c>
      <c r="W72" s="65">
        <v>81</v>
      </c>
      <c r="X72" s="65">
        <v>84</v>
      </c>
      <c r="Y72" s="65">
        <v>79</v>
      </c>
      <c r="Z72" s="65">
        <v>77</v>
      </c>
      <c r="AA72" s="65">
        <v>79</v>
      </c>
      <c r="AB72" s="65">
        <v>77</v>
      </c>
      <c r="AC72" s="65">
        <v>82</v>
      </c>
      <c r="AD72" s="65">
        <v>83</v>
      </c>
      <c r="AE72" s="147">
        <v>76</v>
      </c>
    </row>
    <row r="73" spans="1:32" ht="15" customHeight="1" x14ac:dyDescent="0.25">
      <c r="A73" s="156">
        <v>91</v>
      </c>
      <c r="B73" s="17" t="s">
        <v>92</v>
      </c>
      <c r="C73" s="70">
        <v>1297</v>
      </c>
      <c r="D73" s="70">
        <v>1324</v>
      </c>
      <c r="E73" s="70">
        <v>1330</v>
      </c>
      <c r="F73" s="70">
        <v>1378</v>
      </c>
      <c r="G73" s="70">
        <v>1406</v>
      </c>
      <c r="H73" s="70">
        <v>1422</v>
      </c>
      <c r="I73" s="70">
        <v>1441</v>
      </c>
      <c r="J73" s="70">
        <v>1482</v>
      </c>
      <c r="K73" s="70">
        <v>1519</v>
      </c>
      <c r="L73" s="70">
        <v>1557</v>
      </c>
      <c r="M73" s="70">
        <v>1582</v>
      </c>
      <c r="N73" s="70">
        <v>1572</v>
      </c>
      <c r="O73" s="70">
        <v>1586</v>
      </c>
      <c r="P73" s="70">
        <v>1605</v>
      </c>
      <c r="Q73" s="70">
        <v>1628</v>
      </c>
      <c r="R73" s="70">
        <v>1660</v>
      </c>
      <c r="S73" s="70">
        <v>1686</v>
      </c>
      <c r="T73" s="70">
        <v>1691</v>
      </c>
      <c r="U73" s="70">
        <v>1714</v>
      </c>
      <c r="V73" s="70">
        <v>1730</v>
      </c>
      <c r="W73" s="70">
        <v>1742</v>
      </c>
      <c r="X73" s="70">
        <v>1731</v>
      </c>
      <c r="Y73" s="70">
        <v>1729</v>
      </c>
      <c r="Z73" s="70">
        <v>1722</v>
      </c>
      <c r="AA73" s="70">
        <v>1688</v>
      </c>
      <c r="AB73" s="70">
        <v>1693</v>
      </c>
      <c r="AC73" s="70">
        <v>1688</v>
      </c>
      <c r="AD73" s="70">
        <v>1672</v>
      </c>
      <c r="AE73" s="157">
        <v>1641</v>
      </c>
    </row>
    <row r="74" spans="1:32" ht="15" customHeight="1" x14ac:dyDescent="0.25">
      <c r="A74" s="156">
        <v>92</v>
      </c>
      <c r="B74" s="17" t="s">
        <v>93</v>
      </c>
      <c r="C74" s="70">
        <v>492</v>
      </c>
      <c r="D74" s="70">
        <v>495</v>
      </c>
      <c r="E74" s="70">
        <v>497</v>
      </c>
      <c r="F74" s="70">
        <v>485</v>
      </c>
      <c r="G74" s="70">
        <v>489</v>
      </c>
      <c r="H74" s="70">
        <v>485</v>
      </c>
      <c r="I74" s="70">
        <v>458</v>
      </c>
      <c r="J74" s="70">
        <v>477</v>
      </c>
      <c r="K74" s="70">
        <v>535</v>
      </c>
      <c r="L74" s="70">
        <v>604</v>
      </c>
      <c r="M74" s="70">
        <v>655</v>
      </c>
      <c r="N74" s="70">
        <v>690</v>
      </c>
      <c r="O74" s="70">
        <v>738</v>
      </c>
      <c r="P74" s="70">
        <v>776</v>
      </c>
      <c r="Q74" s="70">
        <v>815</v>
      </c>
      <c r="R74" s="70">
        <v>877</v>
      </c>
      <c r="S74" s="70">
        <v>896</v>
      </c>
      <c r="T74" s="70">
        <v>936</v>
      </c>
      <c r="U74" s="70">
        <v>929</v>
      </c>
      <c r="V74" s="70">
        <v>922</v>
      </c>
      <c r="W74" s="70">
        <v>924</v>
      </c>
      <c r="X74" s="70">
        <v>926</v>
      </c>
      <c r="Y74" s="70">
        <v>903</v>
      </c>
      <c r="Z74" s="70">
        <v>858</v>
      </c>
      <c r="AA74" s="70">
        <v>781</v>
      </c>
      <c r="AB74" s="70">
        <v>779</v>
      </c>
      <c r="AC74" s="70">
        <v>802</v>
      </c>
      <c r="AD74" s="70">
        <v>790</v>
      </c>
      <c r="AE74" s="157">
        <v>739</v>
      </c>
    </row>
    <row r="75" spans="1:32" ht="15" customHeight="1" thickBot="1" x14ac:dyDescent="0.3">
      <c r="A75" s="158">
        <v>93</v>
      </c>
      <c r="B75" s="18" t="s">
        <v>94</v>
      </c>
      <c r="C75" s="76">
        <v>1454</v>
      </c>
      <c r="D75" s="76">
        <v>1461</v>
      </c>
      <c r="E75" s="76">
        <v>1455</v>
      </c>
      <c r="F75" s="76">
        <v>1501</v>
      </c>
      <c r="G75" s="76">
        <v>1515</v>
      </c>
      <c r="H75" s="76">
        <v>1459</v>
      </c>
      <c r="I75" s="76">
        <v>1278</v>
      </c>
      <c r="J75" s="76">
        <v>1513</v>
      </c>
      <c r="K75" s="76">
        <v>1871</v>
      </c>
      <c r="L75" s="76">
        <v>2060</v>
      </c>
      <c r="M75" s="76">
        <v>2190</v>
      </c>
      <c r="N75" s="76">
        <v>2164</v>
      </c>
      <c r="O75" s="76">
        <v>2120</v>
      </c>
      <c r="P75" s="76">
        <v>1982</v>
      </c>
      <c r="Q75" s="76">
        <v>2011</v>
      </c>
      <c r="R75" s="76">
        <v>2009</v>
      </c>
      <c r="S75" s="76">
        <v>1909</v>
      </c>
      <c r="T75" s="76">
        <v>1772</v>
      </c>
      <c r="U75" s="76">
        <v>1712</v>
      </c>
      <c r="V75" s="76">
        <v>1634</v>
      </c>
      <c r="W75" s="76">
        <v>1554</v>
      </c>
      <c r="X75" s="76">
        <v>1539</v>
      </c>
      <c r="Y75" s="76">
        <v>1444</v>
      </c>
      <c r="Z75" s="76">
        <v>1312</v>
      </c>
      <c r="AA75" s="76">
        <v>1141</v>
      </c>
      <c r="AB75" s="76">
        <v>1066</v>
      </c>
      <c r="AC75" s="76">
        <v>1053</v>
      </c>
      <c r="AD75" s="76">
        <v>1004</v>
      </c>
      <c r="AE75" s="165">
        <v>884</v>
      </c>
    </row>
    <row r="76" spans="1:32" s="23" customFormat="1" ht="15" customHeight="1" thickBot="1" x14ac:dyDescent="0.3">
      <c r="A76" s="166"/>
      <c r="B76" s="167" t="s">
        <v>95</v>
      </c>
      <c r="C76" s="168">
        <v>39555</v>
      </c>
      <c r="D76" s="168">
        <v>40156</v>
      </c>
      <c r="E76" s="168">
        <v>40242</v>
      </c>
      <c r="F76" s="168">
        <v>40871</v>
      </c>
      <c r="G76" s="168">
        <v>40602</v>
      </c>
      <c r="H76" s="168">
        <v>39475</v>
      </c>
      <c r="I76" s="168">
        <v>37552</v>
      </c>
      <c r="J76" s="168">
        <v>40927</v>
      </c>
      <c r="K76" s="168">
        <v>45550</v>
      </c>
      <c r="L76" s="168">
        <v>49338</v>
      </c>
      <c r="M76" s="168">
        <v>52362</v>
      </c>
      <c r="N76" s="168">
        <v>54725</v>
      </c>
      <c r="O76" s="168">
        <v>56489</v>
      </c>
      <c r="P76" s="168">
        <v>56433</v>
      </c>
      <c r="Q76" s="168">
        <v>57296</v>
      </c>
      <c r="R76" s="168">
        <v>58869</v>
      </c>
      <c r="S76" s="168">
        <v>58825</v>
      </c>
      <c r="T76" s="168">
        <v>58787</v>
      </c>
      <c r="U76" s="168">
        <v>58198</v>
      </c>
      <c r="V76" s="168">
        <v>57949</v>
      </c>
      <c r="W76" s="168">
        <v>57368</v>
      </c>
      <c r="X76" s="168">
        <v>57387</v>
      </c>
      <c r="Y76" s="168">
        <v>56391</v>
      </c>
      <c r="Z76" s="168">
        <v>54843</v>
      </c>
      <c r="AA76" s="168">
        <v>53036</v>
      </c>
      <c r="AB76" s="168">
        <v>53359</v>
      </c>
      <c r="AC76" s="168">
        <v>54542</v>
      </c>
      <c r="AD76" s="168">
        <v>54032</v>
      </c>
      <c r="AE76" s="169">
        <v>52602</v>
      </c>
      <c r="AF76" s="22"/>
    </row>
    <row r="77" spans="1:32" ht="12" customHeight="1" x14ac:dyDescent="0.25">
      <c r="A77" s="7"/>
      <c r="B77" s="7"/>
      <c r="C77" s="7"/>
      <c r="D77" s="7"/>
      <c r="E77" s="24"/>
      <c r="F77" s="7"/>
      <c r="G77" s="25"/>
      <c r="H77" s="7"/>
      <c r="I77" s="7"/>
      <c r="J77" s="7"/>
      <c r="K77" s="7"/>
      <c r="L77" s="7"/>
      <c r="M77" s="7"/>
      <c r="N77" s="7"/>
      <c r="O77" s="7"/>
      <c r="P77" s="7"/>
      <c r="Q77" s="7"/>
      <c r="R77" s="7"/>
      <c r="S77" s="7"/>
      <c r="T77" s="7"/>
      <c r="U77" s="7"/>
      <c r="V77" s="7"/>
      <c r="W77" s="7"/>
      <c r="X77" s="7"/>
      <c r="Y77" s="7"/>
      <c r="Z77" s="7"/>
      <c r="AA77" s="7"/>
      <c r="AB77" s="7"/>
      <c r="AC77" s="7"/>
      <c r="AD77" s="7"/>
      <c r="AE77" s="7"/>
    </row>
    <row r="78" spans="1:32" ht="11.25" x14ac:dyDescent="0.25">
      <c r="A78" s="307" t="s">
        <v>96</v>
      </c>
      <c r="B78" s="307"/>
      <c r="C78" s="277"/>
      <c r="D78" s="277"/>
      <c r="E78" s="277"/>
      <c r="F78" s="26"/>
      <c r="G78" s="26"/>
      <c r="H78" s="7"/>
      <c r="I78" s="7"/>
      <c r="J78" s="7"/>
      <c r="K78" s="7"/>
      <c r="L78" s="7"/>
      <c r="M78" s="7"/>
      <c r="N78" s="7"/>
      <c r="O78" s="7"/>
      <c r="P78" s="7"/>
      <c r="Q78" s="7"/>
      <c r="R78" s="7"/>
      <c r="S78" s="7"/>
      <c r="T78" s="7"/>
      <c r="U78" s="7"/>
      <c r="V78" s="7"/>
      <c r="W78" s="7"/>
      <c r="X78" s="7"/>
      <c r="Y78" s="7"/>
      <c r="Z78" s="7"/>
      <c r="AA78" s="7"/>
      <c r="AB78" s="7"/>
      <c r="AC78" s="7"/>
      <c r="AD78" s="7"/>
      <c r="AE78" s="7"/>
    </row>
    <row r="79" spans="1:32" ht="26.45" customHeight="1" x14ac:dyDescent="0.25">
      <c r="A79" s="307" t="s">
        <v>381</v>
      </c>
      <c r="B79" s="307"/>
      <c r="C79" s="307"/>
      <c r="D79" s="277"/>
      <c r="E79" s="277"/>
      <c r="F79" s="277"/>
      <c r="G79" s="277"/>
      <c r="H79" s="27"/>
      <c r="I79" s="27"/>
      <c r="J79" s="27"/>
      <c r="K79" s="27"/>
      <c r="L79" s="7"/>
      <c r="M79" s="7"/>
      <c r="N79" s="7"/>
      <c r="O79" s="7"/>
      <c r="P79" s="7"/>
      <c r="Q79" s="7"/>
      <c r="R79" s="7"/>
      <c r="S79" s="7"/>
      <c r="T79" s="7"/>
      <c r="U79" s="7"/>
      <c r="V79" s="7"/>
      <c r="W79" s="7"/>
      <c r="X79" s="7"/>
      <c r="Y79" s="7"/>
      <c r="Z79" s="7"/>
      <c r="AA79" s="7"/>
      <c r="AB79" s="7"/>
      <c r="AC79" s="7"/>
      <c r="AD79" s="7"/>
      <c r="AE79" s="7"/>
    </row>
    <row r="80" spans="1:32" ht="26.45" customHeight="1" x14ac:dyDescent="0.25">
      <c r="A80" s="307" t="s">
        <v>382</v>
      </c>
      <c r="B80" s="307"/>
      <c r="C80" s="307"/>
      <c r="D80" s="277"/>
      <c r="E80" s="277"/>
      <c r="F80" s="277"/>
      <c r="G80" s="277"/>
      <c r="H80" s="27"/>
      <c r="I80" s="27"/>
      <c r="J80" s="27"/>
      <c r="K80" s="27"/>
      <c r="L80" s="7"/>
      <c r="M80" s="7"/>
      <c r="N80" s="7"/>
      <c r="O80" s="7"/>
      <c r="P80" s="7"/>
      <c r="Q80" s="7"/>
      <c r="R80" s="7"/>
      <c r="S80" s="7"/>
      <c r="T80" s="7"/>
      <c r="U80" s="7"/>
      <c r="V80" s="7"/>
      <c r="W80" s="7"/>
      <c r="X80" s="7"/>
      <c r="Y80" s="61"/>
      <c r="Z80" s="61"/>
      <c r="AA80" s="61"/>
      <c r="AB80" s="61"/>
      <c r="AC80" s="61"/>
      <c r="AD80" s="61"/>
      <c r="AE80" s="61"/>
    </row>
    <row r="81" spans="1:32" ht="26.45" customHeight="1" x14ac:dyDescent="0.25">
      <c r="A81" s="307" t="s">
        <v>151</v>
      </c>
      <c r="B81" s="307"/>
      <c r="C81" s="307"/>
      <c r="D81" s="277"/>
      <c r="E81" s="277"/>
      <c r="F81" s="277"/>
      <c r="G81" s="277"/>
      <c r="H81" s="27"/>
      <c r="I81" s="27"/>
      <c r="J81" s="27"/>
      <c r="K81" s="27"/>
      <c r="L81" s="7"/>
      <c r="M81" s="7"/>
      <c r="N81" s="7"/>
      <c r="O81" s="7"/>
      <c r="P81" s="7"/>
      <c r="Q81" s="7"/>
      <c r="R81" s="7"/>
      <c r="S81" s="7"/>
      <c r="T81" s="7"/>
      <c r="U81" s="7"/>
      <c r="V81" s="7"/>
      <c r="W81" s="7"/>
      <c r="X81" s="7"/>
      <c r="Y81" s="7"/>
      <c r="Z81" s="7"/>
      <c r="AA81" s="7"/>
      <c r="AB81" s="7"/>
      <c r="AC81" s="7"/>
      <c r="AD81" s="7"/>
      <c r="AE81" s="7"/>
    </row>
    <row r="82" spans="1:32" ht="46.5" customHeight="1" x14ac:dyDescent="0.25">
      <c r="A82" s="307" t="s">
        <v>384</v>
      </c>
      <c r="B82" s="307"/>
      <c r="C82" s="307"/>
      <c r="D82" s="307"/>
      <c r="E82" s="307"/>
      <c r="F82" s="307"/>
      <c r="G82" s="307"/>
      <c r="H82" s="28"/>
      <c r="I82" s="28"/>
      <c r="J82" s="28"/>
      <c r="K82" s="29"/>
      <c r="L82" s="29"/>
      <c r="M82" s="29"/>
      <c r="N82" s="29"/>
      <c r="O82" s="29"/>
      <c r="P82" s="29"/>
      <c r="Q82" s="29"/>
      <c r="R82" s="29"/>
      <c r="S82" s="29"/>
      <c r="T82" s="29"/>
      <c r="U82" s="29"/>
      <c r="V82" s="29"/>
      <c r="W82" s="29"/>
      <c r="X82" s="29"/>
      <c r="Y82" s="29"/>
      <c r="Z82" s="29"/>
      <c r="AA82" s="29"/>
      <c r="AB82" s="29"/>
      <c r="AC82" s="29"/>
      <c r="AD82" s="29"/>
      <c r="AE82" s="29"/>
      <c r="AF82" s="29"/>
    </row>
    <row r="83" spans="1:32" ht="19.899999999999999" customHeight="1" x14ac:dyDescent="0.25">
      <c r="A83" s="276"/>
      <c r="B83" s="276"/>
      <c r="C83" s="276"/>
      <c r="D83" s="276"/>
      <c r="E83" s="276"/>
      <c r="F83" s="276"/>
      <c r="G83" s="276"/>
      <c r="H83" s="28"/>
      <c r="I83" s="28"/>
      <c r="J83" s="28"/>
      <c r="K83" s="7"/>
      <c r="L83" s="7"/>
      <c r="M83" s="7"/>
      <c r="N83" s="7"/>
      <c r="O83" s="7"/>
      <c r="P83" s="7"/>
      <c r="Q83" s="7"/>
      <c r="R83" s="7"/>
      <c r="S83" s="7"/>
      <c r="T83" s="7"/>
      <c r="U83" s="7"/>
      <c r="V83" s="7"/>
      <c r="W83" s="7"/>
      <c r="X83" s="7"/>
      <c r="Y83" s="7"/>
      <c r="Z83" s="7"/>
      <c r="AA83" s="7"/>
      <c r="AB83" s="7"/>
      <c r="AC83" s="7"/>
      <c r="AD83" s="7"/>
      <c r="AE83" s="7"/>
    </row>
    <row r="84" spans="1:32" ht="6.75" customHeight="1" x14ac:dyDescent="0.25">
      <c r="A84" s="7"/>
      <c r="B84" s="7"/>
      <c r="C84" s="7"/>
      <c r="D84" s="7"/>
      <c r="E84" s="7"/>
      <c r="F84" s="7"/>
      <c r="G84" s="7"/>
      <c r="H84" s="7"/>
      <c r="I84" s="7"/>
      <c r="J84" s="7"/>
      <c r="K84" s="7"/>
      <c r="L84" s="7"/>
      <c r="M84" s="7"/>
      <c r="N84" s="7"/>
      <c r="O84" s="7"/>
      <c r="P84" s="7"/>
      <c r="Q84" s="7"/>
      <c r="R84" s="7"/>
      <c r="S84" s="7"/>
      <c r="T84" s="7"/>
      <c r="U84" s="7"/>
      <c r="V84" s="7"/>
      <c r="W84" s="7"/>
      <c r="X84" s="7"/>
      <c r="Y84" s="7"/>
      <c r="Z84" s="7"/>
      <c r="AA84" s="7"/>
      <c r="AB84" s="7"/>
      <c r="AC84" s="7"/>
      <c r="AD84" s="7"/>
      <c r="AE84" s="7"/>
    </row>
    <row r="85" spans="1:32" ht="0" hidden="1" customHeight="1" x14ac:dyDescent="0.25"/>
    <row r="86" spans="1:32" ht="0" hidden="1" customHeight="1" x14ac:dyDescent="0.25"/>
    <row r="87" spans="1:32" ht="0" hidden="1" customHeight="1" x14ac:dyDescent="0.25"/>
    <row r="88" spans="1:32" ht="0" hidden="1" customHeight="1" x14ac:dyDescent="0.25"/>
    <row r="89" spans="1:32" ht="0" hidden="1" customHeight="1" x14ac:dyDescent="0.25"/>
    <row r="90" spans="1:32" ht="0" hidden="1" customHeight="1" x14ac:dyDescent="0.25"/>
    <row r="91" spans="1:32" ht="0" hidden="1" customHeight="1" x14ac:dyDescent="0.25"/>
    <row r="92" spans="1:32" ht="0" hidden="1" customHeight="1" x14ac:dyDescent="0.25"/>
    <row r="93" spans="1:32" ht="0" hidden="1" customHeight="1" x14ac:dyDescent="0.25"/>
    <row r="94" spans="1:32" ht="0" hidden="1" customHeight="1" x14ac:dyDescent="0.25"/>
  </sheetData>
  <mergeCells count="37">
    <mergeCell ref="AE4:AE5"/>
    <mergeCell ref="G4:G5"/>
    <mergeCell ref="H4:H5"/>
    <mergeCell ref="I4:I5"/>
    <mergeCell ref="M4:M5"/>
    <mergeCell ref="V4:V5"/>
    <mergeCell ref="N4:N5"/>
    <mergeCell ref="Z4:Z5"/>
    <mergeCell ref="AA4:AA5"/>
    <mergeCell ref="J4:J5"/>
    <mergeCell ref="O4:O5"/>
    <mergeCell ref="P4:P5"/>
    <mergeCell ref="W4:W5"/>
    <mergeCell ref="Q4:Q5"/>
    <mergeCell ref="AD4:AD5"/>
    <mergeCell ref="AC4:AC5"/>
    <mergeCell ref="A82:G82"/>
    <mergeCell ref="X4:X5"/>
    <mergeCell ref="Y4:Y5"/>
    <mergeCell ref="U4:U5"/>
    <mergeCell ref="T4:T5"/>
    <mergeCell ref="S4:S5"/>
    <mergeCell ref="R4:R5"/>
    <mergeCell ref="A79:C79"/>
    <mergeCell ref="A80:C80"/>
    <mergeCell ref="A81:C81"/>
    <mergeCell ref="A78:B78"/>
    <mergeCell ref="K4:K5"/>
    <mergeCell ref="A4:A5"/>
    <mergeCell ref="L4:L5"/>
    <mergeCell ref="F4:F5"/>
    <mergeCell ref="AB4:AB5"/>
    <mergeCell ref="A2:C2"/>
    <mergeCell ref="B4:B5"/>
    <mergeCell ref="C4:C5"/>
    <mergeCell ref="D4:D5"/>
    <mergeCell ref="E4:E5"/>
  </mergeCells>
  <pageMargins left="0.74803149606299213" right="0.74803149606299213" top="0.98425196850393704" bottom="0.98425196850393704" header="0" footer="0"/>
  <pageSetup paperSize="9" scale="65" fitToWidth="19" orientation="portrait" r:id="rId1"/>
  <headerFooter alignWithMargins="0"/>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36"/>
  <dimension ref="A1:DW94"/>
  <sheetViews>
    <sheetView zoomScale="115" zoomScaleNormal="115" workbookViewId="0">
      <pane xSplit="2" ySplit="5" topLeftCell="C6" activePane="bottomRight" state="frozen"/>
      <selection activeCell="C6" sqref="C6"/>
      <selection pane="topRight" activeCell="C6" sqref="C6"/>
      <selection pane="bottomLeft" activeCell="C6" sqref="C6"/>
      <selection pane="bottomRight" activeCell="C6" sqref="C6"/>
    </sheetView>
  </sheetViews>
  <sheetFormatPr baseColWidth="10" defaultColWidth="0" defaultRowHeight="0" customHeight="1" zeroHeight="1" x14ac:dyDescent="0.25"/>
  <cols>
    <col min="1" max="1" width="5.7109375" style="8" customWidth="1"/>
    <col min="2" max="2" width="62.7109375" style="8" customWidth="1"/>
    <col min="3" max="4" width="11.140625" style="30" customWidth="1"/>
    <col min="5" max="6" width="11.140625" style="8" customWidth="1"/>
    <col min="7" max="7" width="11.140625" style="31" customWidth="1"/>
    <col min="8" max="31" width="11.140625" style="8" customWidth="1"/>
    <col min="32" max="32" width="5.42578125" style="7" customWidth="1"/>
    <col min="33" max="127" width="0" style="8" hidden="1" customWidth="1"/>
    <col min="128" max="16384" width="5.42578125" style="8" hidden="1"/>
  </cols>
  <sheetData>
    <row r="1" spans="1:32" s="5" customFormat="1" ht="25.5" customHeight="1" thickBot="1" x14ac:dyDescent="0.25">
      <c r="A1" s="1"/>
      <c r="B1" s="2"/>
      <c r="C1" s="3"/>
      <c r="D1" s="172" t="s">
        <v>0</v>
      </c>
      <c r="E1" s="171"/>
      <c r="F1" s="171"/>
      <c r="G1" s="173"/>
      <c r="H1" s="171"/>
      <c r="I1" s="171"/>
      <c r="J1" s="171"/>
      <c r="K1" s="171"/>
      <c r="L1" s="171"/>
      <c r="M1" s="171"/>
      <c r="N1" s="171"/>
      <c r="O1" s="171"/>
      <c r="P1" s="171"/>
      <c r="Q1" s="171"/>
      <c r="R1" s="171"/>
      <c r="S1" s="171"/>
      <c r="T1" s="171"/>
      <c r="U1" s="171"/>
      <c r="V1" s="171"/>
      <c r="W1" s="171"/>
      <c r="X1" s="171"/>
      <c r="Y1" s="171"/>
      <c r="Z1" s="171"/>
      <c r="AA1" s="171"/>
      <c r="AB1" s="171"/>
      <c r="AC1" s="171"/>
      <c r="AD1" s="171"/>
      <c r="AE1" s="171"/>
      <c r="AF1" s="2"/>
    </row>
    <row r="2" spans="1:32" ht="22.5" customHeight="1" thickBot="1" x14ac:dyDescent="0.3">
      <c r="A2" s="303" t="s">
        <v>113</v>
      </c>
      <c r="B2" s="304"/>
      <c r="C2" s="304"/>
      <c r="D2" s="140"/>
      <c r="E2" s="140"/>
      <c r="F2" s="140"/>
      <c r="G2" s="140"/>
      <c r="H2" s="140"/>
      <c r="I2" s="140"/>
      <c r="J2" s="140"/>
      <c r="K2" s="140"/>
      <c r="L2" s="140"/>
      <c r="M2" s="140"/>
      <c r="N2" s="140"/>
      <c r="O2" s="140"/>
      <c r="P2" s="140"/>
      <c r="Q2" s="140"/>
      <c r="R2" s="140"/>
      <c r="S2" s="140"/>
      <c r="T2" s="140"/>
      <c r="U2" s="140"/>
      <c r="V2" s="140"/>
      <c r="W2" s="140"/>
      <c r="X2" s="140"/>
      <c r="Y2" s="140"/>
      <c r="Z2" s="140"/>
      <c r="AA2" s="140"/>
      <c r="AB2" s="140"/>
      <c r="AC2" s="140"/>
      <c r="AD2" s="140"/>
      <c r="AE2" s="141"/>
    </row>
    <row r="3" spans="1:32" ht="16.5" customHeight="1" thickBot="1" x14ac:dyDescent="0.25">
      <c r="A3" s="142" t="s">
        <v>299</v>
      </c>
      <c r="B3" s="57"/>
      <c r="C3" s="57"/>
      <c r="D3" s="58"/>
      <c r="E3" s="58"/>
      <c r="F3" s="58"/>
      <c r="G3" s="58"/>
      <c r="H3" s="59"/>
      <c r="I3" s="59"/>
      <c r="J3" s="59"/>
      <c r="K3" s="59"/>
      <c r="L3" s="59"/>
      <c r="M3" s="59"/>
      <c r="N3" s="59"/>
      <c r="O3" s="59"/>
      <c r="P3" s="59"/>
      <c r="Q3" s="59"/>
      <c r="R3" s="59"/>
      <c r="S3" s="59"/>
      <c r="T3" s="59"/>
      <c r="U3" s="59"/>
      <c r="V3" s="59"/>
      <c r="W3" s="59"/>
      <c r="X3" s="59"/>
      <c r="Y3" s="59"/>
      <c r="Z3" s="59"/>
      <c r="AA3" s="59"/>
      <c r="AB3" s="59"/>
      <c r="AC3" s="59"/>
      <c r="AD3" s="59"/>
      <c r="AE3" s="143"/>
    </row>
    <row r="4" spans="1:32" ht="15.75" customHeight="1" x14ac:dyDescent="0.25">
      <c r="A4" s="310"/>
      <c r="B4" s="308" t="s">
        <v>2</v>
      </c>
      <c r="C4" s="301">
        <v>1996</v>
      </c>
      <c r="D4" s="301">
        <v>1997</v>
      </c>
      <c r="E4" s="301">
        <v>1998</v>
      </c>
      <c r="F4" s="301">
        <v>1999</v>
      </c>
      <c r="G4" s="301">
        <v>2000</v>
      </c>
      <c r="H4" s="301">
        <v>2001</v>
      </c>
      <c r="I4" s="301">
        <v>2002</v>
      </c>
      <c r="J4" s="301">
        <v>2003</v>
      </c>
      <c r="K4" s="301">
        <v>2004</v>
      </c>
      <c r="L4" s="301">
        <v>2005</v>
      </c>
      <c r="M4" s="301">
        <v>2006</v>
      </c>
      <c r="N4" s="301">
        <v>2007</v>
      </c>
      <c r="O4" s="301">
        <v>2008</v>
      </c>
      <c r="P4" s="301">
        <v>2009</v>
      </c>
      <c r="Q4" s="301">
        <v>2010</v>
      </c>
      <c r="R4" s="301">
        <v>2011</v>
      </c>
      <c r="S4" s="301">
        <v>2012</v>
      </c>
      <c r="T4" s="301">
        <v>2013</v>
      </c>
      <c r="U4" s="301">
        <v>2014</v>
      </c>
      <c r="V4" s="301">
        <v>2015</v>
      </c>
      <c r="W4" s="301">
        <v>2016</v>
      </c>
      <c r="X4" s="301">
        <v>2017</v>
      </c>
      <c r="Y4" s="301">
        <v>2018</v>
      </c>
      <c r="Z4" s="301">
        <v>2019</v>
      </c>
      <c r="AA4" s="301">
        <v>2020</v>
      </c>
      <c r="AB4" s="301">
        <v>2021</v>
      </c>
      <c r="AC4" s="301">
        <v>2022</v>
      </c>
      <c r="AD4" s="301">
        <v>2023</v>
      </c>
      <c r="AE4" s="299">
        <v>2024</v>
      </c>
    </row>
    <row r="5" spans="1:32" ht="15.75" customHeight="1" thickBot="1" x14ac:dyDescent="0.3">
      <c r="A5" s="311"/>
      <c r="B5" s="309"/>
      <c r="C5" s="302"/>
      <c r="D5" s="302" t="s">
        <v>3</v>
      </c>
      <c r="E5" s="302"/>
      <c r="F5" s="302" t="s">
        <v>4</v>
      </c>
      <c r="G5" s="302"/>
      <c r="H5" s="302" t="s">
        <v>5</v>
      </c>
      <c r="I5" s="302"/>
      <c r="J5" s="302" t="s">
        <v>6</v>
      </c>
      <c r="K5" s="302"/>
      <c r="L5" s="302" t="s">
        <v>7</v>
      </c>
      <c r="M5" s="302"/>
      <c r="N5" s="302" t="s">
        <v>8</v>
      </c>
      <c r="O5" s="302"/>
      <c r="P5" s="302" t="s">
        <v>9</v>
      </c>
      <c r="Q5" s="302"/>
      <c r="R5" s="302" t="s">
        <v>10</v>
      </c>
      <c r="S5" s="302"/>
      <c r="T5" s="302"/>
      <c r="U5" s="302"/>
      <c r="V5" s="302"/>
      <c r="W5" s="302"/>
      <c r="X5" s="302"/>
      <c r="Y5" s="302"/>
      <c r="Z5" s="302"/>
      <c r="AA5" s="302"/>
      <c r="AB5" s="302"/>
      <c r="AC5" s="302"/>
      <c r="AD5" s="302"/>
      <c r="AE5" s="300"/>
    </row>
    <row r="6" spans="1:32" s="11" customFormat="1" ht="15" customHeight="1" thickBot="1" x14ac:dyDescent="0.3">
      <c r="A6" s="144" t="s">
        <v>11</v>
      </c>
      <c r="B6" s="9" t="s">
        <v>12</v>
      </c>
      <c r="C6" s="64">
        <v>638</v>
      </c>
      <c r="D6" s="64">
        <v>637</v>
      </c>
      <c r="E6" s="64">
        <v>596</v>
      </c>
      <c r="F6" s="64">
        <v>671</v>
      </c>
      <c r="G6" s="64">
        <v>663</v>
      </c>
      <c r="H6" s="64">
        <v>623</v>
      </c>
      <c r="I6" s="64">
        <v>561</v>
      </c>
      <c r="J6" s="64">
        <v>610</v>
      </c>
      <c r="K6" s="64">
        <v>663</v>
      </c>
      <c r="L6" s="64">
        <v>714</v>
      </c>
      <c r="M6" s="64">
        <v>732</v>
      </c>
      <c r="N6" s="64">
        <v>795</v>
      </c>
      <c r="O6" s="64">
        <v>834</v>
      </c>
      <c r="P6" s="64">
        <v>856</v>
      </c>
      <c r="Q6" s="64">
        <v>862</v>
      </c>
      <c r="R6" s="64">
        <v>912</v>
      </c>
      <c r="S6" s="64">
        <v>887</v>
      </c>
      <c r="T6" s="64">
        <v>880</v>
      </c>
      <c r="U6" s="64">
        <v>859</v>
      </c>
      <c r="V6" s="64">
        <v>835</v>
      </c>
      <c r="W6" s="64">
        <v>847</v>
      </c>
      <c r="X6" s="64">
        <v>858</v>
      </c>
      <c r="Y6" s="64">
        <v>857</v>
      </c>
      <c r="Z6" s="64">
        <v>854</v>
      </c>
      <c r="AA6" s="64">
        <v>856</v>
      </c>
      <c r="AB6" s="64">
        <v>895</v>
      </c>
      <c r="AC6" s="64">
        <v>963</v>
      </c>
      <c r="AD6" s="64">
        <v>934</v>
      </c>
      <c r="AE6" s="145">
        <v>915</v>
      </c>
      <c r="AF6" s="10"/>
    </row>
    <row r="7" spans="1:32" ht="15" customHeight="1" x14ac:dyDescent="0.25">
      <c r="A7" s="146">
        <v>1</v>
      </c>
      <c r="B7" s="12" t="s">
        <v>13</v>
      </c>
      <c r="C7" s="68">
        <v>588</v>
      </c>
      <c r="D7" s="68">
        <v>588</v>
      </c>
      <c r="E7" s="68">
        <v>552</v>
      </c>
      <c r="F7" s="68">
        <v>608</v>
      </c>
      <c r="G7" s="68">
        <v>591</v>
      </c>
      <c r="H7" s="68">
        <v>565</v>
      </c>
      <c r="I7" s="68">
        <v>515</v>
      </c>
      <c r="J7" s="68">
        <v>564</v>
      </c>
      <c r="K7" s="68">
        <v>614</v>
      </c>
      <c r="L7" s="68">
        <v>663</v>
      </c>
      <c r="M7" s="68">
        <v>681</v>
      </c>
      <c r="N7" s="68">
        <v>743</v>
      </c>
      <c r="O7" s="68">
        <v>782</v>
      </c>
      <c r="P7" s="68">
        <v>802</v>
      </c>
      <c r="Q7" s="68">
        <v>811</v>
      </c>
      <c r="R7" s="68">
        <v>866</v>
      </c>
      <c r="S7" s="68">
        <v>852</v>
      </c>
      <c r="T7" s="68">
        <v>845</v>
      </c>
      <c r="U7" s="68">
        <v>827</v>
      </c>
      <c r="V7" s="68">
        <v>804</v>
      </c>
      <c r="W7" s="68">
        <v>815</v>
      </c>
      <c r="X7" s="68">
        <v>826</v>
      </c>
      <c r="Y7" s="68">
        <v>831</v>
      </c>
      <c r="Z7" s="68">
        <v>828</v>
      </c>
      <c r="AA7" s="68">
        <v>830</v>
      </c>
      <c r="AB7" s="68">
        <v>870</v>
      </c>
      <c r="AC7" s="68">
        <v>935</v>
      </c>
      <c r="AD7" s="68">
        <v>905</v>
      </c>
      <c r="AE7" s="147">
        <v>887</v>
      </c>
    </row>
    <row r="8" spans="1:32" ht="15" customHeight="1" thickBot="1" x14ac:dyDescent="0.3">
      <c r="A8" s="148">
        <v>2</v>
      </c>
      <c r="B8" s="13" t="s">
        <v>14</v>
      </c>
      <c r="C8" s="69">
        <v>50</v>
      </c>
      <c r="D8" s="69">
        <v>49</v>
      </c>
      <c r="E8" s="69">
        <v>44</v>
      </c>
      <c r="F8" s="69">
        <v>63</v>
      </c>
      <c r="G8" s="69">
        <v>72</v>
      </c>
      <c r="H8" s="69">
        <v>58</v>
      </c>
      <c r="I8" s="69">
        <v>46</v>
      </c>
      <c r="J8" s="69">
        <v>46</v>
      </c>
      <c r="K8" s="69">
        <v>49</v>
      </c>
      <c r="L8" s="69">
        <v>51</v>
      </c>
      <c r="M8" s="69">
        <v>51</v>
      </c>
      <c r="N8" s="69">
        <v>52</v>
      </c>
      <c r="O8" s="69">
        <v>52</v>
      </c>
      <c r="P8" s="69">
        <v>54</v>
      </c>
      <c r="Q8" s="69">
        <v>51</v>
      </c>
      <c r="R8" s="69">
        <v>46</v>
      </c>
      <c r="S8" s="69">
        <v>35</v>
      </c>
      <c r="T8" s="69">
        <v>35</v>
      </c>
      <c r="U8" s="69">
        <v>32</v>
      </c>
      <c r="V8" s="69">
        <v>31</v>
      </c>
      <c r="W8" s="69">
        <v>32</v>
      </c>
      <c r="X8" s="69">
        <v>32</v>
      </c>
      <c r="Y8" s="69">
        <v>26</v>
      </c>
      <c r="Z8" s="69">
        <v>26</v>
      </c>
      <c r="AA8" s="69">
        <v>26</v>
      </c>
      <c r="AB8" s="69">
        <v>25</v>
      </c>
      <c r="AC8" s="69">
        <v>28</v>
      </c>
      <c r="AD8" s="69">
        <v>29</v>
      </c>
      <c r="AE8" s="149">
        <v>28</v>
      </c>
    </row>
    <row r="9" spans="1:32" s="11" customFormat="1" ht="15" customHeight="1" thickBot="1" x14ac:dyDescent="0.3">
      <c r="A9" s="144" t="s">
        <v>15</v>
      </c>
      <c r="B9" s="9" t="s">
        <v>16</v>
      </c>
      <c r="C9" s="64" t="s">
        <v>383</v>
      </c>
      <c r="D9" s="64" t="s">
        <v>383</v>
      </c>
      <c r="E9" s="64" t="s">
        <v>383</v>
      </c>
      <c r="F9" s="64" t="s">
        <v>383</v>
      </c>
      <c r="G9" s="64" t="s">
        <v>383</v>
      </c>
      <c r="H9" s="64" t="s">
        <v>383</v>
      </c>
      <c r="I9" s="64" t="s">
        <v>383</v>
      </c>
      <c r="J9" s="64" t="s">
        <v>383</v>
      </c>
      <c r="K9" s="64" t="s">
        <v>383</v>
      </c>
      <c r="L9" s="64" t="s">
        <v>383</v>
      </c>
      <c r="M9" s="64" t="s">
        <v>383</v>
      </c>
      <c r="N9" s="64" t="s">
        <v>383</v>
      </c>
      <c r="O9" s="64" t="s">
        <v>383</v>
      </c>
      <c r="P9" s="64" t="s">
        <v>383</v>
      </c>
      <c r="Q9" s="64" t="s">
        <v>383</v>
      </c>
      <c r="R9" s="64" t="s">
        <v>383</v>
      </c>
      <c r="S9" s="64" t="s">
        <v>383</v>
      </c>
      <c r="T9" s="64" t="s">
        <v>383</v>
      </c>
      <c r="U9" s="64" t="s">
        <v>383</v>
      </c>
      <c r="V9" s="64" t="s">
        <v>383</v>
      </c>
      <c r="W9" s="64" t="s">
        <v>383</v>
      </c>
      <c r="X9" s="64" t="s">
        <v>383</v>
      </c>
      <c r="Y9" s="64" t="s">
        <v>383</v>
      </c>
      <c r="Z9" s="64" t="s">
        <v>383</v>
      </c>
      <c r="AA9" s="64" t="s">
        <v>383</v>
      </c>
      <c r="AB9" s="64" t="s">
        <v>383</v>
      </c>
      <c r="AC9" s="64" t="s">
        <v>383</v>
      </c>
      <c r="AD9" s="64" t="s">
        <v>383</v>
      </c>
      <c r="AE9" s="145" t="s">
        <v>383</v>
      </c>
      <c r="AF9" s="10"/>
    </row>
    <row r="10" spans="1:32" ht="15" customHeight="1" thickBot="1" x14ac:dyDescent="0.3">
      <c r="A10" s="150">
        <v>5</v>
      </c>
      <c r="B10" s="14" t="s">
        <v>17</v>
      </c>
      <c r="C10" s="67" t="s">
        <v>383</v>
      </c>
      <c r="D10" s="67" t="s">
        <v>383</v>
      </c>
      <c r="E10" s="67" t="s">
        <v>383</v>
      </c>
      <c r="F10" s="67" t="s">
        <v>383</v>
      </c>
      <c r="G10" s="67" t="s">
        <v>383</v>
      </c>
      <c r="H10" s="67" t="s">
        <v>383</v>
      </c>
      <c r="I10" s="67" t="s">
        <v>383</v>
      </c>
      <c r="J10" s="67" t="s">
        <v>383</v>
      </c>
      <c r="K10" s="67" t="s">
        <v>383</v>
      </c>
      <c r="L10" s="67" t="s">
        <v>383</v>
      </c>
      <c r="M10" s="67" t="s">
        <v>383</v>
      </c>
      <c r="N10" s="67" t="s">
        <v>383</v>
      </c>
      <c r="O10" s="67" t="s">
        <v>383</v>
      </c>
      <c r="P10" s="67" t="s">
        <v>383</v>
      </c>
      <c r="Q10" s="67" t="s">
        <v>383</v>
      </c>
      <c r="R10" s="67" t="s">
        <v>383</v>
      </c>
      <c r="S10" s="67" t="s">
        <v>383</v>
      </c>
      <c r="T10" s="67" t="s">
        <v>383</v>
      </c>
      <c r="U10" s="67" t="s">
        <v>383</v>
      </c>
      <c r="V10" s="67" t="s">
        <v>383</v>
      </c>
      <c r="W10" s="67" t="s">
        <v>383</v>
      </c>
      <c r="X10" s="67" t="s">
        <v>383</v>
      </c>
      <c r="Y10" s="67" t="s">
        <v>383</v>
      </c>
      <c r="Z10" s="67" t="s">
        <v>383</v>
      </c>
      <c r="AA10" s="67" t="s">
        <v>383</v>
      </c>
      <c r="AB10" s="67" t="s">
        <v>383</v>
      </c>
      <c r="AC10" s="67" t="s">
        <v>383</v>
      </c>
      <c r="AD10" s="67" t="s">
        <v>383</v>
      </c>
      <c r="AE10" s="151" t="s">
        <v>383</v>
      </c>
    </row>
    <row r="11" spans="1:32" s="11" customFormat="1" ht="15" customHeight="1" thickBot="1" x14ac:dyDescent="0.3">
      <c r="A11" s="144" t="s">
        <v>18</v>
      </c>
      <c r="B11" s="9" t="s">
        <v>19</v>
      </c>
      <c r="C11" s="64">
        <v>7</v>
      </c>
      <c r="D11" s="64">
        <v>9</v>
      </c>
      <c r="E11" s="64">
        <v>10</v>
      </c>
      <c r="F11" s="64">
        <v>7</v>
      </c>
      <c r="G11" s="64">
        <v>6</v>
      </c>
      <c r="H11" s="64">
        <v>6</v>
      </c>
      <c r="I11" s="64">
        <v>5</v>
      </c>
      <c r="J11" s="64">
        <v>6</v>
      </c>
      <c r="K11" s="64">
        <v>8</v>
      </c>
      <c r="L11" s="64">
        <v>9</v>
      </c>
      <c r="M11" s="64">
        <v>11</v>
      </c>
      <c r="N11" s="64">
        <v>13</v>
      </c>
      <c r="O11" s="64">
        <v>17</v>
      </c>
      <c r="P11" s="64">
        <v>27</v>
      </c>
      <c r="Q11" s="64">
        <v>27</v>
      </c>
      <c r="R11" s="64">
        <v>22</v>
      </c>
      <c r="S11" s="64">
        <v>12</v>
      </c>
      <c r="T11" s="64">
        <v>13</v>
      </c>
      <c r="U11" s="64">
        <v>10</v>
      </c>
      <c r="V11" s="64">
        <v>11</v>
      </c>
      <c r="W11" s="64">
        <v>17</v>
      </c>
      <c r="X11" s="64">
        <v>18</v>
      </c>
      <c r="Y11" s="64">
        <v>17</v>
      </c>
      <c r="Z11" s="64">
        <v>17</v>
      </c>
      <c r="AA11" s="64">
        <v>18</v>
      </c>
      <c r="AB11" s="64">
        <v>20</v>
      </c>
      <c r="AC11" s="64">
        <v>18</v>
      </c>
      <c r="AD11" s="64">
        <v>17</v>
      </c>
      <c r="AE11" s="145">
        <v>16</v>
      </c>
      <c r="AF11" s="10"/>
    </row>
    <row r="12" spans="1:32" ht="15" customHeight="1" x14ac:dyDescent="0.25">
      <c r="A12" s="152">
        <v>11</v>
      </c>
      <c r="B12" s="15" t="s">
        <v>20</v>
      </c>
      <c r="C12" s="68" t="s">
        <v>383</v>
      </c>
      <c r="D12" s="68" t="s">
        <v>383</v>
      </c>
      <c r="E12" s="68" t="s">
        <v>383</v>
      </c>
      <c r="F12" s="68" t="s">
        <v>383</v>
      </c>
      <c r="G12" s="68" t="s">
        <v>383</v>
      </c>
      <c r="H12" s="68" t="s">
        <v>383</v>
      </c>
      <c r="I12" s="68" t="s">
        <v>383</v>
      </c>
      <c r="J12" s="68" t="s">
        <v>383</v>
      </c>
      <c r="K12" s="68" t="s">
        <v>383</v>
      </c>
      <c r="L12" s="68" t="s">
        <v>383</v>
      </c>
      <c r="M12" s="68" t="s">
        <v>383</v>
      </c>
      <c r="N12" s="68" t="s">
        <v>383</v>
      </c>
      <c r="O12" s="68" t="s">
        <v>383</v>
      </c>
      <c r="P12" s="68" t="s">
        <v>383</v>
      </c>
      <c r="Q12" s="68" t="s">
        <v>383</v>
      </c>
      <c r="R12" s="68" t="s">
        <v>383</v>
      </c>
      <c r="S12" s="68" t="s">
        <v>383</v>
      </c>
      <c r="T12" s="68" t="s">
        <v>383</v>
      </c>
      <c r="U12" s="68" t="s">
        <v>383</v>
      </c>
      <c r="V12" s="68" t="s">
        <v>383</v>
      </c>
      <c r="W12" s="68" t="s">
        <v>383</v>
      </c>
      <c r="X12" s="68" t="s">
        <v>383</v>
      </c>
      <c r="Y12" s="68" t="s">
        <v>383</v>
      </c>
      <c r="Z12" s="68" t="s">
        <v>383</v>
      </c>
      <c r="AA12" s="68" t="s">
        <v>383</v>
      </c>
      <c r="AB12" s="68" t="s">
        <v>383</v>
      </c>
      <c r="AC12" s="68" t="s">
        <v>383</v>
      </c>
      <c r="AD12" s="68" t="s">
        <v>383</v>
      </c>
      <c r="AE12" s="153" t="s">
        <v>383</v>
      </c>
    </row>
    <row r="13" spans="1:32" ht="15" customHeight="1" x14ac:dyDescent="0.25">
      <c r="A13" s="154">
        <v>13</v>
      </c>
      <c r="B13" s="16" t="s">
        <v>21</v>
      </c>
      <c r="C13" s="69" t="s">
        <v>383</v>
      </c>
      <c r="D13" s="69" t="s">
        <v>383</v>
      </c>
      <c r="E13" s="69" t="s">
        <v>383</v>
      </c>
      <c r="F13" s="69" t="s">
        <v>383</v>
      </c>
      <c r="G13" s="69" t="s">
        <v>383</v>
      </c>
      <c r="H13" s="69" t="s">
        <v>383</v>
      </c>
      <c r="I13" s="69" t="s">
        <v>383</v>
      </c>
      <c r="J13" s="69" t="s">
        <v>383</v>
      </c>
      <c r="K13" s="69" t="s">
        <v>383</v>
      </c>
      <c r="L13" s="69" t="s">
        <v>383</v>
      </c>
      <c r="M13" s="69" t="s">
        <v>383</v>
      </c>
      <c r="N13" s="69" t="s">
        <v>383</v>
      </c>
      <c r="O13" s="69" t="s">
        <v>383</v>
      </c>
      <c r="P13" s="69" t="s">
        <v>383</v>
      </c>
      <c r="Q13" s="69" t="s">
        <v>383</v>
      </c>
      <c r="R13" s="69" t="s">
        <v>383</v>
      </c>
      <c r="S13" s="69" t="s">
        <v>383</v>
      </c>
      <c r="T13" s="69" t="s">
        <v>383</v>
      </c>
      <c r="U13" s="69" t="s">
        <v>383</v>
      </c>
      <c r="V13" s="69" t="s">
        <v>383</v>
      </c>
      <c r="W13" s="69" t="s">
        <v>383</v>
      </c>
      <c r="X13" s="69" t="s">
        <v>383</v>
      </c>
      <c r="Y13" s="69" t="s">
        <v>383</v>
      </c>
      <c r="Z13" s="69" t="s">
        <v>383</v>
      </c>
      <c r="AA13" s="69" t="s">
        <v>383</v>
      </c>
      <c r="AB13" s="69" t="s">
        <v>383</v>
      </c>
      <c r="AC13" s="69" t="s">
        <v>383</v>
      </c>
      <c r="AD13" s="69" t="s">
        <v>383</v>
      </c>
      <c r="AE13" s="155" t="s">
        <v>383</v>
      </c>
    </row>
    <row r="14" spans="1:32" ht="15" customHeight="1" thickBot="1" x14ac:dyDescent="0.3">
      <c r="A14" s="152">
        <v>14</v>
      </c>
      <c r="B14" s="15" t="s">
        <v>22</v>
      </c>
      <c r="C14" s="68">
        <v>6</v>
      </c>
      <c r="D14" s="68">
        <v>9</v>
      </c>
      <c r="E14" s="68">
        <v>8</v>
      </c>
      <c r="F14" s="68">
        <v>6</v>
      </c>
      <c r="G14" s="68">
        <v>5</v>
      </c>
      <c r="H14" s="68">
        <v>4</v>
      </c>
      <c r="I14" s="68">
        <v>4</v>
      </c>
      <c r="J14" s="68">
        <v>6</v>
      </c>
      <c r="K14" s="68">
        <v>7</v>
      </c>
      <c r="L14" s="68">
        <v>8</v>
      </c>
      <c r="M14" s="68">
        <v>10</v>
      </c>
      <c r="N14" s="68">
        <v>12</v>
      </c>
      <c r="O14" s="68">
        <v>17</v>
      </c>
      <c r="P14" s="68">
        <v>27</v>
      </c>
      <c r="Q14" s="68">
        <v>26</v>
      </c>
      <c r="R14" s="68">
        <v>21</v>
      </c>
      <c r="S14" s="68">
        <v>11</v>
      </c>
      <c r="T14" s="68">
        <v>11</v>
      </c>
      <c r="U14" s="68">
        <v>10</v>
      </c>
      <c r="V14" s="68">
        <v>11</v>
      </c>
      <c r="W14" s="68">
        <v>16</v>
      </c>
      <c r="X14" s="68">
        <v>18</v>
      </c>
      <c r="Y14" s="68">
        <v>16</v>
      </c>
      <c r="Z14" s="68">
        <v>16</v>
      </c>
      <c r="AA14" s="68">
        <v>17</v>
      </c>
      <c r="AB14" s="68">
        <v>19</v>
      </c>
      <c r="AC14" s="68">
        <v>18</v>
      </c>
      <c r="AD14" s="68">
        <v>17</v>
      </c>
      <c r="AE14" s="153">
        <v>16</v>
      </c>
    </row>
    <row r="15" spans="1:32" s="11" customFormat="1" ht="15" customHeight="1" thickBot="1" x14ac:dyDescent="0.3">
      <c r="A15" s="144" t="s">
        <v>23</v>
      </c>
      <c r="B15" s="9" t="s">
        <v>24</v>
      </c>
      <c r="C15" s="64">
        <v>348</v>
      </c>
      <c r="D15" s="64">
        <v>342</v>
      </c>
      <c r="E15" s="64">
        <v>317</v>
      </c>
      <c r="F15" s="64">
        <v>318</v>
      </c>
      <c r="G15" s="64">
        <v>318</v>
      </c>
      <c r="H15" s="64">
        <v>296</v>
      </c>
      <c r="I15" s="64">
        <v>264</v>
      </c>
      <c r="J15" s="64">
        <v>284</v>
      </c>
      <c r="K15" s="64">
        <v>288</v>
      </c>
      <c r="L15" s="64">
        <v>296</v>
      </c>
      <c r="M15" s="64">
        <v>318</v>
      </c>
      <c r="N15" s="64">
        <v>333</v>
      </c>
      <c r="O15" s="64">
        <v>355</v>
      </c>
      <c r="P15" s="64">
        <v>372</v>
      </c>
      <c r="Q15" s="64">
        <v>383</v>
      </c>
      <c r="R15" s="64">
        <v>384</v>
      </c>
      <c r="S15" s="64">
        <v>398</v>
      </c>
      <c r="T15" s="64">
        <v>405</v>
      </c>
      <c r="U15" s="64">
        <v>413</v>
      </c>
      <c r="V15" s="64">
        <v>409</v>
      </c>
      <c r="W15" s="64">
        <v>419</v>
      </c>
      <c r="X15" s="64">
        <v>426</v>
      </c>
      <c r="Y15" s="64">
        <v>411</v>
      </c>
      <c r="Z15" s="64">
        <v>397</v>
      </c>
      <c r="AA15" s="64">
        <v>373</v>
      </c>
      <c r="AB15" s="64">
        <v>364</v>
      </c>
      <c r="AC15" s="64">
        <v>399</v>
      </c>
      <c r="AD15" s="64">
        <v>392</v>
      </c>
      <c r="AE15" s="145">
        <v>393</v>
      </c>
      <c r="AF15" s="10"/>
    </row>
    <row r="16" spans="1:32" ht="15" customHeight="1" x14ac:dyDescent="0.25">
      <c r="A16" s="152">
        <v>15</v>
      </c>
      <c r="B16" s="15" t="s">
        <v>25</v>
      </c>
      <c r="C16" s="68">
        <v>169</v>
      </c>
      <c r="D16" s="68">
        <v>166</v>
      </c>
      <c r="E16" s="68">
        <v>160</v>
      </c>
      <c r="F16" s="68">
        <v>144</v>
      </c>
      <c r="G16" s="68">
        <v>144</v>
      </c>
      <c r="H16" s="68">
        <v>136</v>
      </c>
      <c r="I16" s="68">
        <v>128</v>
      </c>
      <c r="J16" s="68">
        <v>144</v>
      </c>
      <c r="K16" s="68">
        <v>140</v>
      </c>
      <c r="L16" s="68">
        <v>140</v>
      </c>
      <c r="M16" s="68">
        <v>148</v>
      </c>
      <c r="N16" s="68">
        <v>159</v>
      </c>
      <c r="O16" s="68">
        <v>168</v>
      </c>
      <c r="P16" s="68">
        <v>175</v>
      </c>
      <c r="Q16" s="68">
        <v>181</v>
      </c>
      <c r="R16" s="68">
        <v>189</v>
      </c>
      <c r="S16" s="68">
        <v>189</v>
      </c>
      <c r="T16" s="68">
        <v>190</v>
      </c>
      <c r="U16" s="68">
        <v>196</v>
      </c>
      <c r="V16" s="68">
        <v>192</v>
      </c>
      <c r="W16" s="68">
        <v>198</v>
      </c>
      <c r="X16" s="68">
        <v>211</v>
      </c>
      <c r="Y16" s="68">
        <v>204</v>
      </c>
      <c r="Z16" s="68">
        <v>199</v>
      </c>
      <c r="AA16" s="68">
        <v>189</v>
      </c>
      <c r="AB16" s="68">
        <v>179</v>
      </c>
      <c r="AC16" s="68">
        <v>186</v>
      </c>
      <c r="AD16" s="68">
        <v>176</v>
      </c>
      <c r="AE16" s="153">
        <v>187</v>
      </c>
    </row>
    <row r="17" spans="1:31" ht="15" customHeight="1" x14ac:dyDescent="0.25">
      <c r="A17" s="156">
        <v>16</v>
      </c>
      <c r="B17" s="17" t="s">
        <v>26</v>
      </c>
      <c r="C17" s="70" t="s">
        <v>383</v>
      </c>
      <c r="D17" s="70" t="s">
        <v>383</v>
      </c>
      <c r="E17" s="70" t="s">
        <v>383</v>
      </c>
      <c r="F17" s="70" t="s">
        <v>383</v>
      </c>
      <c r="G17" s="70" t="s">
        <v>383</v>
      </c>
      <c r="H17" s="70" t="s">
        <v>383</v>
      </c>
      <c r="I17" s="70" t="s">
        <v>383</v>
      </c>
      <c r="J17" s="70" t="s">
        <v>383</v>
      </c>
      <c r="K17" s="70" t="s">
        <v>383</v>
      </c>
      <c r="L17" s="70" t="s">
        <v>383</v>
      </c>
      <c r="M17" s="70" t="s">
        <v>383</v>
      </c>
      <c r="N17" s="70" t="s">
        <v>383</v>
      </c>
      <c r="O17" s="70" t="s">
        <v>383</v>
      </c>
      <c r="P17" s="70" t="s">
        <v>383</v>
      </c>
      <c r="Q17" s="70" t="s">
        <v>383</v>
      </c>
      <c r="R17" s="70" t="s">
        <v>383</v>
      </c>
      <c r="S17" s="70" t="s">
        <v>383</v>
      </c>
      <c r="T17" s="70" t="s">
        <v>383</v>
      </c>
      <c r="U17" s="70" t="s">
        <v>383</v>
      </c>
      <c r="V17" s="70" t="s">
        <v>383</v>
      </c>
      <c r="W17" s="70" t="s">
        <v>383</v>
      </c>
      <c r="X17" s="70" t="s">
        <v>383</v>
      </c>
      <c r="Y17" s="70" t="s">
        <v>383</v>
      </c>
      <c r="Z17" s="70" t="s">
        <v>383</v>
      </c>
      <c r="AA17" s="70" t="s">
        <v>383</v>
      </c>
      <c r="AB17" s="70" t="s">
        <v>383</v>
      </c>
      <c r="AC17" s="70" t="s">
        <v>383</v>
      </c>
      <c r="AD17" s="70" t="s">
        <v>383</v>
      </c>
      <c r="AE17" s="157" t="s">
        <v>383</v>
      </c>
    </row>
    <row r="18" spans="1:31" ht="15" customHeight="1" x14ac:dyDescent="0.25">
      <c r="A18" s="156">
        <v>17</v>
      </c>
      <c r="B18" s="17" t="s">
        <v>27</v>
      </c>
      <c r="C18" s="70">
        <v>10</v>
      </c>
      <c r="D18" s="70">
        <v>11</v>
      </c>
      <c r="E18" s="70">
        <v>11</v>
      </c>
      <c r="F18" s="70">
        <v>11</v>
      </c>
      <c r="G18" s="70">
        <v>12</v>
      </c>
      <c r="H18" s="70">
        <v>11</v>
      </c>
      <c r="I18" s="70">
        <v>10</v>
      </c>
      <c r="J18" s="70">
        <v>11</v>
      </c>
      <c r="K18" s="70">
        <v>10</v>
      </c>
      <c r="L18" s="70">
        <v>9</v>
      </c>
      <c r="M18" s="70">
        <v>13</v>
      </c>
      <c r="N18" s="70">
        <v>13</v>
      </c>
      <c r="O18" s="70">
        <v>13</v>
      </c>
      <c r="P18" s="70">
        <v>15</v>
      </c>
      <c r="Q18" s="70">
        <v>16</v>
      </c>
      <c r="R18" s="70">
        <v>14</v>
      </c>
      <c r="S18" s="70">
        <v>16</v>
      </c>
      <c r="T18" s="70">
        <v>16</v>
      </c>
      <c r="U18" s="70">
        <v>15</v>
      </c>
      <c r="V18" s="70">
        <v>15</v>
      </c>
      <c r="W18" s="70">
        <v>17</v>
      </c>
      <c r="X18" s="70">
        <v>16</v>
      </c>
      <c r="Y18" s="70">
        <v>17</v>
      </c>
      <c r="Z18" s="70">
        <v>18</v>
      </c>
      <c r="AA18" s="70">
        <v>18</v>
      </c>
      <c r="AB18" s="70">
        <v>18</v>
      </c>
      <c r="AC18" s="70">
        <v>19</v>
      </c>
      <c r="AD18" s="70">
        <v>19</v>
      </c>
      <c r="AE18" s="157">
        <v>19</v>
      </c>
    </row>
    <row r="19" spans="1:31" ht="15" customHeight="1" x14ac:dyDescent="0.25">
      <c r="A19" s="156">
        <v>18</v>
      </c>
      <c r="B19" s="17" t="s">
        <v>28</v>
      </c>
      <c r="C19" s="70">
        <v>7</v>
      </c>
      <c r="D19" s="70">
        <v>8</v>
      </c>
      <c r="E19" s="70">
        <v>6</v>
      </c>
      <c r="F19" s="70">
        <v>9</v>
      </c>
      <c r="G19" s="70">
        <v>7</v>
      </c>
      <c r="H19" s="70">
        <v>6</v>
      </c>
      <c r="I19" s="70">
        <v>6</v>
      </c>
      <c r="J19" s="70">
        <v>4</v>
      </c>
      <c r="K19" s="70" t="s">
        <v>383</v>
      </c>
      <c r="L19" s="70">
        <v>4</v>
      </c>
      <c r="M19" s="70">
        <v>4</v>
      </c>
      <c r="N19" s="70">
        <v>4</v>
      </c>
      <c r="O19" s="70">
        <v>5</v>
      </c>
      <c r="P19" s="70">
        <v>7</v>
      </c>
      <c r="Q19" s="70">
        <v>7</v>
      </c>
      <c r="R19" s="70">
        <v>5</v>
      </c>
      <c r="S19" s="70">
        <v>7</v>
      </c>
      <c r="T19" s="70">
        <v>10</v>
      </c>
      <c r="U19" s="70">
        <v>10</v>
      </c>
      <c r="V19" s="70">
        <v>9</v>
      </c>
      <c r="W19" s="70">
        <v>10</v>
      </c>
      <c r="X19" s="70">
        <v>8</v>
      </c>
      <c r="Y19" s="70">
        <v>6</v>
      </c>
      <c r="Z19" s="70">
        <v>6</v>
      </c>
      <c r="AA19" s="70">
        <v>6</v>
      </c>
      <c r="AB19" s="70">
        <v>6</v>
      </c>
      <c r="AC19" s="70">
        <v>8</v>
      </c>
      <c r="AD19" s="70">
        <v>5</v>
      </c>
      <c r="AE19" s="157">
        <v>4</v>
      </c>
    </row>
    <row r="20" spans="1:31" ht="15" customHeight="1" x14ac:dyDescent="0.25">
      <c r="A20" s="156">
        <v>19</v>
      </c>
      <c r="B20" s="17" t="s">
        <v>108</v>
      </c>
      <c r="C20" s="70">
        <v>5</v>
      </c>
      <c r="D20" s="70">
        <v>7</v>
      </c>
      <c r="E20" s="70">
        <v>4</v>
      </c>
      <c r="F20" s="70">
        <v>5</v>
      </c>
      <c r="G20" s="70">
        <v>7</v>
      </c>
      <c r="H20" s="70">
        <v>8</v>
      </c>
      <c r="I20" s="70">
        <v>7</v>
      </c>
      <c r="J20" s="70">
        <v>8</v>
      </c>
      <c r="K20" s="70">
        <v>10</v>
      </c>
      <c r="L20" s="70">
        <v>9</v>
      </c>
      <c r="M20" s="70">
        <v>9</v>
      </c>
      <c r="N20" s="70">
        <v>9</v>
      </c>
      <c r="O20" s="70">
        <v>9</v>
      </c>
      <c r="P20" s="70">
        <v>9</v>
      </c>
      <c r="Q20" s="70">
        <v>8</v>
      </c>
      <c r="R20" s="70">
        <v>7</v>
      </c>
      <c r="S20" s="70">
        <v>7</v>
      </c>
      <c r="T20" s="70">
        <v>8</v>
      </c>
      <c r="U20" s="70">
        <v>8</v>
      </c>
      <c r="V20" s="70">
        <v>6</v>
      </c>
      <c r="W20" s="70">
        <v>7</v>
      </c>
      <c r="X20" s="70">
        <v>7</v>
      </c>
      <c r="Y20" s="70">
        <v>6</v>
      </c>
      <c r="Z20" s="70">
        <v>6</v>
      </c>
      <c r="AA20" s="70">
        <v>5</v>
      </c>
      <c r="AB20" s="70">
        <v>5</v>
      </c>
      <c r="AC20" s="70">
        <v>6</v>
      </c>
      <c r="AD20" s="70">
        <v>5</v>
      </c>
      <c r="AE20" s="157">
        <v>5</v>
      </c>
    </row>
    <row r="21" spans="1:31" ht="15" customHeight="1" x14ac:dyDescent="0.25">
      <c r="A21" s="156">
        <v>20</v>
      </c>
      <c r="B21" s="17" t="s">
        <v>30</v>
      </c>
      <c r="C21" s="70">
        <v>16</v>
      </c>
      <c r="D21" s="70">
        <v>19</v>
      </c>
      <c r="E21" s="70">
        <v>13</v>
      </c>
      <c r="F21" s="70">
        <v>14</v>
      </c>
      <c r="G21" s="70">
        <v>17</v>
      </c>
      <c r="H21" s="70">
        <v>16</v>
      </c>
      <c r="I21" s="70">
        <v>14</v>
      </c>
      <c r="J21" s="70">
        <v>16</v>
      </c>
      <c r="K21" s="70">
        <v>21</v>
      </c>
      <c r="L21" s="70">
        <v>18</v>
      </c>
      <c r="M21" s="70">
        <v>20</v>
      </c>
      <c r="N21" s="70">
        <v>20</v>
      </c>
      <c r="O21" s="70">
        <v>18</v>
      </c>
      <c r="P21" s="70">
        <v>18</v>
      </c>
      <c r="Q21" s="70">
        <v>19</v>
      </c>
      <c r="R21" s="70">
        <v>18</v>
      </c>
      <c r="S21" s="70">
        <v>20</v>
      </c>
      <c r="T21" s="70">
        <v>22</v>
      </c>
      <c r="U21" s="70">
        <v>21</v>
      </c>
      <c r="V21" s="70">
        <v>20</v>
      </c>
      <c r="W21" s="70">
        <v>23</v>
      </c>
      <c r="X21" s="70">
        <v>24</v>
      </c>
      <c r="Y21" s="70">
        <v>23</v>
      </c>
      <c r="Z21" s="70">
        <v>21</v>
      </c>
      <c r="AA21" s="70">
        <v>20</v>
      </c>
      <c r="AB21" s="70">
        <v>18</v>
      </c>
      <c r="AC21" s="70">
        <v>25</v>
      </c>
      <c r="AD21" s="70">
        <v>20</v>
      </c>
      <c r="AE21" s="157">
        <v>17</v>
      </c>
    </row>
    <row r="22" spans="1:31" ht="15" customHeight="1" x14ac:dyDescent="0.25">
      <c r="A22" s="156">
        <v>21</v>
      </c>
      <c r="B22" s="17" t="s">
        <v>31</v>
      </c>
      <c r="C22" s="70" t="s">
        <v>383</v>
      </c>
      <c r="D22" s="70" t="s">
        <v>383</v>
      </c>
      <c r="E22" s="70" t="s">
        <v>383</v>
      </c>
      <c r="F22" s="70" t="s">
        <v>383</v>
      </c>
      <c r="G22" s="70" t="s">
        <v>383</v>
      </c>
      <c r="H22" s="70" t="s">
        <v>383</v>
      </c>
      <c r="I22" s="70" t="s">
        <v>383</v>
      </c>
      <c r="J22" s="70" t="s">
        <v>383</v>
      </c>
      <c r="K22" s="70" t="s">
        <v>383</v>
      </c>
      <c r="L22" s="70" t="s">
        <v>383</v>
      </c>
      <c r="M22" s="70" t="s">
        <v>383</v>
      </c>
      <c r="N22" s="70" t="s">
        <v>383</v>
      </c>
      <c r="O22" s="70" t="s">
        <v>383</v>
      </c>
      <c r="P22" s="70" t="s">
        <v>383</v>
      </c>
      <c r="Q22" s="70" t="s">
        <v>383</v>
      </c>
      <c r="R22" s="70" t="s">
        <v>383</v>
      </c>
      <c r="S22" s="70" t="s">
        <v>383</v>
      </c>
      <c r="T22" s="70" t="s">
        <v>383</v>
      </c>
      <c r="U22" s="70" t="s">
        <v>383</v>
      </c>
      <c r="V22" s="70" t="s">
        <v>383</v>
      </c>
      <c r="W22" s="70" t="s">
        <v>383</v>
      </c>
      <c r="X22" s="70" t="s">
        <v>383</v>
      </c>
      <c r="Y22" s="70" t="s">
        <v>383</v>
      </c>
      <c r="Z22" s="70" t="s">
        <v>383</v>
      </c>
      <c r="AA22" s="70" t="s">
        <v>383</v>
      </c>
      <c r="AB22" s="70" t="s">
        <v>383</v>
      </c>
      <c r="AC22" s="70">
        <v>4</v>
      </c>
      <c r="AD22" s="70">
        <v>5</v>
      </c>
      <c r="AE22" s="157">
        <v>4</v>
      </c>
    </row>
    <row r="23" spans="1:31" ht="15" customHeight="1" x14ac:dyDescent="0.25">
      <c r="A23" s="156">
        <v>22</v>
      </c>
      <c r="B23" s="17" t="s">
        <v>98</v>
      </c>
      <c r="C23" s="70">
        <v>23</v>
      </c>
      <c r="D23" s="70">
        <v>23</v>
      </c>
      <c r="E23" s="70">
        <v>28</v>
      </c>
      <c r="F23" s="70">
        <v>27</v>
      </c>
      <c r="G23" s="70">
        <v>30</v>
      </c>
      <c r="H23" s="70">
        <v>28</v>
      </c>
      <c r="I23" s="70">
        <v>25</v>
      </c>
      <c r="J23" s="70">
        <v>25</v>
      </c>
      <c r="K23" s="70">
        <v>24</v>
      </c>
      <c r="L23" s="70">
        <v>28</v>
      </c>
      <c r="M23" s="70">
        <v>27</v>
      </c>
      <c r="N23" s="70">
        <v>28</v>
      </c>
      <c r="O23" s="70">
        <v>35</v>
      </c>
      <c r="P23" s="70">
        <v>37</v>
      </c>
      <c r="Q23" s="70">
        <v>37</v>
      </c>
      <c r="R23" s="70">
        <v>38</v>
      </c>
      <c r="S23" s="70">
        <v>38</v>
      </c>
      <c r="T23" s="70">
        <v>31</v>
      </c>
      <c r="U23" s="70">
        <v>31</v>
      </c>
      <c r="V23" s="70">
        <v>30</v>
      </c>
      <c r="W23" s="70">
        <v>31</v>
      </c>
      <c r="X23" s="70">
        <v>29</v>
      </c>
      <c r="Y23" s="70">
        <v>29</v>
      </c>
      <c r="Z23" s="70">
        <v>29</v>
      </c>
      <c r="AA23" s="70">
        <v>25</v>
      </c>
      <c r="AB23" s="70">
        <v>24</v>
      </c>
      <c r="AC23" s="70">
        <v>27</v>
      </c>
      <c r="AD23" s="70">
        <v>29</v>
      </c>
      <c r="AE23" s="157">
        <v>26</v>
      </c>
    </row>
    <row r="24" spans="1:31" ht="15" customHeight="1" x14ac:dyDescent="0.25">
      <c r="A24" s="156">
        <v>23</v>
      </c>
      <c r="B24" s="17" t="s">
        <v>33</v>
      </c>
      <c r="C24" s="70" t="s">
        <v>383</v>
      </c>
      <c r="D24" s="70" t="s">
        <v>383</v>
      </c>
      <c r="E24" s="70" t="s">
        <v>383</v>
      </c>
      <c r="F24" s="70" t="s">
        <v>383</v>
      </c>
      <c r="G24" s="70">
        <v>4</v>
      </c>
      <c r="H24" s="70">
        <v>5</v>
      </c>
      <c r="I24" s="70" t="s">
        <v>383</v>
      </c>
      <c r="J24" s="70">
        <v>4</v>
      </c>
      <c r="K24" s="70" t="s">
        <v>383</v>
      </c>
      <c r="L24" s="70" t="s">
        <v>383</v>
      </c>
      <c r="M24" s="70" t="s">
        <v>383</v>
      </c>
      <c r="N24" s="70" t="s">
        <v>383</v>
      </c>
      <c r="O24" s="70" t="s">
        <v>383</v>
      </c>
      <c r="P24" s="70" t="s">
        <v>383</v>
      </c>
      <c r="Q24" s="70" t="s">
        <v>383</v>
      </c>
      <c r="R24" s="70" t="s">
        <v>383</v>
      </c>
      <c r="S24" s="70" t="s">
        <v>383</v>
      </c>
      <c r="T24" s="70" t="s">
        <v>383</v>
      </c>
      <c r="U24" s="70" t="s">
        <v>383</v>
      </c>
      <c r="V24" s="70" t="s">
        <v>383</v>
      </c>
      <c r="W24" s="70" t="s">
        <v>383</v>
      </c>
      <c r="X24" s="70" t="s">
        <v>383</v>
      </c>
      <c r="Y24" s="70" t="s">
        <v>383</v>
      </c>
      <c r="Z24" s="70" t="s">
        <v>383</v>
      </c>
      <c r="AA24" s="70" t="s">
        <v>383</v>
      </c>
      <c r="AB24" s="70" t="s">
        <v>383</v>
      </c>
      <c r="AC24" s="70" t="s">
        <v>383</v>
      </c>
      <c r="AD24" s="70" t="s">
        <v>383</v>
      </c>
      <c r="AE24" s="157" t="s">
        <v>383</v>
      </c>
    </row>
    <row r="25" spans="1:31" ht="15" customHeight="1" x14ac:dyDescent="0.25">
      <c r="A25" s="156">
        <v>24</v>
      </c>
      <c r="B25" s="17" t="s">
        <v>34</v>
      </c>
      <c r="C25" s="70">
        <v>29</v>
      </c>
      <c r="D25" s="70">
        <v>26</v>
      </c>
      <c r="E25" s="70">
        <v>19</v>
      </c>
      <c r="F25" s="70">
        <v>27</v>
      </c>
      <c r="G25" s="70">
        <v>29</v>
      </c>
      <c r="H25" s="70">
        <v>26</v>
      </c>
      <c r="I25" s="70">
        <v>23</v>
      </c>
      <c r="J25" s="70">
        <v>20</v>
      </c>
      <c r="K25" s="70">
        <v>22</v>
      </c>
      <c r="L25" s="70">
        <v>23</v>
      </c>
      <c r="M25" s="70">
        <v>20</v>
      </c>
      <c r="N25" s="70">
        <v>24</v>
      </c>
      <c r="O25" s="70">
        <v>25</v>
      </c>
      <c r="P25" s="70">
        <v>24</v>
      </c>
      <c r="Q25" s="70">
        <v>25</v>
      </c>
      <c r="R25" s="70">
        <v>24</v>
      </c>
      <c r="S25" s="70">
        <v>25</v>
      </c>
      <c r="T25" s="70">
        <v>24</v>
      </c>
      <c r="U25" s="70">
        <v>28</v>
      </c>
      <c r="V25" s="70">
        <v>24</v>
      </c>
      <c r="W25" s="70">
        <v>25</v>
      </c>
      <c r="X25" s="70">
        <v>24</v>
      </c>
      <c r="Y25" s="70">
        <v>23</v>
      </c>
      <c r="Z25" s="70">
        <v>21</v>
      </c>
      <c r="AA25" s="70">
        <v>22</v>
      </c>
      <c r="AB25" s="70">
        <v>20</v>
      </c>
      <c r="AC25" s="70">
        <v>22</v>
      </c>
      <c r="AD25" s="70">
        <v>23</v>
      </c>
      <c r="AE25" s="157">
        <v>21</v>
      </c>
    </row>
    <row r="26" spans="1:31" ht="15" customHeight="1" x14ac:dyDescent="0.25">
      <c r="A26" s="156">
        <v>25</v>
      </c>
      <c r="B26" s="17" t="s">
        <v>35</v>
      </c>
      <c r="C26" s="70">
        <v>8</v>
      </c>
      <c r="D26" s="70">
        <v>6</v>
      </c>
      <c r="E26" s="70" t="s">
        <v>383</v>
      </c>
      <c r="F26" s="70">
        <v>6</v>
      </c>
      <c r="G26" s="70" t="s">
        <v>383</v>
      </c>
      <c r="H26" s="70" t="s">
        <v>383</v>
      </c>
      <c r="I26" s="70" t="s">
        <v>383</v>
      </c>
      <c r="J26" s="70" t="s">
        <v>383</v>
      </c>
      <c r="K26" s="70" t="s">
        <v>383</v>
      </c>
      <c r="L26" s="70" t="s">
        <v>383</v>
      </c>
      <c r="M26" s="70">
        <v>4</v>
      </c>
      <c r="N26" s="70">
        <v>4</v>
      </c>
      <c r="O26" s="70">
        <v>6</v>
      </c>
      <c r="P26" s="70">
        <v>5</v>
      </c>
      <c r="Q26" s="70">
        <v>7</v>
      </c>
      <c r="R26" s="70">
        <v>9</v>
      </c>
      <c r="S26" s="70">
        <v>9</v>
      </c>
      <c r="T26" s="70">
        <v>9</v>
      </c>
      <c r="U26" s="70">
        <v>9</v>
      </c>
      <c r="V26" s="70">
        <v>9</v>
      </c>
      <c r="W26" s="70">
        <v>8</v>
      </c>
      <c r="X26" s="70">
        <v>8</v>
      </c>
      <c r="Y26" s="70">
        <v>7</v>
      </c>
      <c r="Z26" s="70">
        <v>9</v>
      </c>
      <c r="AA26" s="70">
        <v>10</v>
      </c>
      <c r="AB26" s="70">
        <v>8</v>
      </c>
      <c r="AC26" s="70">
        <v>10</v>
      </c>
      <c r="AD26" s="70">
        <v>10</v>
      </c>
      <c r="AE26" s="157">
        <v>8</v>
      </c>
    </row>
    <row r="27" spans="1:31" ht="15" customHeight="1" x14ac:dyDescent="0.25">
      <c r="A27" s="156">
        <v>26</v>
      </c>
      <c r="B27" s="17" t="s">
        <v>36</v>
      </c>
      <c r="C27" s="70">
        <v>19</v>
      </c>
      <c r="D27" s="70">
        <v>20</v>
      </c>
      <c r="E27" s="70">
        <v>22</v>
      </c>
      <c r="F27" s="70">
        <v>22</v>
      </c>
      <c r="G27" s="70">
        <v>24</v>
      </c>
      <c r="H27" s="70">
        <v>16</v>
      </c>
      <c r="I27" s="70">
        <v>12</v>
      </c>
      <c r="J27" s="70">
        <v>11</v>
      </c>
      <c r="K27" s="70">
        <v>12</v>
      </c>
      <c r="L27" s="70">
        <v>13</v>
      </c>
      <c r="M27" s="70">
        <v>14</v>
      </c>
      <c r="N27" s="70">
        <v>17</v>
      </c>
      <c r="O27" s="70">
        <v>17</v>
      </c>
      <c r="P27" s="70">
        <v>25</v>
      </c>
      <c r="Q27" s="70">
        <v>19</v>
      </c>
      <c r="R27" s="70">
        <v>17</v>
      </c>
      <c r="S27" s="70">
        <v>20</v>
      </c>
      <c r="T27" s="70">
        <v>19</v>
      </c>
      <c r="U27" s="70">
        <v>21</v>
      </c>
      <c r="V27" s="70">
        <v>23</v>
      </c>
      <c r="W27" s="70">
        <v>22</v>
      </c>
      <c r="X27" s="70">
        <v>24</v>
      </c>
      <c r="Y27" s="70">
        <v>22</v>
      </c>
      <c r="Z27" s="70">
        <v>21</v>
      </c>
      <c r="AA27" s="70">
        <v>19</v>
      </c>
      <c r="AB27" s="70">
        <v>19</v>
      </c>
      <c r="AC27" s="70">
        <v>22</v>
      </c>
      <c r="AD27" s="70">
        <v>23</v>
      </c>
      <c r="AE27" s="157">
        <v>22</v>
      </c>
    </row>
    <row r="28" spans="1:31" ht="15" customHeight="1" x14ac:dyDescent="0.25">
      <c r="A28" s="156">
        <v>27</v>
      </c>
      <c r="B28" s="17" t="s">
        <v>37</v>
      </c>
      <c r="C28" s="70" t="s">
        <v>383</v>
      </c>
      <c r="D28" s="70" t="s">
        <v>383</v>
      </c>
      <c r="E28" s="70" t="s">
        <v>383</v>
      </c>
      <c r="F28" s="70" t="s">
        <v>383</v>
      </c>
      <c r="G28" s="70" t="s">
        <v>383</v>
      </c>
      <c r="H28" s="70" t="s">
        <v>383</v>
      </c>
      <c r="I28" s="70" t="s">
        <v>383</v>
      </c>
      <c r="J28" s="70" t="s">
        <v>383</v>
      </c>
      <c r="K28" s="70" t="s">
        <v>383</v>
      </c>
      <c r="L28" s="70" t="s">
        <v>383</v>
      </c>
      <c r="M28" s="70" t="s">
        <v>383</v>
      </c>
      <c r="N28" s="70" t="s">
        <v>383</v>
      </c>
      <c r="O28" s="70" t="s">
        <v>383</v>
      </c>
      <c r="P28" s="70" t="s">
        <v>383</v>
      </c>
      <c r="Q28" s="70" t="s">
        <v>383</v>
      </c>
      <c r="R28" s="70" t="s">
        <v>383</v>
      </c>
      <c r="S28" s="70" t="s">
        <v>383</v>
      </c>
      <c r="T28" s="70" t="s">
        <v>383</v>
      </c>
      <c r="U28" s="70" t="s">
        <v>383</v>
      </c>
      <c r="V28" s="70">
        <v>5</v>
      </c>
      <c r="W28" s="70">
        <v>4</v>
      </c>
      <c r="X28" s="70" t="s">
        <v>383</v>
      </c>
      <c r="Y28" s="70" t="s">
        <v>383</v>
      </c>
      <c r="Z28" s="70" t="s">
        <v>383</v>
      </c>
      <c r="AA28" s="70" t="s">
        <v>383</v>
      </c>
      <c r="AB28" s="70" t="s">
        <v>383</v>
      </c>
      <c r="AC28" s="70" t="s">
        <v>383</v>
      </c>
      <c r="AD28" s="70" t="s">
        <v>383</v>
      </c>
      <c r="AE28" s="157" t="s">
        <v>383</v>
      </c>
    </row>
    <row r="29" spans="1:31" ht="15" customHeight="1" x14ac:dyDescent="0.25">
      <c r="A29" s="156">
        <v>28</v>
      </c>
      <c r="B29" s="17" t="s">
        <v>38</v>
      </c>
      <c r="C29" s="70">
        <v>21</v>
      </c>
      <c r="D29" s="70">
        <v>16</v>
      </c>
      <c r="E29" s="70">
        <v>16</v>
      </c>
      <c r="F29" s="70">
        <v>13</v>
      </c>
      <c r="G29" s="70">
        <v>13</v>
      </c>
      <c r="H29" s="70">
        <v>11</v>
      </c>
      <c r="I29" s="70">
        <v>10</v>
      </c>
      <c r="J29" s="70">
        <v>11</v>
      </c>
      <c r="K29" s="70">
        <v>13</v>
      </c>
      <c r="L29" s="70">
        <v>12</v>
      </c>
      <c r="M29" s="70">
        <v>16</v>
      </c>
      <c r="N29" s="70">
        <v>17</v>
      </c>
      <c r="O29" s="70">
        <v>21</v>
      </c>
      <c r="P29" s="70">
        <v>19</v>
      </c>
      <c r="Q29" s="70">
        <v>20</v>
      </c>
      <c r="R29" s="70">
        <v>19</v>
      </c>
      <c r="S29" s="70">
        <v>19</v>
      </c>
      <c r="T29" s="70">
        <v>22</v>
      </c>
      <c r="U29" s="70">
        <v>25</v>
      </c>
      <c r="V29" s="70">
        <v>24</v>
      </c>
      <c r="W29" s="70">
        <v>22</v>
      </c>
      <c r="X29" s="70">
        <v>22</v>
      </c>
      <c r="Y29" s="70">
        <v>20</v>
      </c>
      <c r="Z29" s="70">
        <v>18</v>
      </c>
      <c r="AA29" s="70">
        <v>16</v>
      </c>
      <c r="AB29" s="70">
        <v>21</v>
      </c>
      <c r="AC29" s="70">
        <v>24</v>
      </c>
      <c r="AD29" s="70">
        <v>24</v>
      </c>
      <c r="AE29" s="157">
        <v>24</v>
      </c>
    </row>
    <row r="30" spans="1:31" ht="15" customHeight="1" x14ac:dyDescent="0.25">
      <c r="A30" s="156">
        <v>29</v>
      </c>
      <c r="B30" s="17" t="s">
        <v>39</v>
      </c>
      <c r="C30" s="70" t="s">
        <v>383</v>
      </c>
      <c r="D30" s="70">
        <v>5</v>
      </c>
      <c r="E30" s="70">
        <v>4</v>
      </c>
      <c r="F30" s="70">
        <v>5</v>
      </c>
      <c r="G30" s="70" t="s">
        <v>383</v>
      </c>
      <c r="H30" s="70" t="s">
        <v>383</v>
      </c>
      <c r="I30" s="70">
        <v>4</v>
      </c>
      <c r="J30" s="70" t="s">
        <v>383</v>
      </c>
      <c r="K30" s="70" t="s">
        <v>383</v>
      </c>
      <c r="L30" s="70">
        <v>5</v>
      </c>
      <c r="M30" s="70">
        <v>5</v>
      </c>
      <c r="N30" s="70">
        <v>4</v>
      </c>
      <c r="O30" s="70">
        <v>5</v>
      </c>
      <c r="P30" s="70">
        <v>4</v>
      </c>
      <c r="Q30" s="70">
        <v>4</v>
      </c>
      <c r="R30" s="70">
        <v>4</v>
      </c>
      <c r="S30" s="70">
        <v>4</v>
      </c>
      <c r="T30" s="70">
        <v>7</v>
      </c>
      <c r="U30" s="70">
        <v>9</v>
      </c>
      <c r="V30" s="70">
        <v>10</v>
      </c>
      <c r="W30" s="70">
        <v>10</v>
      </c>
      <c r="X30" s="70">
        <v>10</v>
      </c>
      <c r="Y30" s="70">
        <v>10</v>
      </c>
      <c r="Z30" s="70">
        <v>8</v>
      </c>
      <c r="AA30" s="70">
        <v>8</v>
      </c>
      <c r="AB30" s="70">
        <v>5</v>
      </c>
      <c r="AC30" s="70">
        <v>9</v>
      </c>
      <c r="AD30" s="70">
        <v>11</v>
      </c>
      <c r="AE30" s="157">
        <v>9</v>
      </c>
    </row>
    <row r="31" spans="1:31" ht="15" customHeight="1" x14ac:dyDescent="0.25">
      <c r="A31" s="156">
        <v>30</v>
      </c>
      <c r="B31" s="17" t="s">
        <v>40</v>
      </c>
      <c r="C31" s="70">
        <v>0</v>
      </c>
      <c r="D31" s="70">
        <v>0</v>
      </c>
      <c r="E31" s="70">
        <v>0</v>
      </c>
      <c r="F31" s="70">
        <v>0</v>
      </c>
      <c r="G31" s="70">
        <v>0</v>
      </c>
      <c r="H31" s="70">
        <v>0</v>
      </c>
      <c r="I31" s="70">
        <v>0</v>
      </c>
      <c r="J31" s="70">
        <v>0</v>
      </c>
      <c r="K31" s="70">
        <v>0</v>
      </c>
      <c r="L31" s="70">
        <v>0</v>
      </c>
      <c r="M31" s="70">
        <v>0</v>
      </c>
      <c r="N31" s="70">
        <v>0</v>
      </c>
      <c r="O31" s="70">
        <v>0</v>
      </c>
      <c r="P31" s="70">
        <v>0</v>
      </c>
      <c r="Q31" s="70">
        <v>0</v>
      </c>
      <c r="R31" s="70">
        <v>0</v>
      </c>
      <c r="S31" s="70">
        <v>0</v>
      </c>
      <c r="T31" s="70">
        <v>0</v>
      </c>
      <c r="U31" s="70">
        <v>0</v>
      </c>
      <c r="V31" s="70">
        <v>0</v>
      </c>
      <c r="W31" s="70">
        <v>0</v>
      </c>
      <c r="X31" s="70">
        <v>0</v>
      </c>
      <c r="Y31" s="70">
        <v>0</v>
      </c>
      <c r="Z31" s="70">
        <v>0</v>
      </c>
      <c r="AA31" s="70">
        <v>0</v>
      </c>
      <c r="AB31" s="70">
        <v>0</v>
      </c>
      <c r="AC31" s="70">
        <v>0</v>
      </c>
      <c r="AD31" s="70">
        <v>0</v>
      </c>
      <c r="AE31" s="157">
        <v>0</v>
      </c>
    </row>
    <row r="32" spans="1:31" ht="15" customHeight="1" x14ac:dyDescent="0.25">
      <c r="A32" s="156">
        <v>31</v>
      </c>
      <c r="B32" s="17" t="s">
        <v>41</v>
      </c>
      <c r="C32" s="70" t="s">
        <v>383</v>
      </c>
      <c r="D32" s="70" t="s">
        <v>383</v>
      </c>
      <c r="E32" s="70" t="s">
        <v>383</v>
      </c>
      <c r="F32" s="70" t="s">
        <v>383</v>
      </c>
      <c r="G32" s="70" t="s">
        <v>383</v>
      </c>
      <c r="H32" s="70" t="s">
        <v>383</v>
      </c>
      <c r="I32" s="70" t="s">
        <v>383</v>
      </c>
      <c r="J32" s="70" t="s">
        <v>383</v>
      </c>
      <c r="K32" s="70" t="s">
        <v>383</v>
      </c>
      <c r="L32" s="70" t="s">
        <v>383</v>
      </c>
      <c r="M32" s="70" t="s">
        <v>383</v>
      </c>
      <c r="N32" s="70" t="s">
        <v>383</v>
      </c>
      <c r="O32" s="70" t="s">
        <v>383</v>
      </c>
      <c r="P32" s="70" t="s">
        <v>383</v>
      </c>
      <c r="Q32" s="70" t="s">
        <v>383</v>
      </c>
      <c r="R32" s="70" t="s">
        <v>383</v>
      </c>
      <c r="S32" s="70" t="s">
        <v>383</v>
      </c>
      <c r="T32" s="70" t="s">
        <v>383</v>
      </c>
      <c r="U32" s="70" t="s">
        <v>383</v>
      </c>
      <c r="V32" s="70" t="s">
        <v>383</v>
      </c>
      <c r="W32" s="70" t="s">
        <v>383</v>
      </c>
      <c r="X32" s="70" t="s">
        <v>383</v>
      </c>
      <c r="Y32" s="70" t="s">
        <v>383</v>
      </c>
      <c r="Z32" s="70" t="s">
        <v>383</v>
      </c>
      <c r="AA32" s="70" t="s">
        <v>383</v>
      </c>
      <c r="AB32" s="70" t="s">
        <v>383</v>
      </c>
      <c r="AC32" s="70" t="s">
        <v>383</v>
      </c>
      <c r="AD32" s="70" t="s">
        <v>383</v>
      </c>
      <c r="AE32" s="157">
        <v>6</v>
      </c>
    </row>
    <row r="33" spans="1:32" ht="15" customHeight="1" x14ac:dyDescent="0.25">
      <c r="A33" s="156">
        <v>32</v>
      </c>
      <c r="B33" s="17" t="s">
        <v>42</v>
      </c>
      <c r="C33" s="70" t="s">
        <v>383</v>
      </c>
      <c r="D33" s="70" t="s">
        <v>383</v>
      </c>
      <c r="E33" s="70" t="s">
        <v>383</v>
      </c>
      <c r="F33" s="70" t="s">
        <v>383</v>
      </c>
      <c r="G33" s="70" t="s">
        <v>383</v>
      </c>
      <c r="H33" s="70" t="s">
        <v>383</v>
      </c>
      <c r="I33" s="70" t="s">
        <v>383</v>
      </c>
      <c r="J33" s="70" t="s">
        <v>383</v>
      </c>
      <c r="K33" s="70" t="s">
        <v>383</v>
      </c>
      <c r="L33" s="70" t="s">
        <v>383</v>
      </c>
      <c r="M33" s="70" t="s">
        <v>383</v>
      </c>
      <c r="N33" s="70" t="s">
        <v>383</v>
      </c>
      <c r="O33" s="70" t="s">
        <v>383</v>
      </c>
      <c r="P33" s="70" t="s">
        <v>383</v>
      </c>
      <c r="Q33" s="70" t="s">
        <v>383</v>
      </c>
      <c r="R33" s="70" t="s">
        <v>383</v>
      </c>
      <c r="S33" s="70" t="s">
        <v>383</v>
      </c>
      <c r="T33" s="70" t="s">
        <v>383</v>
      </c>
      <c r="U33" s="70" t="s">
        <v>383</v>
      </c>
      <c r="V33" s="70" t="s">
        <v>383</v>
      </c>
      <c r="W33" s="70" t="s">
        <v>383</v>
      </c>
      <c r="X33" s="70" t="s">
        <v>383</v>
      </c>
      <c r="Y33" s="70" t="s">
        <v>383</v>
      </c>
      <c r="Z33" s="70" t="s">
        <v>383</v>
      </c>
      <c r="AA33" s="70" t="s">
        <v>383</v>
      </c>
      <c r="AB33" s="70" t="s">
        <v>383</v>
      </c>
      <c r="AC33" s="70" t="s">
        <v>383</v>
      </c>
      <c r="AD33" s="70" t="s">
        <v>383</v>
      </c>
      <c r="AE33" s="157" t="s">
        <v>383</v>
      </c>
    </row>
    <row r="34" spans="1:32" ht="15" customHeight="1" x14ac:dyDescent="0.25">
      <c r="A34" s="156">
        <v>33</v>
      </c>
      <c r="B34" s="17" t="s">
        <v>43</v>
      </c>
      <c r="C34" s="70" t="s">
        <v>383</v>
      </c>
      <c r="D34" s="70" t="s">
        <v>383</v>
      </c>
      <c r="E34" s="70" t="s">
        <v>383</v>
      </c>
      <c r="F34" s="70" t="s">
        <v>383</v>
      </c>
      <c r="G34" s="70" t="s">
        <v>383</v>
      </c>
      <c r="H34" s="70" t="s">
        <v>383</v>
      </c>
      <c r="I34" s="70" t="s">
        <v>383</v>
      </c>
      <c r="J34" s="70" t="s">
        <v>383</v>
      </c>
      <c r="K34" s="70" t="s">
        <v>383</v>
      </c>
      <c r="L34" s="70" t="s">
        <v>383</v>
      </c>
      <c r="M34" s="70" t="s">
        <v>383</v>
      </c>
      <c r="N34" s="70" t="s">
        <v>383</v>
      </c>
      <c r="O34" s="70" t="s">
        <v>383</v>
      </c>
      <c r="P34" s="70" t="s">
        <v>383</v>
      </c>
      <c r="Q34" s="70" t="s">
        <v>383</v>
      </c>
      <c r="R34" s="70" t="s">
        <v>383</v>
      </c>
      <c r="S34" s="70" t="s">
        <v>383</v>
      </c>
      <c r="T34" s="70">
        <v>4</v>
      </c>
      <c r="U34" s="70" t="s">
        <v>383</v>
      </c>
      <c r="V34" s="70" t="s">
        <v>383</v>
      </c>
      <c r="W34" s="70">
        <v>4</v>
      </c>
      <c r="X34" s="70">
        <v>4</v>
      </c>
      <c r="Y34" s="70">
        <v>4</v>
      </c>
      <c r="Z34" s="70" t="s">
        <v>383</v>
      </c>
      <c r="AA34" s="70" t="s">
        <v>383</v>
      </c>
      <c r="AB34" s="70" t="s">
        <v>383</v>
      </c>
      <c r="AC34" s="70" t="s">
        <v>383</v>
      </c>
      <c r="AD34" s="70" t="s">
        <v>383</v>
      </c>
      <c r="AE34" s="157" t="s">
        <v>383</v>
      </c>
    </row>
    <row r="35" spans="1:32" ht="15" customHeight="1" x14ac:dyDescent="0.25">
      <c r="A35" s="156">
        <v>34</v>
      </c>
      <c r="B35" s="17" t="s">
        <v>44</v>
      </c>
      <c r="C35" s="70">
        <v>6</v>
      </c>
      <c r="D35" s="70">
        <v>5</v>
      </c>
      <c r="E35" s="70">
        <v>5</v>
      </c>
      <c r="F35" s="70">
        <v>6</v>
      </c>
      <c r="G35" s="70">
        <v>4</v>
      </c>
      <c r="H35" s="70">
        <v>5</v>
      </c>
      <c r="I35" s="70" t="s">
        <v>383</v>
      </c>
      <c r="J35" s="70">
        <v>4</v>
      </c>
      <c r="K35" s="70">
        <v>5</v>
      </c>
      <c r="L35" s="70">
        <v>5</v>
      </c>
      <c r="M35" s="70">
        <v>6</v>
      </c>
      <c r="N35" s="70" t="s">
        <v>383</v>
      </c>
      <c r="O35" s="70">
        <v>4</v>
      </c>
      <c r="P35" s="70">
        <v>4</v>
      </c>
      <c r="Q35" s="70">
        <v>4</v>
      </c>
      <c r="R35" s="70">
        <v>4</v>
      </c>
      <c r="S35" s="70">
        <v>4</v>
      </c>
      <c r="T35" s="70">
        <v>6</v>
      </c>
      <c r="U35" s="70">
        <v>5</v>
      </c>
      <c r="V35" s="70">
        <v>6</v>
      </c>
      <c r="W35" s="70">
        <v>6</v>
      </c>
      <c r="X35" s="70">
        <v>5</v>
      </c>
      <c r="Y35" s="70">
        <v>5</v>
      </c>
      <c r="Z35" s="70">
        <v>5</v>
      </c>
      <c r="AA35" s="70">
        <v>6</v>
      </c>
      <c r="AB35" s="70">
        <v>7</v>
      </c>
      <c r="AC35" s="70">
        <v>6</v>
      </c>
      <c r="AD35" s="70">
        <v>7</v>
      </c>
      <c r="AE35" s="157">
        <v>6</v>
      </c>
    </row>
    <row r="36" spans="1:32" ht="15" customHeight="1" x14ac:dyDescent="0.25">
      <c r="A36" s="156">
        <v>35</v>
      </c>
      <c r="B36" s="17" t="s">
        <v>45</v>
      </c>
      <c r="C36" s="70" t="s">
        <v>383</v>
      </c>
      <c r="D36" s="70" t="s">
        <v>383</v>
      </c>
      <c r="E36" s="70" t="s">
        <v>383</v>
      </c>
      <c r="F36" s="70" t="s">
        <v>383</v>
      </c>
      <c r="G36" s="70" t="s">
        <v>383</v>
      </c>
      <c r="H36" s="70" t="s">
        <v>383</v>
      </c>
      <c r="I36" s="70" t="s">
        <v>383</v>
      </c>
      <c r="J36" s="70" t="s">
        <v>383</v>
      </c>
      <c r="K36" s="70" t="s">
        <v>383</v>
      </c>
      <c r="L36" s="70" t="s">
        <v>383</v>
      </c>
      <c r="M36" s="70" t="s">
        <v>383</v>
      </c>
      <c r="N36" s="70" t="s">
        <v>383</v>
      </c>
      <c r="O36" s="70" t="s">
        <v>383</v>
      </c>
      <c r="P36" s="70" t="s">
        <v>383</v>
      </c>
      <c r="Q36" s="70" t="s">
        <v>383</v>
      </c>
      <c r="R36" s="70" t="s">
        <v>383</v>
      </c>
      <c r="S36" s="70" t="s">
        <v>383</v>
      </c>
      <c r="T36" s="70" t="s">
        <v>383</v>
      </c>
      <c r="U36" s="70" t="s">
        <v>383</v>
      </c>
      <c r="V36" s="70" t="s">
        <v>383</v>
      </c>
      <c r="W36" s="70" t="s">
        <v>383</v>
      </c>
      <c r="X36" s="70" t="s">
        <v>383</v>
      </c>
      <c r="Y36" s="70" t="s">
        <v>383</v>
      </c>
      <c r="Z36" s="70" t="s">
        <v>383</v>
      </c>
      <c r="AA36" s="70" t="s">
        <v>383</v>
      </c>
      <c r="AB36" s="70" t="s">
        <v>383</v>
      </c>
      <c r="AC36" s="70" t="s">
        <v>383</v>
      </c>
      <c r="AD36" s="70" t="s">
        <v>383</v>
      </c>
      <c r="AE36" s="157" t="s">
        <v>383</v>
      </c>
    </row>
    <row r="37" spans="1:32" ht="15" customHeight="1" x14ac:dyDescent="0.25">
      <c r="A37" s="156">
        <v>36</v>
      </c>
      <c r="B37" s="17" t="s">
        <v>46</v>
      </c>
      <c r="C37" s="70">
        <v>21</v>
      </c>
      <c r="D37" s="70">
        <v>19</v>
      </c>
      <c r="E37" s="70">
        <v>15</v>
      </c>
      <c r="F37" s="70">
        <v>17</v>
      </c>
      <c r="G37" s="70">
        <v>14</v>
      </c>
      <c r="H37" s="70">
        <v>13</v>
      </c>
      <c r="I37" s="70">
        <v>10</v>
      </c>
      <c r="J37" s="70">
        <v>11</v>
      </c>
      <c r="K37" s="70">
        <v>12</v>
      </c>
      <c r="L37" s="70">
        <v>16</v>
      </c>
      <c r="M37" s="70">
        <v>18</v>
      </c>
      <c r="N37" s="70">
        <v>17</v>
      </c>
      <c r="O37" s="70">
        <v>17</v>
      </c>
      <c r="P37" s="70">
        <v>20</v>
      </c>
      <c r="Q37" s="70">
        <v>23</v>
      </c>
      <c r="R37" s="70">
        <v>22</v>
      </c>
      <c r="S37" s="70">
        <v>25</v>
      </c>
      <c r="T37" s="70">
        <v>24</v>
      </c>
      <c r="U37" s="70">
        <v>24</v>
      </c>
      <c r="V37" s="70">
        <v>25</v>
      </c>
      <c r="W37" s="70">
        <v>25</v>
      </c>
      <c r="X37" s="70">
        <v>24</v>
      </c>
      <c r="Y37" s="70">
        <v>25</v>
      </c>
      <c r="Z37" s="70">
        <v>22</v>
      </c>
      <c r="AA37" s="70">
        <v>18</v>
      </c>
      <c r="AB37" s="70">
        <v>19</v>
      </c>
      <c r="AC37" s="70">
        <v>19</v>
      </c>
      <c r="AD37" s="70">
        <v>22</v>
      </c>
      <c r="AE37" s="157">
        <v>24</v>
      </c>
    </row>
    <row r="38" spans="1:32" ht="15" customHeight="1" thickBot="1" x14ac:dyDescent="0.3">
      <c r="A38" s="152">
        <v>37</v>
      </c>
      <c r="B38" s="15" t="s">
        <v>47</v>
      </c>
      <c r="C38" s="68" t="s">
        <v>383</v>
      </c>
      <c r="D38" s="68" t="s">
        <v>383</v>
      </c>
      <c r="E38" s="68" t="s">
        <v>383</v>
      </c>
      <c r="F38" s="68" t="s">
        <v>383</v>
      </c>
      <c r="G38" s="68" t="s">
        <v>383</v>
      </c>
      <c r="H38" s="68" t="s">
        <v>383</v>
      </c>
      <c r="I38" s="68" t="s">
        <v>383</v>
      </c>
      <c r="J38" s="68" t="s">
        <v>383</v>
      </c>
      <c r="K38" s="68" t="s">
        <v>383</v>
      </c>
      <c r="L38" s="68" t="s">
        <v>383</v>
      </c>
      <c r="M38" s="68" t="s">
        <v>383</v>
      </c>
      <c r="N38" s="68" t="s">
        <v>383</v>
      </c>
      <c r="O38" s="68" t="s">
        <v>383</v>
      </c>
      <c r="P38" s="68" t="s">
        <v>383</v>
      </c>
      <c r="Q38" s="68" t="s">
        <v>383</v>
      </c>
      <c r="R38" s="68" t="s">
        <v>383</v>
      </c>
      <c r="S38" s="68" t="s">
        <v>383</v>
      </c>
      <c r="T38" s="68" t="s">
        <v>383</v>
      </c>
      <c r="U38" s="68" t="s">
        <v>383</v>
      </c>
      <c r="V38" s="68" t="s">
        <v>383</v>
      </c>
      <c r="W38" s="68" t="s">
        <v>383</v>
      </c>
      <c r="X38" s="68" t="s">
        <v>383</v>
      </c>
      <c r="Y38" s="68" t="s">
        <v>383</v>
      </c>
      <c r="Z38" s="68" t="s">
        <v>383</v>
      </c>
      <c r="AA38" s="68" t="s">
        <v>383</v>
      </c>
      <c r="AB38" s="68" t="s">
        <v>383</v>
      </c>
      <c r="AC38" s="68" t="s">
        <v>383</v>
      </c>
      <c r="AD38" s="68" t="s">
        <v>383</v>
      </c>
      <c r="AE38" s="153" t="s">
        <v>383</v>
      </c>
    </row>
    <row r="39" spans="1:32" s="11" customFormat="1" ht="15" customHeight="1" thickBot="1" x14ac:dyDescent="0.3">
      <c r="A39" s="144" t="s">
        <v>48</v>
      </c>
      <c r="B39" s="9" t="s">
        <v>49</v>
      </c>
      <c r="C39" s="64">
        <v>17</v>
      </c>
      <c r="D39" s="64">
        <v>17</v>
      </c>
      <c r="E39" s="64">
        <v>17</v>
      </c>
      <c r="F39" s="64">
        <v>17</v>
      </c>
      <c r="G39" s="64">
        <v>15</v>
      </c>
      <c r="H39" s="64">
        <v>14</v>
      </c>
      <c r="I39" s="64">
        <v>14</v>
      </c>
      <c r="J39" s="64">
        <v>14</v>
      </c>
      <c r="K39" s="64">
        <v>12</v>
      </c>
      <c r="L39" s="64">
        <v>14</v>
      </c>
      <c r="M39" s="64">
        <v>15</v>
      </c>
      <c r="N39" s="64">
        <v>14</v>
      </c>
      <c r="O39" s="64">
        <v>14</v>
      </c>
      <c r="P39" s="64">
        <v>14</v>
      </c>
      <c r="Q39" s="64">
        <v>14</v>
      </c>
      <c r="R39" s="64">
        <v>14</v>
      </c>
      <c r="S39" s="64">
        <v>15</v>
      </c>
      <c r="T39" s="64">
        <v>17</v>
      </c>
      <c r="U39" s="64">
        <v>18</v>
      </c>
      <c r="V39" s="64">
        <v>18</v>
      </c>
      <c r="W39" s="64">
        <v>19</v>
      </c>
      <c r="X39" s="64">
        <v>18</v>
      </c>
      <c r="Y39" s="64">
        <v>17</v>
      </c>
      <c r="Z39" s="64">
        <v>18</v>
      </c>
      <c r="AA39" s="64">
        <v>18</v>
      </c>
      <c r="AB39" s="64">
        <v>17</v>
      </c>
      <c r="AC39" s="64">
        <v>20</v>
      </c>
      <c r="AD39" s="64">
        <v>19</v>
      </c>
      <c r="AE39" s="145">
        <v>18</v>
      </c>
      <c r="AF39" s="10"/>
    </row>
    <row r="40" spans="1:32" ht="15" customHeight="1" x14ac:dyDescent="0.25">
      <c r="A40" s="146">
        <v>40</v>
      </c>
      <c r="B40" s="12" t="s">
        <v>50</v>
      </c>
      <c r="C40" s="65">
        <v>8</v>
      </c>
      <c r="D40" s="65">
        <v>8</v>
      </c>
      <c r="E40" s="65">
        <v>7</v>
      </c>
      <c r="F40" s="65">
        <v>7</v>
      </c>
      <c r="G40" s="65">
        <v>7</v>
      </c>
      <c r="H40" s="65">
        <v>6</v>
      </c>
      <c r="I40" s="65">
        <v>6</v>
      </c>
      <c r="J40" s="65">
        <v>6</v>
      </c>
      <c r="K40" s="65">
        <v>4</v>
      </c>
      <c r="L40" s="65">
        <v>5</v>
      </c>
      <c r="M40" s="65">
        <v>6</v>
      </c>
      <c r="N40" s="65">
        <v>5</v>
      </c>
      <c r="O40" s="65">
        <v>5</v>
      </c>
      <c r="P40" s="65">
        <v>5</v>
      </c>
      <c r="Q40" s="65">
        <v>5</v>
      </c>
      <c r="R40" s="65">
        <v>5</v>
      </c>
      <c r="S40" s="65">
        <v>6</v>
      </c>
      <c r="T40" s="65">
        <v>7</v>
      </c>
      <c r="U40" s="65">
        <v>9</v>
      </c>
      <c r="V40" s="65">
        <v>9</v>
      </c>
      <c r="W40" s="65">
        <v>10</v>
      </c>
      <c r="X40" s="65">
        <v>9</v>
      </c>
      <c r="Y40" s="65">
        <v>8</v>
      </c>
      <c r="Z40" s="65">
        <v>9</v>
      </c>
      <c r="AA40" s="65">
        <v>9</v>
      </c>
      <c r="AB40" s="65">
        <v>8</v>
      </c>
      <c r="AC40" s="65">
        <v>10</v>
      </c>
      <c r="AD40" s="65">
        <v>9</v>
      </c>
      <c r="AE40" s="147">
        <v>10</v>
      </c>
    </row>
    <row r="41" spans="1:32" ht="15" customHeight="1" thickBot="1" x14ac:dyDescent="0.3">
      <c r="A41" s="158">
        <v>41</v>
      </c>
      <c r="B41" s="18" t="s">
        <v>51</v>
      </c>
      <c r="C41" s="71">
        <v>9</v>
      </c>
      <c r="D41" s="71">
        <v>9</v>
      </c>
      <c r="E41" s="71">
        <v>10</v>
      </c>
      <c r="F41" s="71">
        <v>10</v>
      </c>
      <c r="G41" s="71">
        <v>8</v>
      </c>
      <c r="H41" s="71">
        <v>8</v>
      </c>
      <c r="I41" s="71">
        <v>8</v>
      </c>
      <c r="J41" s="71">
        <v>8</v>
      </c>
      <c r="K41" s="71">
        <v>8</v>
      </c>
      <c r="L41" s="71">
        <v>9</v>
      </c>
      <c r="M41" s="71">
        <v>9</v>
      </c>
      <c r="N41" s="71">
        <v>9</v>
      </c>
      <c r="O41" s="71">
        <v>9</v>
      </c>
      <c r="P41" s="71">
        <v>9</v>
      </c>
      <c r="Q41" s="71">
        <v>9</v>
      </c>
      <c r="R41" s="71">
        <v>9</v>
      </c>
      <c r="S41" s="71">
        <v>9</v>
      </c>
      <c r="T41" s="71">
        <v>10</v>
      </c>
      <c r="U41" s="71">
        <v>9</v>
      </c>
      <c r="V41" s="71">
        <v>9</v>
      </c>
      <c r="W41" s="71">
        <v>9</v>
      </c>
      <c r="X41" s="71">
        <v>9</v>
      </c>
      <c r="Y41" s="71">
        <v>9</v>
      </c>
      <c r="Z41" s="71">
        <v>9</v>
      </c>
      <c r="AA41" s="71">
        <v>9</v>
      </c>
      <c r="AB41" s="71">
        <v>9</v>
      </c>
      <c r="AC41" s="71">
        <v>10</v>
      </c>
      <c r="AD41" s="71">
        <v>10</v>
      </c>
      <c r="AE41" s="159">
        <v>8</v>
      </c>
    </row>
    <row r="42" spans="1:32" s="11" customFormat="1" ht="15" customHeight="1" thickBot="1" x14ac:dyDescent="0.3">
      <c r="A42" s="160" t="s">
        <v>52</v>
      </c>
      <c r="B42" s="19" t="s">
        <v>53</v>
      </c>
      <c r="C42" s="64">
        <v>120</v>
      </c>
      <c r="D42" s="64">
        <v>133</v>
      </c>
      <c r="E42" s="64">
        <v>137</v>
      </c>
      <c r="F42" s="64">
        <v>142</v>
      </c>
      <c r="G42" s="64">
        <v>134</v>
      </c>
      <c r="H42" s="64">
        <v>117</v>
      </c>
      <c r="I42" s="64">
        <v>102</v>
      </c>
      <c r="J42" s="64">
        <v>113</v>
      </c>
      <c r="K42" s="64">
        <v>116</v>
      </c>
      <c r="L42" s="64">
        <v>156</v>
      </c>
      <c r="M42" s="64">
        <v>195</v>
      </c>
      <c r="N42" s="64">
        <v>221</v>
      </c>
      <c r="O42" s="64">
        <v>243</v>
      </c>
      <c r="P42" s="64">
        <v>265</v>
      </c>
      <c r="Q42" s="64">
        <v>301</v>
      </c>
      <c r="R42" s="64">
        <v>326</v>
      </c>
      <c r="S42" s="64">
        <v>302</v>
      </c>
      <c r="T42" s="64">
        <v>321</v>
      </c>
      <c r="U42" s="64">
        <v>349</v>
      </c>
      <c r="V42" s="64">
        <v>346</v>
      </c>
      <c r="W42" s="64">
        <v>348</v>
      </c>
      <c r="X42" s="64">
        <v>379</v>
      </c>
      <c r="Y42" s="64">
        <v>378</v>
      </c>
      <c r="Z42" s="64">
        <v>326</v>
      </c>
      <c r="AA42" s="64">
        <v>317</v>
      </c>
      <c r="AB42" s="64">
        <v>321</v>
      </c>
      <c r="AC42" s="64">
        <v>370</v>
      </c>
      <c r="AD42" s="64">
        <v>368</v>
      </c>
      <c r="AE42" s="145">
        <v>339</v>
      </c>
      <c r="AF42" s="10"/>
    </row>
    <row r="43" spans="1:32" ht="15" customHeight="1" thickBot="1" x14ac:dyDescent="0.3">
      <c r="A43" s="150">
        <v>45</v>
      </c>
      <c r="B43" s="14" t="s">
        <v>54</v>
      </c>
      <c r="C43" s="67">
        <v>120</v>
      </c>
      <c r="D43" s="67">
        <v>133</v>
      </c>
      <c r="E43" s="67">
        <v>137</v>
      </c>
      <c r="F43" s="67">
        <v>142</v>
      </c>
      <c r="G43" s="67">
        <v>134</v>
      </c>
      <c r="H43" s="67">
        <v>117</v>
      </c>
      <c r="I43" s="67">
        <v>102</v>
      </c>
      <c r="J43" s="67">
        <v>113</v>
      </c>
      <c r="K43" s="67">
        <v>116</v>
      </c>
      <c r="L43" s="67">
        <v>156</v>
      </c>
      <c r="M43" s="67">
        <v>195</v>
      </c>
      <c r="N43" s="67">
        <v>221</v>
      </c>
      <c r="O43" s="67">
        <v>243</v>
      </c>
      <c r="P43" s="67">
        <v>265</v>
      </c>
      <c r="Q43" s="67">
        <v>301</v>
      </c>
      <c r="R43" s="67">
        <v>326</v>
      </c>
      <c r="S43" s="67">
        <v>302</v>
      </c>
      <c r="T43" s="67">
        <v>321</v>
      </c>
      <c r="U43" s="67">
        <v>349</v>
      </c>
      <c r="V43" s="67">
        <v>346</v>
      </c>
      <c r="W43" s="67">
        <v>348</v>
      </c>
      <c r="X43" s="67">
        <v>379</v>
      </c>
      <c r="Y43" s="67">
        <v>378</v>
      </c>
      <c r="Z43" s="67">
        <v>326</v>
      </c>
      <c r="AA43" s="67">
        <v>317</v>
      </c>
      <c r="AB43" s="67">
        <v>321</v>
      </c>
      <c r="AC43" s="67">
        <v>370</v>
      </c>
      <c r="AD43" s="67">
        <v>368</v>
      </c>
      <c r="AE43" s="151">
        <v>339</v>
      </c>
    </row>
    <row r="44" spans="1:32" s="11" customFormat="1" ht="15" customHeight="1" thickBot="1" x14ac:dyDescent="0.3">
      <c r="A44" s="144" t="s">
        <v>55</v>
      </c>
      <c r="B44" s="9" t="s">
        <v>56</v>
      </c>
      <c r="C44" s="64">
        <v>1171</v>
      </c>
      <c r="D44" s="64">
        <v>1105</v>
      </c>
      <c r="E44" s="64">
        <v>1088</v>
      </c>
      <c r="F44" s="64">
        <v>1082</v>
      </c>
      <c r="G44" s="64">
        <v>1059</v>
      </c>
      <c r="H44" s="64">
        <v>1021</v>
      </c>
      <c r="I44" s="64">
        <v>971</v>
      </c>
      <c r="J44" s="64">
        <v>1061</v>
      </c>
      <c r="K44" s="64">
        <v>1186</v>
      </c>
      <c r="L44" s="64">
        <v>1346</v>
      </c>
      <c r="M44" s="64">
        <v>1476</v>
      </c>
      <c r="N44" s="64">
        <v>1681</v>
      </c>
      <c r="O44" s="64">
        <v>1761</v>
      </c>
      <c r="P44" s="64">
        <v>1848</v>
      </c>
      <c r="Q44" s="64">
        <v>1943</v>
      </c>
      <c r="R44" s="64">
        <v>2030</v>
      </c>
      <c r="S44" s="64">
        <v>2132</v>
      </c>
      <c r="T44" s="64">
        <v>2173</v>
      </c>
      <c r="U44" s="64">
        <v>2205</v>
      </c>
      <c r="V44" s="64">
        <v>2288</v>
      </c>
      <c r="W44" s="64">
        <v>2348</v>
      </c>
      <c r="X44" s="64">
        <v>2410</v>
      </c>
      <c r="Y44" s="64">
        <v>2435</v>
      </c>
      <c r="Z44" s="64">
        <v>2313</v>
      </c>
      <c r="AA44" s="64">
        <v>2214</v>
      </c>
      <c r="AB44" s="64">
        <v>2244</v>
      </c>
      <c r="AC44" s="64">
        <v>2615</v>
      </c>
      <c r="AD44" s="64">
        <v>2526</v>
      </c>
      <c r="AE44" s="145">
        <v>2542</v>
      </c>
      <c r="AF44" s="10"/>
    </row>
    <row r="45" spans="1:32" ht="15" customHeight="1" x14ac:dyDescent="0.25">
      <c r="A45" s="146">
        <v>50</v>
      </c>
      <c r="B45" s="12" t="s">
        <v>57</v>
      </c>
      <c r="C45" s="65">
        <v>151</v>
      </c>
      <c r="D45" s="65">
        <v>156</v>
      </c>
      <c r="E45" s="65">
        <v>150</v>
      </c>
      <c r="F45" s="65">
        <v>152</v>
      </c>
      <c r="G45" s="65">
        <v>157</v>
      </c>
      <c r="H45" s="65">
        <v>150</v>
      </c>
      <c r="I45" s="65">
        <v>147</v>
      </c>
      <c r="J45" s="65">
        <v>148</v>
      </c>
      <c r="K45" s="65">
        <v>168</v>
      </c>
      <c r="L45" s="65">
        <v>183</v>
      </c>
      <c r="M45" s="65">
        <v>200</v>
      </c>
      <c r="N45" s="65">
        <v>233</v>
      </c>
      <c r="O45" s="65">
        <v>243</v>
      </c>
      <c r="P45" s="65">
        <v>247</v>
      </c>
      <c r="Q45" s="65">
        <v>263</v>
      </c>
      <c r="R45" s="65">
        <v>275</v>
      </c>
      <c r="S45" s="65">
        <v>289</v>
      </c>
      <c r="T45" s="65">
        <v>314</v>
      </c>
      <c r="U45" s="65">
        <v>314</v>
      </c>
      <c r="V45" s="65">
        <v>315</v>
      </c>
      <c r="W45" s="65">
        <v>321</v>
      </c>
      <c r="X45" s="65">
        <v>319</v>
      </c>
      <c r="Y45" s="65">
        <v>331</v>
      </c>
      <c r="Z45" s="65">
        <v>325</v>
      </c>
      <c r="AA45" s="65">
        <v>308</v>
      </c>
      <c r="AB45" s="65">
        <v>315</v>
      </c>
      <c r="AC45" s="65">
        <v>352</v>
      </c>
      <c r="AD45" s="65">
        <v>358</v>
      </c>
      <c r="AE45" s="147">
        <v>362</v>
      </c>
    </row>
    <row r="46" spans="1:32" ht="15" customHeight="1" x14ac:dyDescent="0.25">
      <c r="A46" s="156">
        <v>51</v>
      </c>
      <c r="B46" s="17" t="s">
        <v>58</v>
      </c>
      <c r="C46" s="70">
        <v>209</v>
      </c>
      <c r="D46" s="70">
        <v>186</v>
      </c>
      <c r="E46" s="70">
        <v>184</v>
      </c>
      <c r="F46" s="70">
        <v>188</v>
      </c>
      <c r="G46" s="70">
        <v>173</v>
      </c>
      <c r="H46" s="70">
        <v>170</v>
      </c>
      <c r="I46" s="70">
        <v>180</v>
      </c>
      <c r="J46" s="70">
        <v>198</v>
      </c>
      <c r="K46" s="70">
        <v>211</v>
      </c>
      <c r="L46" s="70">
        <v>233</v>
      </c>
      <c r="M46" s="70">
        <v>243</v>
      </c>
      <c r="N46" s="70">
        <v>276</v>
      </c>
      <c r="O46" s="70">
        <v>284</v>
      </c>
      <c r="P46" s="70">
        <v>287</v>
      </c>
      <c r="Q46" s="70">
        <v>298</v>
      </c>
      <c r="R46" s="70">
        <v>319</v>
      </c>
      <c r="S46" s="70">
        <v>332</v>
      </c>
      <c r="T46" s="70">
        <v>333</v>
      </c>
      <c r="U46" s="70">
        <v>330</v>
      </c>
      <c r="V46" s="70">
        <v>333</v>
      </c>
      <c r="W46" s="70">
        <v>355</v>
      </c>
      <c r="X46" s="70">
        <v>372</v>
      </c>
      <c r="Y46" s="70">
        <v>361</v>
      </c>
      <c r="Z46" s="70">
        <v>357</v>
      </c>
      <c r="AA46" s="70">
        <v>374</v>
      </c>
      <c r="AB46" s="70">
        <v>396</v>
      </c>
      <c r="AC46" s="70">
        <v>454</v>
      </c>
      <c r="AD46" s="70">
        <v>457</v>
      </c>
      <c r="AE46" s="157">
        <v>451</v>
      </c>
    </row>
    <row r="47" spans="1:32" ht="15" customHeight="1" thickBot="1" x14ac:dyDescent="0.3">
      <c r="A47" s="158">
        <v>52</v>
      </c>
      <c r="B47" s="18" t="s">
        <v>59</v>
      </c>
      <c r="C47" s="71">
        <v>811</v>
      </c>
      <c r="D47" s="71">
        <v>763</v>
      </c>
      <c r="E47" s="71">
        <v>754</v>
      </c>
      <c r="F47" s="71">
        <v>742</v>
      </c>
      <c r="G47" s="71">
        <v>729</v>
      </c>
      <c r="H47" s="71">
        <v>701</v>
      </c>
      <c r="I47" s="71">
        <v>644</v>
      </c>
      <c r="J47" s="71">
        <v>715</v>
      </c>
      <c r="K47" s="71">
        <v>807</v>
      </c>
      <c r="L47" s="71">
        <v>930</v>
      </c>
      <c r="M47" s="71">
        <v>1033</v>
      </c>
      <c r="N47" s="71">
        <v>1172</v>
      </c>
      <c r="O47" s="71">
        <v>1234</v>
      </c>
      <c r="P47" s="71">
        <v>1314</v>
      </c>
      <c r="Q47" s="71">
        <v>1382</v>
      </c>
      <c r="R47" s="71">
        <v>1436</v>
      </c>
      <c r="S47" s="71">
        <v>1511</v>
      </c>
      <c r="T47" s="71">
        <v>1526</v>
      </c>
      <c r="U47" s="71">
        <v>1561</v>
      </c>
      <c r="V47" s="71">
        <v>1640</v>
      </c>
      <c r="W47" s="71">
        <v>1672</v>
      </c>
      <c r="X47" s="71">
        <v>1719</v>
      </c>
      <c r="Y47" s="71">
        <v>1743</v>
      </c>
      <c r="Z47" s="71">
        <v>1631</v>
      </c>
      <c r="AA47" s="71">
        <v>1532</v>
      </c>
      <c r="AB47" s="71">
        <v>1533</v>
      </c>
      <c r="AC47" s="71">
        <v>1809</v>
      </c>
      <c r="AD47" s="71">
        <v>1711</v>
      </c>
      <c r="AE47" s="159">
        <v>1729</v>
      </c>
    </row>
    <row r="48" spans="1:32" s="11" customFormat="1" ht="15" customHeight="1" thickBot="1" x14ac:dyDescent="0.3">
      <c r="A48" s="160" t="s">
        <v>60</v>
      </c>
      <c r="B48" s="19" t="s">
        <v>61</v>
      </c>
      <c r="C48" s="64">
        <v>180</v>
      </c>
      <c r="D48" s="64">
        <v>186</v>
      </c>
      <c r="E48" s="64">
        <v>161</v>
      </c>
      <c r="F48" s="64">
        <v>180</v>
      </c>
      <c r="G48" s="64">
        <v>164</v>
      </c>
      <c r="H48" s="64">
        <v>146</v>
      </c>
      <c r="I48" s="64">
        <v>134</v>
      </c>
      <c r="J48" s="64">
        <v>139</v>
      </c>
      <c r="K48" s="64">
        <v>170</v>
      </c>
      <c r="L48" s="64">
        <v>194</v>
      </c>
      <c r="M48" s="64">
        <v>215</v>
      </c>
      <c r="N48" s="64">
        <v>241</v>
      </c>
      <c r="O48" s="64">
        <v>261</v>
      </c>
      <c r="P48" s="64">
        <v>288</v>
      </c>
      <c r="Q48" s="64">
        <v>297</v>
      </c>
      <c r="R48" s="64">
        <v>310</v>
      </c>
      <c r="S48" s="64">
        <v>333</v>
      </c>
      <c r="T48" s="64">
        <v>323</v>
      </c>
      <c r="U48" s="64">
        <v>319</v>
      </c>
      <c r="V48" s="64">
        <v>342</v>
      </c>
      <c r="W48" s="64">
        <v>339</v>
      </c>
      <c r="X48" s="64">
        <v>364</v>
      </c>
      <c r="Y48" s="64">
        <v>377</v>
      </c>
      <c r="Z48" s="64">
        <v>312</v>
      </c>
      <c r="AA48" s="64">
        <v>255</v>
      </c>
      <c r="AB48" s="64">
        <v>274</v>
      </c>
      <c r="AC48" s="64">
        <v>362</v>
      </c>
      <c r="AD48" s="64">
        <v>364</v>
      </c>
      <c r="AE48" s="145">
        <v>344</v>
      </c>
      <c r="AF48" s="10"/>
    </row>
    <row r="49" spans="1:32" ht="15" customHeight="1" thickBot="1" x14ac:dyDescent="0.3">
      <c r="A49" s="150">
        <v>55</v>
      </c>
      <c r="B49" s="14" t="s">
        <v>62</v>
      </c>
      <c r="C49" s="67">
        <v>180</v>
      </c>
      <c r="D49" s="67">
        <v>186</v>
      </c>
      <c r="E49" s="67">
        <v>161</v>
      </c>
      <c r="F49" s="67">
        <v>180</v>
      </c>
      <c r="G49" s="67">
        <v>164</v>
      </c>
      <c r="H49" s="67">
        <v>146</v>
      </c>
      <c r="I49" s="67">
        <v>134</v>
      </c>
      <c r="J49" s="67">
        <v>139</v>
      </c>
      <c r="K49" s="67">
        <v>170</v>
      </c>
      <c r="L49" s="67">
        <v>194</v>
      </c>
      <c r="M49" s="67">
        <v>215</v>
      </c>
      <c r="N49" s="67">
        <v>241</v>
      </c>
      <c r="O49" s="67">
        <v>261</v>
      </c>
      <c r="P49" s="67">
        <v>288</v>
      </c>
      <c r="Q49" s="67">
        <v>297</v>
      </c>
      <c r="R49" s="67">
        <v>310</v>
      </c>
      <c r="S49" s="67">
        <v>333</v>
      </c>
      <c r="T49" s="67">
        <v>323</v>
      </c>
      <c r="U49" s="67">
        <v>319</v>
      </c>
      <c r="V49" s="67">
        <v>342</v>
      </c>
      <c r="W49" s="67">
        <v>339</v>
      </c>
      <c r="X49" s="67">
        <v>364</v>
      </c>
      <c r="Y49" s="67">
        <v>377</v>
      </c>
      <c r="Z49" s="67">
        <v>312</v>
      </c>
      <c r="AA49" s="67">
        <v>255</v>
      </c>
      <c r="AB49" s="67">
        <v>274</v>
      </c>
      <c r="AC49" s="67">
        <v>362</v>
      </c>
      <c r="AD49" s="67">
        <v>364</v>
      </c>
      <c r="AE49" s="151">
        <v>344</v>
      </c>
    </row>
    <row r="50" spans="1:32" s="11" customFormat="1" ht="15" customHeight="1" thickBot="1" x14ac:dyDescent="0.3">
      <c r="A50" s="144" t="s">
        <v>63</v>
      </c>
      <c r="B50" s="9" t="s">
        <v>64</v>
      </c>
      <c r="C50" s="64">
        <v>178</v>
      </c>
      <c r="D50" s="64">
        <v>172</v>
      </c>
      <c r="E50" s="64">
        <v>165</v>
      </c>
      <c r="F50" s="64">
        <v>175</v>
      </c>
      <c r="G50" s="64">
        <v>165</v>
      </c>
      <c r="H50" s="64">
        <v>167</v>
      </c>
      <c r="I50" s="64">
        <v>157</v>
      </c>
      <c r="J50" s="64">
        <v>164</v>
      </c>
      <c r="K50" s="64">
        <v>189</v>
      </c>
      <c r="L50" s="64">
        <v>207</v>
      </c>
      <c r="M50" s="64">
        <v>233</v>
      </c>
      <c r="N50" s="64">
        <v>258</v>
      </c>
      <c r="O50" s="64">
        <v>277</v>
      </c>
      <c r="P50" s="64">
        <v>297</v>
      </c>
      <c r="Q50" s="64">
        <v>317</v>
      </c>
      <c r="R50" s="64">
        <v>335</v>
      </c>
      <c r="S50" s="64">
        <v>333</v>
      </c>
      <c r="T50" s="64">
        <v>324</v>
      </c>
      <c r="U50" s="64">
        <v>332</v>
      </c>
      <c r="V50" s="64">
        <v>322</v>
      </c>
      <c r="W50" s="64">
        <v>329</v>
      </c>
      <c r="X50" s="64">
        <v>366</v>
      </c>
      <c r="Y50" s="64">
        <v>378</v>
      </c>
      <c r="Z50" s="64">
        <v>374</v>
      </c>
      <c r="AA50" s="64">
        <v>360</v>
      </c>
      <c r="AB50" s="64">
        <v>354</v>
      </c>
      <c r="AC50" s="64">
        <v>407</v>
      </c>
      <c r="AD50" s="64">
        <v>405</v>
      </c>
      <c r="AE50" s="145">
        <v>392</v>
      </c>
      <c r="AF50" s="10"/>
    </row>
    <row r="51" spans="1:32" ht="15" customHeight="1" x14ac:dyDescent="0.25">
      <c r="A51" s="152">
        <v>60</v>
      </c>
      <c r="B51" s="15" t="s">
        <v>65</v>
      </c>
      <c r="C51" s="68">
        <v>125</v>
      </c>
      <c r="D51" s="68">
        <v>119</v>
      </c>
      <c r="E51" s="68">
        <v>107</v>
      </c>
      <c r="F51" s="68">
        <v>102</v>
      </c>
      <c r="G51" s="68">
        <v>100</v>
      </c>
      <c r="H51" s="68">
        <v>99</v>
      </c>
      <c r="I51" s="68">
        <v>91</v>
      </c>
      <c r="J51" s="68">
        <v>96</v>
      </c>
      <c r="K51" s="68">
        <v>121</v>
      </c>
      <c r="L51" s="68">
        <v>128</v>
      </c>
      <c r="M51" s="68">
        <v>142</v>
      </c>
      <c r="N51" s="68">
        <v>170</v>
      </c>
      <c r="O51" s="68">
        <v>190</v>
      </c>
      <c r="P51" s="68">
        <v>205</v>
      </c>
      <c r="Q51" s="68">
        <v>221</v>
      </c>
      <c r="R51" s="68">
        <v>237</v>
      </c>
      <c r="S51" s="68">
        <v>237</v>
      </c>
      <c r="T51" s="68">
        <v>235</v>
      </c>
      <c r="U51" s="68">
        <v>241</v>
      </c>
      <c r="V51" s="68">
        <v>229</v>
      </c>
      <c r="W51" s="68">
        <v>230</v>
      </c>
      <c r="X51" s="68">
        <v>264</v>
      </c>
      <c r="Y51" s="68">
        <v>282</v>
      </c>
      <c r="Z51" s="68">
        <v>279</v>
      </c>
      <c r="AA51" s="68">
        <v>273</v>
      </c>
      <c r="AB51" s="68">
        <v>273</v>
      </c>
      <c r="AC51" s="68">
        <v>312</v>
      </c>
      <c r="AD51" s="68">
        <v>305</v>
      </c>
      <c r="AE51" s="153">
        <v>297</v>
      </c>
    </row>
    <row r="52" spans="1:32" ht="15" customHeight="1" x14ac:dyDescent="0.25">
      <c r="A52" s="161">
        <v>61</v>
      </c>
      <c r="B52" s="20" t="s">
        <v>66</v>
      </c>
      <c r="C52" s="73" t="s">
        <v>383</v>
      </c>
      <c r="D52" s="73" t="s">
        <v>383</v>
      </c>
      <c r="E52" s="73" t="s">
        <v>383</v>
      </c>
      <c r="F52" s="73" t="s">
        <v>383</v>
      </c>
      <c r="G52" s="73" t="s">
        <v>383</v>
      </c>
      <c r="H52" s="73" t="s">
        <v>383</v>
      </c>
      <c r="I52" s="73" t="s">
        <v>383</v>
      </c>
      <c r="J52" s="73" t="s">
        <v>383</v>
      </c>
      <c r="K52" s="73" t="s">
        <v>383</v>
      </c>
      <c r="L52" s="73" t="s">
        <v>383</v>
      </c>
      <c r="M52" s="73" t="s">
        <v>383</v>
      </c>
      <c r="N52" s="73" t="s">
        <v>383</v>
      </c>
      <c r="O52" s="73" t="s">
        <v>383</v>
      </c>
      <c r="P52" s="73" t="s">
        <v>383</v>
      </c>
      <c r="Q52" s="73" t="s">
        <v>383</v>
      </c>
      <c r="R52" s="73" t="s">
        <v>383</v>
      </c>
      <c r="S52" s="73" t="s">
        <v>383</v>
      </c>
      <c r="T52" s="73" t="s">
        <v>383</v>
      </c>
      <c r="U52" s="73" t="s">
        <v>383</v>
      </c>
      <c r="V52" s="73" t="s">
        <v>383</v>
      </c>
      <c r="W52" s="73" t="s">
        <v>383</v>
      </c>
      <c r="X52" s="73" t="s">
        <v>383</v>
      </c>
      <c r="Y52" s="73" t="s">
        <v>383</v>
      </c>
      <c r="Z52" s="73" t="s">
        <v>383</v>
      </c>
      <c r="AA52" s="73" t="s">
        <v>383</v>
      </c>
      <c r="AB52" s="73" t="s">
        <v>383</v>
      </c>
      <c r="AC52" s="73" t="s">
        <v>383</v>
      </c>
      <c r="AD52" s="73" t="s">
        <v>383</v>
      </c>
      <c r="AE52" s="162" t="s">
        <v>383</v>
      </c>
    </row>
    <row r="53" spans="1:32" ht="15" customHeight="1" x14ac:dyDescent="0.25">
      <c r="A53" s="152">
        <v>62</v>
      </c>
      <c r="B53" s="15" t="s">
        <v>67</v>
      </c>
      <c r="C53" s="68" t="s">
        <v>383</v>
      </c>
      <c r="D53" s="68" t="s">
        <v>383</v>
      </c>
      <c r="E53" s="68" t="s">
        <v>383</v>
      </c>
      <c r="F53" s="68" t="s">
        <v>383</v>
      </c>
      <c r="G53" s="68" t="s">
        <v>383</v>
      </c>
      <c r="H53" s="68" t="s">
        <v>383</v>
      </c>
      <c r="I53" s="68" t="s">
        <v>383</v>
      </c>
      <c r="J53" s="68" t="s">
        <v>383</v>
      </c>
      <c r="K53" s="68" t="s">
        <v>383</v>
      </c>
      <c r="L53" s="68" t="s">
        <v>383</v>
      </c>
      <c r="M53" s="68" t="s">
        <v>383</v>
      </c>
      <c r="N53" s="68" t="s">
        <v>383</v>
      </c>
      <c r="O53" s="68" t="s">
        <v>383</v>
      </c>
      <c r="P53" s="68" t="s">
        <v>383</v>
      </c>
      <c r="Q53" s="68" t="s">
        <v>383</v>
      </c>
      <c r="R53" s="68" t="s">
        <v>383</v>
      </c>
      <c r="S53" s="68" t="s">
        <v>383</v>
      </c>
      <c r="T53" s="68" t="s">
        <v>383</v>
      </c>
      <c r="U53" s="68" t="s">
        <v>383</v>
      </c>
      <c r="V53" s="68" t="s">
        <v>383</v>
      </c>
      <c r="W53" s="68" t="s">
        <v>383</v>
      </c>
      <c r="X53" s="68" t="s">
        <v>383</v>
      </c>
      <c r="Y53" s="68" t="s">
        <v>383</v>
      </c>
      <c r="Z53" s="68" t="s">
        <v>383</v>
      </c>
      <c r="AA53" s="68" t="s">
        <v>383</v>
      </c>
      <c r="AB53" s="68" t="s">
        <v>383</v>
      </c>
      <c r="AC53" s="68" t="s">
        <v>383</v>
      </c>
      <c r="AD53" s="68" t="s">
        <v>383</v>
      </c>
      <c r="AE53" s="153" t="s">
        <v>383</v>
      </c>
    </row>
    <row r="54" spans="1:32" ht="15" customHeight="1" x14ac:dyDescent="0.25">
      <c r="A54" s="163">
        <v>63</v>
      </c>
      <c r="B54" s="21" t="s">
        <v>68</v>
      </c>
      <c r="C54" s="74">
        <v>20</v>
      </c>
      <c r="D54" s="74">
        <v>15</v>
      </c>
      <c r="E54" s="74">
        <v>14</v>
      </c>
      <c r="F54" s="74">
        <v>17</v>
      </c>
      <c r="G54" s="74">
        <v>17</v>
      </c>
      <c r="H54" s="74">
        <v>17</v>
      </c>
      <c r="I54" s="74">
        <v>15</v>
      </c>
      <c r="J54" s="74">
        <v>19</v>
      </c>
      <c r="K54" s="74">
        <v>20</v>
      </c>
      <c r="L54" s="74">
        <v>29</v>
      </c>
      <c r="M54" s="74">
        <v>39</v>
      </c>
      <c r="N54" s="74">
        <v>33</v>
      </c>
      <c r="O54" s="74">
        <v>40</v>
      </c>
      <c r="P54" s="74">
        <v>42</v>
      </c>
      <c r="Q54" s="74">
        <v>46</v>
      </c>
      <c r="R54" s="74">
        <v>50</v>
      </c>
      <c r="S54" s="74">
        <v>49</v>
      </c>
      <c r="T54" s="74">
        <v>46</v>
      </c>
      <c r="U54" s="74">
        <v>45</v>
      </c>
      <c r="V54" s="74">
        <v>49</v>
      </c>
      <c r="W54" s="74">
        <v>52</v>
      </c>
      <c r="X54" s="74">
        <v>49</v>
      </c>
      <c r="Y54" s="74">
        <v>47</v>
      </c>
      <c r="Z54" s="74">
        <v>50</v>
      </c>
      <c r="AA54" s="74">
        <v>47</v>
      </c>
      <c r="AB54" s="74">
        <v>43</v>
      </c>
      <c r="AC54" s="74">
        <v>59</v>
      </c>
      <c r="AD54" s="74">
        <v>59</v>
      </c>
      <c r="AE54" s="164">
        <v>56</v>
      </c>
    </row>
    <row r="55" spans="1:32" ht="15" customHeight="1" thickBot="1" x14ac:dyDescent="0.3">
      <c r="A55" s="152">
        <v>64</v>
      </c>
      <c r="B55" s="15" t="s">
        <v>99</v>
      </c>
      <c r="C55" s="68">
        <v>32</v>
      </c>
      <c r="D55" s="68">
        <v>37</v>
      </c>
      <c r="E55" s="68">
        <v>42</v>
      </c>
      <c r="F55" s="68">
        <v>55</v>
      </c>
      <c r="G55" s="68">
        <v>46</v>
      </c>
      <c r="H55" s="68">
        <v>48</v>
      </c>
      <c r="I55" s="68">
        <v>49</v>
      </c>
      <c r="J55" s="68">
        <v>47</v>
      </c>
      <c r="K55" s="68">
        <v>46</v>
      </c>
      <c r="L55" s="68">
        <v>47</v>
      </c>
      <c r="M55" s="68">
        <v>48</v>
      </c>
      <c r="N55" s="68">
        <v>53</v>
      </c>
      <c r="O55" s="68">
        <v>45</v>
      </c>
      <c r="P55" s="68">
        <v>48</v>
      </c>
      <c r="Q55" s="68">
        <v>47</v>
      </c>
      <c r="R55" s="68">
        <v>45</v>
      </c>
      <c r="S55" s="68">
        <v>43</v>
      </c>
      <c r="T55" s="68">
        <v>38</v>
      </c>
      <c r="U55" s="68">
        <v>42</v>
      </c>
      <c r="V55" s="68">
        <v>39</v>
      </c>
      <c r="W55" s="68">
        <v>41</v>
      </c>
      <c r="X55" s="68">
        <v>45</v>
      </c>
      <c r="Y55" s="68">
        <v>42</v>
      </c>
      <c r="Z55" s="68">
        <v>38</v>
      </c>
      <c r="AA55" s="68">
        <v>34</v>
      </c>
      <c r="AB55" s="68">
        <v>32</v>
      </c>
      <c r="AC55" s="68">
        <v>32</v>
      </c>
      <c r="AD55" s="68">
        <v>36</v>
      </c>
      <c r="AE55" s="153">
        <v>34</v>
      </c>
    </row>
    <row r="56" spans="1:32" s="11" customFormat="1" ht="15" customHeight="1" thickBot="1" x14ac:dyDescent="0.3">
      <c r="A56" s="144" t="s">
        <v>70</v>
      </c>
      <c r="B56" s="9" t="s">
        <v>71</v>
      </c>
      <c r="C56" s="64">
        <v>59</v>
      </c>
      <c r="D56" s="64">
        <v>66</v>
      </c>
      <c r="E56" s="64">
        <v>64</v>
      </c>
      <c r="F56" s="64">
        <v>73</v>
      </c>
      <c r="G56" s="64">
        <v>78</v>
      </c>
      <c r="H56" s="64">
        <v>77</v>
      </c>
      <c r="I56" s="64">
        <v>70</v>
      </c>
      <c r="J56" s="64">
        <v>71</v>
      </c>
      <c r="K56" s="64">
        <v>70</v>
      </c>
      <c r="L56" s="64">
        <v>78</v>
      </c>
      <c r="M56" s="64">
        <v>87</v>
      </c>
      <c r="N56" s="64">
        <v>91</v>
      </c>
      <c r="O56" s="64">
        <v>87</v>
      </c>
      <c r="P56" s="64">
        <v>78</v>
      </c>
      <c r="Q56" s="64">
        <v>81</v>
      </c>
      <c r="R56" s="64">
        <v>88</v>
      </c>
      <c r="S56" s="64">
        <v>92</v>
      </c>
      <c r="T56" s="64">
        <v>94</v>
      </c>
      <c r="U56" s="64">
        <v>86</v>
      </c>
      <c r="V56" s="64">
        <v>88</v>
      </c>
      <c r="W56" s="64">
        <v>94</v>
      </c>
      <c r="X56" s="64">
        <v>92</v>
      </c>
      <c r="Y56" s="64">
        <v>90</v>
      </c>
      <c r="Z56" s="64">
        <v>82</v>
      </c>
      <c r="AA56" s="64">
        <v>74</v>
      </c>
      <c r="AB56" s="64">
        <v>74</v>
      </c>
      <c r="AC56" s="64">
        <v>73</v>
      </c>
      <c r="AD56" s="64">
        <v>70</v>
      </c>
      <c r="AE56" s="145">
        <v>72</v>
      </c>
      <c r="AF56" s="10"/>
    </row>
    <row r="57" spans="1:32" ht="15" customHeight="1" x14ac:dyDescent="0.25">
      <c r="A57" s="152">
        <v>65</v>
      </c>
      <c r="B57" s="15" t="s">
        <v>72</v>
      </c>
      <c r="C57" s="68">
        <v>29</v>
      </c>
      <c r="D57" s="68">
        <v>31</v>
      </c>
      <c r="E57" s="68">
        <v>33</v>
      </c>
      <c r="F57" s="68">
        <v>32</v>
      </c>
      <c r="G57" s="68">
        <v>39</v>
      </c>
      <c r="H57" s="68">
        <v>36</v>
      </c>
      <c r="I57" s="68">
        <v>34</v>
      </c>
      <c r="J57" s="68">
        <v>34</v>
      </c>
      <c r="K57" s="68">
        <v>30</v>
      </c>
      <c r="L57" s="68">
        <v>33</v>
      </c>
      <c r="M57" s="68">
        <v>38</v>
      </c>
      <c r="N57" s="68">
        <v>40</v>
      </c>
      <c r="O57" s="68">
        <v>42</v>
      </c>
      <c r="P57" s="68">
        <v>43</v>
      </c>
      <c r="Q57" s="68">
        <v>44</v>
      </c>
      <c r="R57" s="68">
        <v>46</v>
      </c>
      <c r="S57" s="68">
        <v>47</v>
      </c>
      <c r="T57" s="68">
        <v>48</v>
      </c>
      <c r="U57" s="68">
        <v>45</v>
      </c>
      <c r="V57" s="68">
        <v>45</v>
      </c>
      <c r="W57" s="68">
        <v>49</v>
      </c>
      <c r="X57" s="68">
        <v>51</v>
      </c>
      <c r="Y57" s="68">
        <v>49</v>
      </c>
      <c r="Z57" s="68">
        <v>44</v>
      </c>
      <c r="AA57" s="68">
        <v>37</v>
      </c>
      <c r="AB57" s="68">
        <v>36</v>
      </c>
      <c r="AC57" s="68">
        <v>38</v>
      </c>
      <c r="AD57" s="68">
        <v>36</v>
      </c>
      <c r="AE57" s="153">
        <v>40</v>
      </c>
    </row>
    <row r="58" spans="1:32" ht="15" customHeight="1" x14ac:dyDescent="0.25">
      <c r="A58" s="156">
        <v>66</v>
      </c>
      <c r="B58" s="17" t="s">
        <v>100</v>
      </c>
      <c r="C58" s="70">
        <v>23</v>
      </c>
      <c r="D58" s="70">
        <v>26</v>
      </c>
      <c r="E58" s="70">
        <v>24</v>
      </c>
      <c r="F58" s="70">
        <v>34</v>
      </c>
      <c r="G58" s="70">
        <v>30</v>
      </c>
      <c r="H58" s="70">
        <v>30</v>
      </c>
      <c r="I58" s="70">
        <v>29</v>
      </c>
      <c r="J58" s="70">
        <v>30</v>
      </c>
      <c r="K58" s="70">
        <v>30</v>
      </c>
      <c r="L58" s="70">
        <v>36</v>
      </c>
      <c r="M58" s="70">
        <v>35</v>
      </c>
      <c r="N58" s="70">
        <v>39</v>
      </c>
      <c r="O58" s="70">
        <v>34</v>
      </c>
      <c r="P58" s="70">
        <v>23</v>
      </c>
      <c r="Q58" s="70">
        <v>22</v>
      </c>
      <c r="R58" s="70">
        <v>23</v>
      </c>
      <c r="S58" s="70">
        <v>23</v>
      </c>
      <c r="T58" s="70">
        <v>25</v>
      </c>
      <c r="U58" s="70">
        <v>21</v>
      </c>
      <c r="V58" s="70">
        <v>22</v>
      </c>
      <c r="W58" s="70">
        <v>23</v>
      </c>
      <c r="X58" s="70">
        <v>19</v>
      </c>
      <c r="Y58" s="70">
        <v>20</v>
      </c>
      <c r="Z58" s="70">
        <v>19</v>
      </c>
      <c r="AA58" s="70">
        <v>19</v>
      </c>
      <c r="AB58" s="70">
        <v>20</v>
      </c>
      <c r="AC58" s="70">
        <v>18</v>
      </c>
      <c r="AD58" s="70">
        <v>19</v>
      </c>
      <c r="AE58" s="157">
        <v>16</v>
      </c>
    </row>
    <row r="59" spans="1:32" ht="15" customHeight="1" thickBot="1" x14ac:dyDescent="0.3">
      <c r="A59" s="152">
        <v>67</v>
      </c>
      <c r="B59" s="15" t="s">
        <v>74</v>
      </c>
      <c r="C59" s="68">
        <v>7</v>
      </c>
      <c r="D59" s="68">
        <v>9</v>
      </c>
      <c r="E59" s="68">
        <v>7</v>
      </c>
      <c r="F59" s="68">
        <v>7</v>
      </c>
      <c r="G59" s="68">
        <v>9</v>
      </c>
      <c r="H59" s="68">
        <v>11</v>
      </c>
      <c r="I59" s="68">
        <v>7</v>
      </c>
      <c r="J59" s="68">
        <v>7</v>
      </c>
      <c r="K59" s="68">
        <v>10</v>
      </c>
      <c r="L59" s="68">
        <v>9</v>
      </c>
      <c r="M59" s="68">
        <v>14</v>
      </c>
      <c r="N59" s="68">
        <v>12</v>
      </c>
      <c r="O59" s="68">
        <v>11</v>
      </c>
      <c r="P59" s="68">
        <v>12</v>
      </c>
      <c r="Q59" s="68">
        <v>15</v>
      </c>
      <c r="R59" s="68">
        <v>19</v>
      </c>
      <c r="S59" s="68">
        <v>22</v>
      </c>
      <c r="T59" s="68">
        <v>21</v>
      </c>
      <c r="U59" s="68">
        <v>20</v>
      </c>
      <c r="V59" s="68">
        <v>21</v>
      </c>
      <c r="W59" s="68">
        <v>22</v>
      </c>
      <c r="X59" s="68">
        <v>22</v>
      </c>
      <c r="Y59" s="68">
        <v>21</v>
      </c>
      <c r="Z59" s="68">
        <v>19</v>
      </c>
      <c r="AA59" s="68">
        <v>18</v>
      </c>
      <c r="AB59" s="68">
        <v>18</v>
      </c>
      <c r="AC59" s="68">
        <v>17</v>
      </c>
      <c r="AD59" s="68">
        <v>15</v>
      </c>
      <c r="AE59" s="153">
        <v>16</v>
      </c>
    </row>
    <row r="60" spans="1:32" s="11" customFormat="1" ht="15" customHeight="1" thickBot="1" x14ac:dyDescent="0.3">
      <c r="A60" s="144" t="s">
        <v>75</v>
      </c>
      <c r="B60" s="9" t="s">
        <v>76</v>
      </c>
      <c r="C60" s="64">
        <v>443</v>
      </c>
      <c r="D60" s="64">
        <v>462</v>
      </c>
      <c r="E60" s="64">
        <v>455</v>
      </c>
      <c r="F60" s="64">
        <v>467</v>
      </c>
      <c r="G60" s="64">
        <v>474</v>
      </c>
      <c r="H60" s="64">
        <v>474</v>
      </c>
      <c r="I60" s="64">
        <v>411</v>
      </c>
      <c r="J60" s="64">
        <v>446</v>
      </c>
      <c r="K60" s="64">
        <v>479</v>
      </c>
      <c r="L60" s="64">
        <v>542</v>
      </c>
      <c r="M60" s="64">
        <v>565</v>
      </c>
      <c r="N60" s="64">
        <v>612</v>
      </c>
      <c r="O60" s="64">
        <v>648</v>
      </c>
      <c r="P60" s="64">
        <v>672</v>
      </c>
      <c r="Q60" s="64">
        <v>693</v>
      </c>
      <c r="R60" s="64">
        <v>691</v>
      </c>
      <c r="S60" s="64">
        <v>696</v>
      </c>
      <c r="T60" s="64">
        <v>687</v>
      </c>
      <c r="U60" s="64">
        <v>681</v>
      </c>
      <c r="V60" s="64">
        <v>690</v>
      </c>
      <c r="W60" s="64">
        <v>655</v>
      </c>
      <c r="X60" s="64">
        <v>668</v>
      </c>
      <c r="Y60" s="64">
        <v>651</v>
      </c>
      <c r="Z60" s="64">
        <v>570</v>
      </c>
      <c r="AA60" s="64">
        <v>528</v>
      </c>
      <c r="AB60" s="64">
        <v>531</v>
      </c>
      <c r="AC60" s="64">
        <v>578</v>
      </c>
      <c r="AD60" s="64">
        <v>548</v>
      </c>
      <c r="AE60" s="145">
        <v>505</v>
      </c>
      <c r="AF60" s="10"/>
    </row>
    <row r="61" spans="1:32" ht="15" customHeight="1" x14ac:dyDescent="0.25">
      <c r="A61" s="146">
        <v>70</v>
      </c>
      <c r="B61" s="12" t="s">
        <v>77</v>
      </c>
      <c r="C61" s="65">
        <v>192</v>
      </c>
      <c r="D61" s="65">
        <v>203</v>
      </c>
      <c r="E61" s="65">
        <v>202</v>
      </c>
      <c r="F61" s="65">
        <v>198</v>
      </c>
      <c r="G61" s="65">
        <v>194</v>
      </c>
      <c r="H61" s="65">
        <v>193</v>
      </c>
      <c r="I61" s="65">
        <v>172</v>
      </c>
      <c r="J61" s="65">
        <v>181</v>
      </c>
      <c r="K61" s="65">
        <v>202</v>
      </c>
      <c r="L61" s="65">
        <v>214</v>
      </c>
      <c r="M61" s="65">
        <v>217</v>
      </c>
      <c r="N61" s="65">
        <v>226</v>
      </c>
      <c r="O61" s="65">
        <v>231</v>
      </c>
      <c r="P61" s="65">
        <v>242</v>
      </c>
      <c r="Q61" s="65">
        <v>241</v>
      </c>
      <c r="R61" s="65">
        <v>237</v>
      </c>
      <c r="S61" s="65">
        <v>229</v>
      </c>
      <c r="T61" s="65">
        <v>226</v>
      </c>
      <c r="U61" s="65">
        <v>216</v>
      </c>
      <c r="V61" s="65">
        <v>215</v>
      </c>
      <c r="W61" s="65">
        <v>201</v>
      </c>
      <c r="X61" s="65">
        <v>196</v>
      </c>
      <c r="Y61" s="65">
        <v>179</v>
      </c>
      <c r="Z61" s="65">
        <v>162</v>
      </c>
      <c r="AA61" s="65">
        <v>151</v>
      </c>
      <c r="AB61" s="65">
        <v>144</v>
      </c>
      <c r="AC61" s="65">
        <v>142</v>
      </c>
      <c r="AD61" s="65">
        <v>127</v>
      </c>
      <c r="AE61" s="147">
        <v>128</v>
      </c>
    </row>
    <row r="62" spans="1:32" ht="15" customHeight="1" x14ac:dyDescent="0.25">
      <c r="A62" s="156">
        <v>71</v>
      </c>
      <c r="B62" s="17" t="s">
        <v>78</v>
      </c>
      <c r="C62" s="70">
        <v>11</v>
      </c>
      <c r="D62" s="70">
        <v>11</v>
      </c>
      <c r="E62" s="70">
        <v>9</v>
      </c>
      <c r="F62" s="70">
        <v>12</v>
      </c>
      <c r="G62" s="70">
        <v>9</v>
      </c>
      <c r="H62" s="70">
        <v>8</v>
      </c>
      <c r="I62" s="70">
        <v>8</v>
      </c>
      <c r="J62" s="70" t="s">
        <v>383</v>
      </c>
      <c r="K62" s="70">
        <v>12</v>
      </c>
      <c r="L62" s="70">
        <v>18</v>
      </c>
      <c r="M62" s="70">
        <v>20</v>
      </c>
      <c r="N62" s="70">
        <v>20</v>
      </c>
      <c r="O62" s="70">
        <v>23</v>
      </c>
      <c r="P62" s="70">
        <v>20</v>
      </c>
      <c r="Q62" s="70">
        <v>20</v>
      </c>
      <c r="R62" s="70" t="s">
        <v>383</v>
      </c>
      <c r="S62" s="70" t="s">
        <v>383</v>
      </c>
      <c r="T62" s="70" t="s">
        <v>383</v>
      </c>
      <c r="U62" s="70" t="s">
        <v>383</v>
      </c>
      <c r="V62" s="70" t="s">
        <v>383</v>
      </c>
      <c r="W62" s="70" t="s">
        <v>383</v>
      </c>
      <c r="X62" s="70" t="s">
        <v>383</v>
      </c>
      <c r="Y62" s="70">
        <v>24</v>
      </c>
      <c r="Z62" s="70">
        <v>20</v>
      </c>
      <c r="AA62" s="70">
        <v>19</v>
      </c>
      <c r="AB62" s="70">
        <v>16</v>
      </c>
      <c r="AC62" s="70">
        <v>17</v>
      </c>
      <c r="AD62" s="70">
        <v>16</v>
      </c>
      <c r="AE62" s="157">
        <v>19</v>
      </c>
    </row>
    <row r="63" spans="1:32" ht="15" customHeight="1" x14ac:dyDescent="0.25">
      <c r="A63" s="156">
        <v>72</v>
      </c>
      <c r="B63" s="17" t="s">
        <v>79</v>
      </c>
      <c r="C63" s="70">
        <v>6</v>
      </c>
      <c r="D63" s="70">
        <v>11</v>
      </c>
      <c r="E63" s="70">
        <v>7</v>
      </c>
      <c r="F63" s="70">
        <v>9</v>
      </c>
      <c r="G63" s="70">
        <v>8</v>
      </c>
      <c r="H63" s="70">
        <v>9</v>
      </c>
      <c r="I63" s="70">
        <v>9</v>
      </c>
      <c r="J63" s="70">
        <v>8</v>
      </c>
      <c r="K63" s="70">
        <v>9</v>
      </c>
      <c r="L63" s="70">
        <v>13</v>
      </c>
      <c r="M63" s="70">
        <v>14</v>
      </c>
      <c r="N63" s="70">
        <v>16</v>
      </c>
      <c r="O63" s="70">
        <v>17</v>
      </c>
      <c r="P63" s="70">
        <v>19</v>
      </c>
      <c r="Q63" s="70">
        <v>17</v>
      </c>
      <c r="R63" s="70">
        <v>18</v>
      </c>
      <c r="S63" s="70">
        <v>16</v>
      </c>
      <c r="T63" s="70">
        <v>17</v>
      </c>
      <c r="U63" s="70">
        <v>16</v>
      </c>
      <c r="V63" s="70">
        <v>19</v>
      </c>
      <c r="W63" s="70">
        <v>21</v>
      </c>
      <c r="X63" s="70">
        <v>21</v>
      </c>
      <c r="Y63" s="70">
        <v>23</v>
      </c>
      <c r="Z63" s="70">
        <v>13</v>
      </c>
      <c r="AA63" s="70">
        <v>17</v>
      </c>
      <c r="AB63" s="70">
        <v>23</v>
      </c>
      <c r="AC63" s="70">
        <v>37</v>
      </c>
      <c r="AD63" s="70">
        <v>39</v>
      </c>
      <c r="AE63" s="157">
        <v>31</v>
      </c>
    </row>
    <row r="64" spans="1:32" ht="15" customHeight="1" x14ac:dyDescent="0.25">
      <c r="A64" s="156">
        <v>73</v>
      </c>
      <c r="B64" s="17" t="s">
        <v>80</v>
      </c>
      <c r="C64" s="70" t="s">
        <v>383</v>
      </c>
      <c r="D64" s="70" t="s">
        <v>383</v>
      </c>
      <c r="E64" s="70" t="s">
        <v>383</v>
      </c>
      <c r="F64" s="70" t="s">
        <v>383</v>
      </c>
      <c r="G64" s="70" t="s">
        <v>383</v>
      </c>
      <c r="H64" s="70">
        <v>4</v>
      </c>
      <c r="I64" s="70">
        <v>5</v>
      </c>
      <c r="J64" s="70" t="s">
        <v>383</v>
      </c>
      <c r="K64" s="70">
        <v>4</v>
      </c>
      <c r="L64" s="70">
        <v>4</v>
      </c>
      <c r="M64" s="70">
        <v>4</v>
      </c>
      <c r="N64" s="70">
        <v>5</v>
      </c>
      <c r="O64" s="70">
        <v>6</v>
      </c>
      <c r="P64" s="70">
        <v>4</v>
      </c>
      <c r="Q64" s="70">
        <v>4</v>
      </c>
      <c r="R64" s="70" t="s">
        <v>383</v>
      </c>
      <c r="S64" s="70" t="s">
        <v>383</v>
      </c>
      <c r="T64" s="70" t="s">
        <v>383</v>
      </c>
      <c r="U64" s="70" t="s">
        <v>383</v>
      </c>
      <c r="V64" s="70" t="s">
        <v>383</v>
      </c>
      <c r="W64" s="70" t="s">
        <v>383</v>
      </c>
      <c r="X64" s="70" t="s">
        <v>383</v>
      </c>
      <c r="Y64" s="70">
        <v>5</v>
      </c>
      <c r="Z64" s="70">
        <v>4</v>
      </c>
      <c r="AA64" s="70">
        <v>5</v>
      </c>
      <c r="AB64" s="70">
        <v>5</v>
      </c>
      <c r="AC64" s="70">
        <v>5</v>
      </c>
      <c r="AD64" s="70">
        <v>4</v>
      </c>
      <c r="AE64" s="157">
        <v>4</v>
      </c>
    </row>
    <row r="65" spans="1:32" ht="15" customHeight="1" x14ac:dyDescent="0.25">
      <c r="A65" s="156">
        <v>74</v>
      </c>
      <c r="B65" s="17" t="s">
        <v>81</v>
      </c>
      <c r="C65" s="70">
        <v>233</v>
      </c>
      <c r="D65" s="70">
        <v>233</v>
      </c>
      <c r="E65" s="70">
        <v>231</v>
      </c>
      <c r="F65" s="70">
        <v>240</v>
      </c>
      <c r="G65" s="70">
        <v>252</v>
      </c>
      <c r="H65" s="70">
        <v>252</v>
      </c>
      <c r="I65" s="70">
        <v>211</v>
      </c>
      <c r="J65" s="70">
        <v>233</v>
      </c>
      <c r="K65" s="70">
        <v>246</v>
      </c>
      <c r="L65" s="70">
        <v>283</v>
      </c>
      <c r="M65" s="70">
        <v>301</v>
      </c>
      <c r="N65" s="70">
        <v>336</v>
      </c>
      <c r="O65" s="70">
        <v>360</v>
      </c>
      <c r="P65" s="70">
        <v>374</v>
      </c>
      <c r="Q65" s="70">
        <v>399</v>
      </c>
      <c r="R65" s="70">
        <v>400</v>
      </c>
      <c r="S65" s="70">
        <v>415</v>
      </c>
      <c r="T65" s="70">
        <v>408</v>
      </c>
      <c r="U65" s="70">
        <v>414</v>
      </c>
      <c r="V65" s="70">
        <v>422</v>
      </c>
      <c r="W65" s="70">
        <v>397</v>
      </c>
      <c r="X65" s="70">
        <v>420</v>
      </c>
      <c r="Y65" s="70">
        <v>412</v>
      </c>
      <c r="Z65" s="70">
        <v>363</v>
      </c>
      <c r="AA65" s="70">
        <v>329</v>
      </c>
      <c r="AB65" s="70">
        <v>336</v>
      </c>
      <c r="AC65" s="70">
        <v>370</v>
      </c>
      <c r="AD65" s="70">
        <v>355</v>
      </c>
      <c r="AE65" s="157">
        <v>316</v>
      </c>
    </row>
    <row r="66" spans="1:32" ht="15" customHeight="1" thickBot="1" x14ac:dyDescent="0.3">
      <c r="A66" s="158">
        <v>75</v>
      </c>
      <c r="B66" s="18" t="s">
        <v>185</v>
      </c>
      <c r="C66" s="71" t="s">
        <v>383</v>
      </c>
      <c r="D66" s="71" t="s">
        <v>383</v>
      </c>
      <c r="E66" s="71" t="s">
        <v>383</v>
      </c>
      <c r="F66" s="71" t="s">
        <v>383</v>
      </c>
      <c r="G66" s="71" t="s">
        <v>383</v>
      </c>
      <c r="H66" s="71">
        <v>8</v>
      </c>
      <c r="I66" s="71">
        <v>6</v>
      </c>
      <c r="J66" s="71">
        <v>11</v>
      </c>
      <c r="K66" s="71">
        <v>6</v>
      </c>
      <c r="L66" s="71">
        <v>10</v>
      </c>
      <c r="M66" s="71">
        <v>9</v>
      </c>
      <c r="N66" s="71">
        <v>9</v>
      </c>
      <c r="O66" s="71">
        <v>11</v>
      </c>
      <c r="P66" s="71">
        <v>13</v>
      </c>
      <c r="Q66" s="71">
        <v>12</v>
      </c>
      <c r="R66" s="71">
        <v>13</v>
      </c>
      <c r="S66" s="71">
        <v>13</v>
      </c>
      <c r="T66" s="71">
        <v>13</v>
      </c>
      <c r="U66" s="71">
        <v>12</v>
      </c>
      <c r="V66" s="71">
        <v>11</v>
      </c>
      <c r="W66" s="71">
        <v>10</v>
      </c>
      <c r="X66" s="71">
        <v>8</v>
      </c>
      <c r="Y66" s="71">
        <v>8</v>
      </c>
      <c r="Z66" s="71">
        <v>8</v>
      </c>
      <c r="AA66" s="71">
        <v>7</v>
      </c>
      <c r="AB66" s="71">
        <v>7</v>
      </c>
      <c r="AC66" s="71">
        <v>7</v>
      </c>
      <c r="AD66" s="71">
        <v>7</v>
      </c>
      <c r="AE66" s="159">
        <v>7</v>
      </c>
    </row>
    <row r="67" spans="1:32" s="11" customFormat="1" ht="15" customHeight="1" thickBot="1" x14ac:dyDescent="0.3">
      <c r="A67" s="160" t="s">
        <v>83</v>
      </c>
      <c r="B67" s="19" t="s">
        <v>84</v>
      </c>
      <c r="C67" s="64">
        <v>93</v>
      </c>
      <c r="D67" s="64">
        <v>94</v>
      </c>
      <c r="E67" s="64">
        <v>88</v>
      </c>
      <c r="F67" s="64">
        <v>83</v>
      </c>
      <c r="G67" s="64">
        <v>85</v>
      </c>
      <c r="H67" s="64">
        <v>80</v>
      </c>
      <c r="I67" s="64">
        <v>78</v>
      </c>
      <c r="J67" s="64">
        <v>81</v>
      </c>
      <c r="K67" s="64">
        <v>82</v>
      </c>
      <c r="L67" s="64">
        <v>89</v>
      </c>
      <c r="M67" s="64">
        <v>89</v>
      </c>
      <c r="N67" s="64">
        <v>91</v>
      </c>
      <c r="O67" s="64">
        <v>89</v>
      </c>
      <c r="P67" s="64">
        <v>93</v>
      </c>
      <c r="Q67" s="64">
        <v>97</v>
      </c>
      <c r="R67" s="64">
        <v>92</v>
      </c>
      <c r="S67" s="64">
        <v>92</v>
      </c>
      <c r="T67" s="64">
        <v>93</v>
      </c>
      <c r="U67" s="64">
        <v>94</v>
      </c>
      <c r="V67" s="64">
        <v>99</v>
      </c>
      <c r="W67" s="64">
        <v>102</v>
      </c>
      <c r="X67" s="64">
        <v>104</v>
      </c>
      <c r="Y67" s="64">
        <v>103</v>
      </c>
      <c r="Z67" s="64">
        <v>101</v>
      </c>
      <c r="AA67" s="64">
        <v>94</v>
      </c>
      <c r="AB67" s="64">
        <v>96</v>
      </c>
      <c r="AC67" s="64">
        <v>108</v>
      </c>
      <c r="AD67" s="64">
        <v>100</v>
      </c>
      <c r="AE67" s="145">
        <v>105</v>
      </c>
      <c r="AF67" s="10"/>
    </row>
    <row r="68" spans="1:32" ht="15" customHeight="1" thickBot="1" x14ac:dyDescent="0.3">
      <c r="A68" s="150">
        <v>80</v>
      </c>
      <c r="B68" s="14" t="s">
        <v>85</v>
      </c>
      <c r="C68" s="70">
        <v>93</v>
      </c>
      <c r="D68" s="67">
        <v>94</v>
      </c>
      <c r="E68" s="67">
        <v>88</v>
      </c>
      <c r="F68" s="67">
        <v>83</v>
      </c>
      <c r="G68" s="67">
        <v>85</v>
      </c>
      <c r="H68" s="67">
        <v>80</v>
      </c>
      <c r="I68" s="67">
        <v>78</v>
      </c>
      <c r="J68" s="67">
        <v>81</v>
      </c>
      <c r="K68" s="67">
        <v>82</v>
      </c>
      <c r="L68" s="67">
        <v>89</v>
      </c>
      <c r="M68" s="67">
        <v>89</v>
      </c>
      <c r="N68" s="67">
        <v>91</v>
      </c>
      <c r="O68" s="67">
        <v>89</v>
      </c>
      <c r="P68" s="67">
        <v>93</v>
      </c>
      <c r="Q68" s="67">
        <v>97</v>
      </c>
      <c r="R68" s="67">
        <v>92</v>
      </c>
      <c r="S68" s="67">
        <v>92</v>
      </c>
      <c r="T68" s="67">
        <v>93</v>
      </c>
      <c r="U68" s="67">
        <v>94</v>
      </c>
      <c r="V68" s="67">
        <v>99</v>
      </c>
      <c r="W68" s="67">
        <v>102</v>
      </c>
      <c r="X68" s="67">
        <v>104</v>
      </c>
      <c r="Y68" s="67">
        <v>103</v>
      </c>
      <c r="Z68" s="67">
        <v>101</v>
      </c>
      <c r="AA68" s="67">
        <v>94</v>
      </c>
      <c r="AB68" s="67">
        <v>96</v>
      </c>
      <c r="AC68" s="67">
        <v>108</v>
      </c>
      <c r="AD68" s="67">
        <v>100</v>
      </c>
      <c r="AE68" s="151">
        <v>105</v>
      </c>
    </row>
    <row r="69" spans="1:32" s="11" customFormat="1" ht="15" customHeight="1" thickBot="1" x14ac:dyDescent="0.3">
      <c r="A69" s="144" t="s">
        <v>86</v>
      </c>
      <c r="B69" s="9" t="s">
        <v>87</v>
      </c>
      <c r="C69" s="64">
        <v>260</v>
      </c>
      <c r="D69" s="64">
        <v>271</v>
      </c>
      <c r="E69" s="64">
        <v>262</v>
      </c>
      <c r="F69" s="64">
        <v>269</v>
      </c>
      <c r="G69" s="64">
        <v>252</v>
      </c>
      <c r="H69" s="64">
        <v>270</v>
      </c>
      <c r="I69" s="64">
        <v>262</v>
      </c>
      <c r="J69" s="64">
        <v>260</v>
      </c>
      <c r="K69" s="64">
        <v>259</v>
      </c>
      <c r="L69" s="64">
        <v>258</v>
      </c>
      <c r="M69" s="64">
        <v>264</v>
      </c>
      <c r="N69" s="64">
        <v>273</v>
      </c>
      <c r="O69" s="64">
        <v>274</v>
      </c>
      <c r="P69" s="64">
        <v>299</v>
      </c>
      <c r="Q69" s="64">
        <v>310</v>
      </c>
      <c r="R69" s="64">
        <v>329</v>
      </c>
      <c r="S69" s="64">
        <v>346</v>
      </c>
      <c r="T69" s="64">
        <v>350</v>
      </c>
      <c r="U69" s="64">
        <v>361</v>
      </c>
      <c r="V69" s="64">
        <v>368</v>
      </c>
      <c r="W69" s="64">
        <v>370</v>
      </c>
      <c r="X69" s="64">
        <v>372</v>
      </c>
      <c r="Y69" s="64">
        <v>380</v>
      </c>
      <c r="Z69" s="64">
        <v>380</v>
      </c>
      <c r="AA69" s="64">
        <v>364</v>
      </c>
      <c r="AB69" s="64">
        <v>372</v>
      </c>
      <c r="AC69" s="64">
        <v>388</v>
      </c>
      <c r="AD69" s="64">
        <v>382</v>
      </c>
      <c r="AE69" s="145">
        <v>375</v>
      </c>
      <c r="AF69" s="10"/>
    </row>
    <row r="70" spans="1:32" ht="15" customHeight="1" thickBot="1" x14ac:dyDescent="0.3">
      <c r="A70" s="150">
        <v>85</v>
      </c>
      <c r="B70" s="14" t="s">
        <v>88</v>
      </c>
      <c r="C70" s="67">
        <v>260</v>
      </c>
      <c r="D70" s="67">
        <v>271</v>
      </c>
      <c r="E70" s="67">
        <v>262</v>
      </c>
      <c r="F70" s="67">
        <v>269</v>
      </c>
      <c r="G70" s="67">
        <v>252</v>
      </c>
      <c r="H70" s="67">
        <v>270</v>
      </c>
      <c r="I70" s="67">
        <v>262</v>
      </c>
      <c r="J70" s="67">
        <v>260</v>
      </c>
      <c r="K70" s="67">
        <v>259</v>
      </c>
      <c r="L70" s="67">
        <v>258</v>
      </c>
      <c r="M70" s="67">
        <v>264</v>
      </c>
      <c r="N70" s="67">
        <v>273</v>
      </c>
      <c r="O70" s="67">
        <v>274</v>
      </c>
      <c r="P70" s="67">
        <v>299</v>
      </c>
      <c r="Q70" s="67">
        <v>310</v>
      </c>
      <c r="R70" s="67">
        <v>329</v>
      </c>
      <c r="S70" s="67">
        <v>346</v>
      </c>
      <c r="T70" s="67">
        <v>350</v>
      </c>
      <c r="U70" s="67">
        <v>361</v>
      </c>
      <c r="V70" s="67">
        <v>368</v>
      </c>
      <c r="W70" s="67">
        <v>370</v>
      </c>
      <c r="X70" s="67">
        <v>372</v>
      </c>
      <c r="Y70" s="67">
        <v>380</v>
      </c>
      <c r="Z70" s="67">
        <v>380</v>
      </c>
      <c r="AA70" s="67">
        <v>364</v>
      </c>
      <c r="AB70" s="67">
        <v>372</v>
      </c>
      <c r="AC70" s="67">
        <v>388</v>
      </c>
      <c r="AD70" s="67">
        <v>382</v>
      </c>
      <c r="AE70" s="151">
        <v>375</v>
      </c>
    </row>
    <row r="71" spans="1:32" s="11" customFormat="1" ht="15" customHeight="1" thickBot="1" x14ac:dyDescent="0.3">
      <c r="A71" s="144" t="s">
        <v>89</v>
      </c>
      <c r="B71" s="9" t="s">
        <v>90</v>
      </c>
      <c r="C71" s="64">
        <v>348</v>
      </c>
      <c r="D71" s="64">
        <v>353</v>
      </c>
      <c r="E71" s="64">
        <v>340</v>
      </c>
      <c r="F71" s="64">
        <v>325</v>
      </c>
      <c r="G71" s="64">
        <v>325</v>
      </c>
      <c r="H71" s="64">
        <v>321</v>
      </c>
      <c r="I71" s="64">
        <v>308</v>
      </c>
      <c r="J71" s="64">
        <v>324</v>
      </c>
      <c r="K71" s="64">
        <v>368</v>
      </c>
      <c r="L71" s="64">
        <v>400</v>
      </c>
      <c r="M71" s="64">
        <v>418</v>
      </c>
      <c r="N71" s="64">
        <v>410</v>
      </c>
      <c r="O71" s="64">
        <v>418</v>
      </c>
      <c r="P71" s="64">
        <v>417</v>
      </c>
      <c r="Q71" s="64">
        <v>406</v>
      </c>
      <c r="R71" s="64">
        <v>421</v>
      </c>
      <c r="S71" s="64">
        <v>429</v>
      </c>
      <c r="T71" s="64">
        <v>414</v>
      </c>
      <c r="U71" s="64">
        <v>411</v>
      </c>
      <c r="V71" s="64">
        <v>417</v>
      </c>
      <c r="W71" s="64">
        <v>434</v>
      </c>
      <c r="X71" s="64">
        <v>432</v>
      </c>
      <c r="Y71" s="64">
        <v>425</v>
      </c>
      <c r="Z71" s="64">
        <v>382</v>
      </c>
      <c r="AA71" s="64">
        <v>337</v>
      </c>
      <c r="AB71" s="64">
        <v>339</v>
      </c>
      <c r="AC71" s="64">
        <v>377</v>
      </c>
      <c r="AD71" s="64">
        <v>365</v>
      </c>
      <c r="AE71" s="145">
        <v>361</v>
      </c>
      <c r="AF71" s="10"/>
    </row>
    <row r="72" spans="1:32" ht="15" customHeight="1" x14ac:dyDescent="0.25">
      <c r="A72" s="146">
        <v>90</v>
      </c>
      <c r="B72" s="12" t="s">
        <v>91</v>
      </c>
      <c r="C72" s="65">
        <v>5</v>
      </c>
      <c r="D72" s="65">
        <v>4</v>
      </c>
      <c r="E72" s="65" t="s">
        <v>383</v>
      </c>
      <c r="F72" s="65" t="s">
        <v>383</v>
      </c>
      <c r="G72" s="65" t="s">
        <v>383</v>
      </c>
      <c r="H72" s="65" t="s">
        <v>383</v>
      </c>
      <c r="I72" s="65" t="s">
        <v>383</v>
      </c>
      <c r="J72" s="65" t="s">
        <v>383</v>
      </c>
      <c r="K72" s="65" t="s">
        <v>383</v>
      </c>
      <c r="L72" s="65" t="s">
        <v>383</v>
      </c>
      <c r="M72" s="65" t="s">
        <v>383</v>
      </c>
      <c r="N72" s="65" t="s">
        <v>383</v>
      </c>
      <c r="O72" s="65">
        <v>4</v>
      </c>
      <c r="P72" s="65" t="s">
        <v>383</v>
      </c>
      <c r="Q72" s="65" t="s">
        <v>383</v>
      </c>
      <c r="R72" s="65">
        <v>5</v>
      </c>
      <c r="S72" s="65">
        <v>8</v>
      </c>
      <c r="T72" s="65">
        <v>8</v>
      </c>
      <c r="U72" s="65">
        <v>8</v>
      </c>
      <c r="V72" s="65">
        <v>8</v>
      </c>
      <c r="W72" s="65">
        <v>7</v>
      </c>
      <c r="X72" s="65">
        <v>8</v>
      </c>
      <c r="Y72" s="65">
        <v>8</v>
      </c>
      <c r="Z72" s="65">
        <v>8</v>
      </c>
      <c r="AA72" s="65">
        <v>6</v>
      </c>
      <c r="AB72" s="65">
        <v>7</v>
      </c>
      <c r="AC72" s="65">
        <v>8</v>
      </c>
      <c r="AD72" s="65">
        <v>7</v>
      </c>
      <c r="AE72" s="147">
        <v>9</v>
      </c>
    </row>
    <row r="73" spans="1:32" ht="15" customHeight="1" x14ac:dyDescent="0.25">
      <c r="A73" s="156">
        <v>91</v>
      </c>
      <c r="B73" s="17" t="s">
        <v>92</v>
      </c>
      <c r="C73" s="70">
        <v>160</v>
      </c>
      <c r="D73" s="70">
        <v>170</v>
      </c>
      <c r="E73" s="70">
        <v>166</v>
      </c>
      <c r="F73" s="70">
        <v>164</v>
      </c>
      <c r="G73" s="70">
        <v>160</v>
      </c>
      <c r="H73" s="70">
        <v>153</v>
      </c>
      <c r="I73" s="70">
        <v>150</v>
      </c>
      <c r="J73" s="70">
        <v>157</v>
      </c>
      <c r="K73" s="70">
        <v>163</v>
      </c>
      <c r="L73" s="70">
        <v>175</v>
      </c>
      <c r="M73" s="70">
        <v>178</v>
      </c>
      <c r="N73" s="70">
        <v>184</v>
      </c>
      <c r="O73" s="70">
        <v>184</v>
      </c>
      <c r="P73" s="70">
        <v>197</v>
      </c>
      <c r="Q73" s="70">
        <v>207</v>
      </c>
      <c r="R73" s="70">
        <v>215</v>
      </c>
      <c r="S73" s="70">
        <v>218</v>
      </c>
      <c r="T73" s="70">
        <v>220</v>
      </c>
      <c r="U73" s="70">
        <v>219</v>
      </c>
      <c r="V73" s="70">
        <v>226</v>
      </c>
      <c r="W73" s="70">
        <v>234</v>
      </c>
      <c r="X73" s="70">
        <v>238</v>
      </c>
      <c r="Y73" s="70">
        <v>237</v>
      </c>
      <c r="Z73" s="70">
        <v>222</v>
      </c>
      <c r="AA73" s="70">
        <v>211</v>
      </c>
      <c r="AB73" s="70">
        <v>206</v>
      </c>
      <c r="AC73" s="70">
        <v>215</v>
      </c>
      <c r="AD73" s="70">
        <v>213</v>
      </c>
      <c r="AE73" s="157">
        <v>204</v>
      </c>
    </row>
    <row r="74" spans="1:32" ht="15" customHeight="1" x14ac:dyDescent="0.25">
      <c r="A74" s="156">
        <v>92</v>
      </c>
      <c r="B74" s="17" t="s">
        <v>93</v>
      </c>
      <c r="C74" s="70">
        <v>40</v>
      </c>
      <c r="D74" s="70">
        <v>41</v>
      </c>
      <c r="E74" s="70" t="s">
        <v>383</v>
      </c>
      <c r="F74" s="70" t="s">
        <v>383</v>
      </c>
      <c r="G74" s="70" t="s">
        <v>383</v>
      </c>
      <c r="H74" s="70" t="s">
        <v>383</v>
      </c>
      <c r="I74" s="70" t="s">
        <v>383</v>
      </c>
      <c r="J74" s="70" t="s">
        <v>383</v>
      </c>
      <c r="K74" s="70" t="s">
        <v>383</v>
      </c>
      <c r="L74" s="70" t="s">
        <v>383</v>
      </c>
      <c r="M74" s="70" t="s">
        <v>383</v>
      </c>
      <c r="N74" s="70">
        <v>47</v>
      </c>
      <c r="O74" s="70">
        <v>55</v>
      </c>
      <c r="P74" s="70">
        <v>56</v>
      </c>
      <c r="Q74" s="70">
        <v>61</v>
      </c>
      <c r="R74" s="70">
        <v>63</v>
      </c>
      <c r="S74" s="70">
        <v>60</v>
      </c>
      <c r="T74" s="70">
        <v>53</v>
      </c>
      <c r="U74" s="70">
        <v>58</v>
      </c>
      <c r="V74" s="70">
        <v>57</v>
      </c>
      <c r="W74" s="70">
        <v>71</v>
      </c>
      <c r="X74" s="70">
        <v>68</v>
      </c>
      <c r="Y74" s="70">
        <v>71</v>
      </c>
      <c r="Z74" s="70">
        <v>63</v>
      </c>
      <c r="AA74" s="70">
        <v>49</v>
      </c>
      <c r="AB74" s="70">
        <v>49</v>
      </c>
      <c r="AC74" s="70">
        <v>62</v>
      </c>
      <c r="AD74" s="70">
        <v>63</v>
      </c>
      <c r="AE74" s="157">
        <v>64</v>
      </c>
    </row>
    <row r="75" spans="1:32" ht="15" customHeight="1" thickBot="1" x14ac:dyDescent="0.3">
      <c r="A75" s="158">
        <v>93</v>
      </c>
      <c r="B75" s="18" t="s">
        <v>94</v>
      </c>
      <c r="C75" s="76">
        <v>143</v>
      </c>
      <c r="D75" s="76">
        <v>138</v>
      </c>
      <c r="E75" s="76">
        <v>137</v>
      </c>
      <c r="F75" s="76">
        <v>121</v>
      </c>
      <c r="G75" s="76">
        <v>127</v>
      </c>
      <c r="H75" s="76">
        <v>131</v>
      </c>
      <c r="I75" s="76">
        <v>122</v>
      </c>
      <c r="J75" s="76">
        <v>133</v>
      </c>
      <c r="K75" s="76">
        <v>168</v>
      </c>
      <c r="L75" s="76">
        <v>182</v>
      </c>
      <c r="M75" s="76">
        <v>189</v>
      </c>
      <c r="N75" s="76" t="s">
        <v>383</v>
      </c>
      <c r="O75" s="76">
        <v>175</v>
      </c>
      <c r="P75" s="76" t="s">
        <v>383</v>
      </c>
      <c r="Q75" s="76" t="s">
        <v>383</v>
      </c>
      <c r="R75" s="76">
        <v>138</v>
      </c>
      <c r="S75" s="76">
        <v>143</v>
      </c>
      <c r="T75" s="76">
        <v>133</v>
      </c>
      <c r="U75" s="76">
        <v>126</v>
      </c>
      <c r="V75" s="76">
        <v>126</v>
      </c>
      <c r="W75" s="76">
        <v>122</v>
      </c>
      <c r="X75" s="76">
        <v>118</v>
      </c>
      <c r="Y75" s="76">
        <v>109</v>
      </c>
      <c r="Z75" s="76">
        <v>89</v>
      </c>
      <c r="AA75" s="76">
        <v>71</v>
      </c>
      <c r="AB75" s="76">
        <v>77</v>
      </c>
      <c r="AC75" s="76">
        <v>92</v>
      </c>
      <c r="AD75" s="76">
        <v>82</v>
      </c>
      <c r="AE75" s="165">
        <v>84</v>
      </c>
    </row>
    <row r="76" spans="1:32" s="23" customFormat="1" ht="15" customHeight="1" thickBot="1" x14ac:dyDescent="0.3">
      <c r="A76" s="166"/>
      <c r="B76" s="167" t="s">
        <v>95</v>
      </c>
      <c r="C76" s="168">
        <v>3862</v>
      </c>
      <c r="D76" s="168">
        <v>3847</v>
      </c>
      <c r="E76" s="168">
        <v>3700</v>
      </c>
      <c r="F76" s="168">
        <v>3809</v>
      </c>
      <c r="G76" s="168">
        <v>3738</v>
      </c>
      <c r="H76" s="168">
        <v>3612</v>
      </c>
      <c r="I76" s="168">
        <v>3337</v>
      </c>
      <c r="J76" s="168">
        <v>3573</v>
      </c>
      <c r="K76" s="168">
        <v>3890</v>
      </c>
      <c r="L76" s="168">
        <v>4303</v>
      </c>
      <c r="M76" s="168">
        <v>4618</v>
      </c>
      <c r="N76" s="168">
        <v>5033</v>
      </c>
      <c r="O76" s="168">
        <v>5278</v>
      </c>
      <c r="P76" s="168">
        <v>5526</v>
      </c>
      <c r="Q76" s="168">
        <v>5731</v>
      </c>
      <c r="R76" s="168">
        <v>5954</v>
      </c>
      <c r="S76" s="168">
        <v>6067</v>
      </c>
      <c r="T76" s="168">
        <v>6094</v>
      </c>
      <c r="U76" s="168">
        <v>6138</v>
      </c>
      <c r="V76" s="168">
        <v>6233</v>
      </c>
      <c r="W76" s="168">
        <v>6321</v>
      </c>
      <c r="X76" s="168">
        <v>6507</v>
      </c>
      <c r="Y76" s="168">
        <v>6519</v>
      </c>
      <c r="Z76" s="168">
        <v>6126</v>
      </c>
      <c r="AA76" s="168">
        <v>5808</v>
      </c>
      <c r="AB76" s="168">
        <v>5901</v>
      </c>
      <c r="AC76" s="168">
        <v>6678</v>
      </c>
      <c r="AD76" s="168">
        <v>6490</v>
      </c>
      <c r="AE76" s="169">
        <v>6377</v>
      </c>
      <c r="AF76" s="22"/>
    </row>
    <row r="77" spans="1:32" ht="12" customHeight="1" x14ac:dyDescent="0.25">
      <c r="A77" s="7"/>
      <c r="B77" s="7"/>
      <c r="C77" s="7"/>
      <c r="D77" s="7"/>
      <c r="E77" s="24"/>
      <c r="F77" s="7"/>
      <c r="G77" s="25"/>
      <c r="H77" s="7"/>
      <c r="I77" s="7"/>
      <c r="J77" s="7"/>
      <c r="K77" s="7"/>
      <c r="L77" s="7"/>
      <c r="M77" s="7"/>
      <c r="N77" s="7"/>
      <c r="O77" s="7"/>
      <c r="P77" s="7"/>
      <c r="Q77" s="7"/>
      <c r="R77" s="7"/>
      <c r="S77" s="7"/>
      <c r="T77" s="7"/>
      <c r="U77" s="7"/>
      <c r="V77" s="7"/>
      <c r="W77" s="7"/>
      <c r="X77" s="7"/>
      <c r="Y77" s="7"/>
      <c r="Z77" s="7"/>
      <c r="AA77" s="7"/>
      <c r="AB77" s="7"/>
      <c r="AC77" s="7"/>
      <c r="AD77" s="7"/>
      <c r="AE77" s="7"/>
    </row>
    <row r="78" spans="1:32" ht="11.25" x14ac:dyDescent="0.25">
      <c r="A78" s="307" t="s">
        <v>96</v>
      </c>
      <c r="B78" s="307"/>
      <c r="C78" s="277"/>
      <c r="D78" s="277"/>
      <c r="E78" s="277"/>
      <c r="F78" s="26"/>
      <c r="G78" s="26"/>
      <c r="H78" s="7"/>
      <c r="I78" s="7"/>
      <c r="J78" s="7"/>
      <c r="K78" s="7"/>
      <c r="L78" s="7"/>
      <c r="M78" s="7"/>
      <c r="N78" s="7"/>
      <c r="O78" s="7"/>
      <c r="P78" s="7"/>
      <c r="Q78" s="7"/>
      <c r="R78" s="7"/>
      <c r="S78" s="7"/>
      <c r="T78" s="7"/>
      <c r="U78" s="7"/>
      <c r="V78" s="7"/>
      <c r="W78" s="7"/>
      <c r="X78" s="7"/>
      <c r="Y78" s="7"/>
      <c r="Z78" s="7"/>
      <c r="AA78" s="7"/>
      <c r="AB78" s="7"/>
      <c r="AC78" s="7"/>
      <c r="AD78" s="7"/>
      <c r="AE78" s="7"/>
    </row>
    <row r="79" spans="1:32" ht="26.45" customHeight="1" x14ac:dyDescent="0.25">
      <c r="A79" s="307" t="s">
        <v>381</v>
      </c>
      <c r="B79" s="307"/>
      <c r="C79" s="307"/>
      <c r="D79" s="277"/>
      <c r="E79" s="277"/>
      <c r="F79" s="277"/>
      <c r="G79" s="277"/>
      <c r="H79" s="27"/>
      <c r="I79" s="27"/>
      <c r="J79" s="27"/>
      <c r="K79" s="27"/>
      <c r="L79" s="7"/>
      <c r="M79" s="7"/>
      <c r="N79" s="7"/>
      <c r="O79" s="7"/>
      <c r="P79" s="7"/>
      <c r="Q79" s="7"/>
      <c r="R79" s="7"/>
      <c r="S79" s="7"/>
      <c r="T79" s="7"/>
      <c r="U79" s="7"/>
      <c r="V79" s="7"/>
      <c r="W79" s="7"/>
      <c r="X79" s="7"/>
      <c r="Y79" s="7"/>
      <c r="Z79" s="7"/>
      <c r="AA79" s="7"/>
      <c r="AB79" s="7"/>
      <c r="AC79" s="7"/>
      <c r="AD79" s="7"/>
      <c r="AE79" s="7"/>
    </row>
    <row r="80" spans="1:32" ht="26.45" customHeight="1" x14ac:dyDescent="0.25">
      <c r="A80" s="307" t="s">
        <v>382</v>
      </c>
      <c r="B80" s="307"/>
      <c r="C80" s="307"/>
      <c r="D80" s="277"/>
      <c r="E80" s="277"/>
      <c r="F80" s="277"/>
      <c r="G80" s="277"/>
      <c r="H80" s="27"/>
      <c r="I80" s="27"/>
      <c r="J80" s="27"/>
      <c r="K80" s="27"/>
      <c r="L80" s="7"/>
      <c r="M80" s="7"/>
      <c r="N80" s="7"/>
      <c r="O80" s="7"/>
      <c r="P80" s="7"/>
      <c r="Q80" s="7"/>
      <c r="R80" s="7"/>
      <c r="S80" s="7"/>
      <c r="T80" s="7"/>
      <c r="U80" s="7"/>
      <c r="V80" s="7"/>
      <c r="W80" s="7"/>
      <c r="X80" s="7"/>
      <c r="Y80" s="7"/>
      <c r="Z80" s="7"/>
      <c r="AA80" s="7"/>
      <c r="AB80" s="7"/>
      <c r="AC80" s="7"/>
      <c r="AD80" s="7"/>
      <c r="AE80" s="7"/>
    </row>
    <row r="81" spans="1:32" ht="26.45" customHeight="1" x14ac:dyDescent="0.25">
      <c r="A81" s="307" t="s">
        <v>151</v>
      </c>
      <c r="B81" s="307"/>
      <c r="C81" s="307"/>
      <c r="D81" s="277"/>
      <c r="E81" s="277"/>
      <c r="F81" s="277"/>
      <c r="G81" s="277"/>
      <c r="H81" s="27"/>
      <c r="I81" s="27"/>
      <c r="J81" s="27"/>
      <c r="K81" s="27"/>
      <c r="L81" s="7"/>
      <c r="M81" s="7"/>
      <c r="N81" s="7"/>
      <c r="O81" s="7"/>
      <c r="P81" s="7"/>
      <c r="Q81" s="7"/>
      <c r="R81" s="7"/>
      <c r="S81" s="7"/>
      <c r="T81" s="7"/>
      <c r="U81" s="7"/>
      <c r="V81" s="7"/>
      <c r="W81" s="7"/>
      <c r="X81" s="7"/>
      <c r="Y81" s="7"/>
      <c r="Z81" s="7"/>
      <c r="AA81" s="7"/>
      <c r="AB81" s="7"/>
      <c r="AC81" s="7"/>
      <c r="AD81" s="7"/>
      <c r="AE81" s="7"/>
    </row>
    <row r="82" spans="1:32" ht="46.5" customHeight="1" x14ac:dyDescent="0.25">
      <c r="A82" s="307" t="s">
        <v>384</v>
      </c>
      <c r="B82" s="307"/>
      <c r="C82" s="307"/>
      <c r="D82" s="307"/>
      <c r="E82" s="307"/>
      <c r="F82" s="307"/>
      <c r="G82" s="307"/>
      <c r="H82" s="28"/>
      <c r="I82" s="28"/>
      <c r="J82" s="28"/>
      <c r="K82" s="29"/>
      <c r="L82" s="29"/>
      <c r="M82" s="29"/>
      <c r="N82" s="29"/>
      <c r="O82" s="29"/>
      <c r="P82" s="29"/>
      <c r="Q82" s="29"/>
      <c r="R82" s="29"/>
      <c r="S82" s="29"/>
      <c r="T82" s="29"/>
      <c r="U82" s="29"/>
      <c r="V82" s="29"/>
      <c r="W82" s="29"/>
      <c r="X82" s="29"/>
      <c r="Y82" s="29"/>
      <c r="Z82" s="29"/>
      <c r="AA82" s="29"/>
      <c r="AB82" s="29"/>
      <c r="AC82" s="29"/>
      <c r="AD82" s="29"/>
      <c r="AE82" s="29"/>
      <c r="AF82" s="29"/>
    </row>
    <row r="83" spans="1:32" ht="19.899999999999999" customHeight="1" x14ac:dyDescent="0.25">
      <c r="A83" s="276"/>
      <c r="B83" s="276"/>
      <c r="C83" s="276"/>
      <c r="D83" s="276"/>
      <c r="E83" s="276"/>
      <c r="F83" s="276"/>
      <c r="G83" s="276"/>
      <c r="H83" s="28"/>
      <c r="I83" s="28"/>
      <c r="J83" s="28"/>
      <c r="K83" s="7"/>
      <c r="L83" s="7"/>
      <c r="M83" s="7"/>
      <c r="N83" s="7"/>
      <c r="O83" s="7"/>
      <c r="P83" s="7"/>
      <c r="Q83" s="7"/>
      <c r="R83" s="7"/>
      <c r="S83" s="7"/>
      <c r="T83" s="7"/>
      <c r="U83" s="7"/>
      <c r="V83" s="7"/>
      <c r="W83" s="7"/>
      <c r="X83" s="7"/>
      <c r="Y83" s="7"/>
      <c r="Z83" s="7"/>
      <c r="AA83" s="7"/>
      <c r="AB83" s="7"/>
      <c r="AC83" s="7"/>
      <c r="AD83" s="7"/>
      <c r="AE83" s="7"/>
    </row>
    <row r="84" spans="1:32" ht="6.75" customHeight="1" x14ac:dyDescent="0.25">
      <c r="A84" s="7"/>
      <c r="B84" s="7"/>
      <c r="C84" s="7"/>
      <c r="D84" s="7"/>
      <c r="E84" s="7"/>
      <c r="F84" s="7"/>
      <c r="G84" s="7"/>
      <c r="H84" s="7"/>
      <c r="I84" s="7"/>
      <c r="J84" s="7"/>
      <c r="K84" s="7"/>
      <c r="L84" s="7"/>
      <c r="M84" s="7"/>
      <c r="N84" s="7"/>
      <c r="O84" s="7"/>
      <c r="P84" s="7"/>
      <c r="Q84" s="7"/>
      <c r="R84" s="7"/>
      <c r="S84" s="7"/>
      <c r="T84" s="7"/>
      <c r="U84" s="7"/>
      <c r="V84" s="7"/>
      <c r="W84" s="7"/>
      <c r="X84" s="7"/>
      <c r="Y84" s="7"/>
      <c r="Z84" s="7"/>
      <c r="AA84" s="7"/>
      <c r="AB84" s="7"/>
      <c r="AC84" s="7"/>
      <c r="AD84" s="7"/>
      <c r="AE84" s="7"/>
    </row>
    <row r="85" spans="1:32" ht="0" hidden="1" customHeight="1" x14ac:dyDescent="0.25"/>
    <row r="86" spans="1:32" ht="0" hidden="1" customHeight="1" x14ac:dyDescent="0.25"/>
    <row r="87" spans="1:32" ht="0" hidden="1" customHeight="1" x14ac:dyDescent="0.25"/>
    <row r="88" spans="1:32" ht="0" hidden="1" customHeight="1" x14ac:dyDescent="0.25"/>
    <row r="89" spans="1:32" ht="0" hidden="1" customHeight="1" x14ac:dyDescent="0.25"/>
    <row r="90" spans="1:32" ht="0" hidden="1" customHeight="1" x14ac:dyDescent="0.25"/>
    <row r="91" spans="1:32" ht="0" hidden="1" customHeight="1" x14ac:dyDescent="0.25"/>
    <row r="92" spans="1:32" ht="0" hidden="1" customHeight="1" x14ac:dyDescent="0.25"/>
    <row r="93" spans="1:32" ht="0" hidden="1" customHeight="1" x14ac:dyDescent="0.25"/>
    <row r="94" spans="1:32" ht="0" hidden="1" customHeight="1" x14ac:dyDescent="0.25"/>
  </sheetData>
  <mergeCells count="37">
    <mergeCell ref="Q4:Q5"/>
    <mergeCell ref="F4:F5"/>
    <mergeCell ref="G4:G5"/>
    <mergeCell ref="A82:G82"/>
    <mergeCell ref="W4:W5"/>
    <mergeCell ref="A79:C79"/>
    <mergeCell ref="A80:C80"/>
    <mergeCell ref="A81:C81"/>
    <mergeCell ref="A78:B78"/>
    <mergeCell ref="H4:H5"/>
    <mergeCell ref="X4:X5"/>
    <mergeCell ref="S4:S5"/>
    <mergeCell ref="T4:T5"/>
    <mergeCell ref="U4:U5"/>
    <mergeCell ref="V4:V5"/>
    <mergeCell ref="A2:C2"/>
    <mergeCell ref="B4:B5"/>
    <mergeCell ref="C4:C5"/>
    <mergeCell ref="D4:D5"/>
    <mergeCell ref="E4:E5"/>
    <mergeCell ref="A4:A5"/>
    <mergeCell ref="AB4:AB5"/>
    <mergeCell ref="I4:I5"/>
    <mergeCell ref="O4:O5"/>
    <mergeCell ref="AE4:AE5"/>
    <mergeCell ref="J4:J5"/>
    <mergeCell ref="AA4:AA5"/>
    <mergeCell ref="Z4:Z5"/>
    <mergeCell ref="Y4:Y5"/>
    <mergeCell ref="R4:R5"/>
    <mergeCell ref="K4:K5"/>
    <mergeCell ref="L4:L5"/>
    <mergeCell ref="M4:M5"/>
    <mergeCell ref="N4:N5"/>
    <mergeCell ref="AC4:AC5"/>
    <mergeCell ref="P4:P5"/>
    <mergeCell ref="AD4:AD5"/>
  </mergeCells>
  <pageMargins left="0.74803149606299213" right="0.74803149606299213" top="0.98425196850393704" bottom="0.98425196850393704" header="0" footer="0"/>
  <pageSetup paperSize="9" scale="65" fitToWidth="19" orientation="portrait" r:id="rId1"/>
  <headerFooter alignWithMargins="0"/>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6"/>
  <dimension ref="A1:DW94"/>
  <sheetViews>
    <sheetView zoomScale="115" zoomScaleNormal="115" workbookViewId="0">
      <pane xSplit="2" ySplit="5" topLeftCell="C6" activePane="bottomRight" state="frozen"/>
      <selection activeCell="C6" sqref="C6"/>
      <selection pane="topRight" activeCell="C6" sqref="C6"/>
      <selection pane="bottomLeft" activeCell="C6" sqref="C6"/>
      <selection pane="bottomRight" activeCell="C6" sqref="C6"/>
    </sheetView>
  </sheetViews>
  <sheetFormatPr baseColWidth="10" defaultColWidth="0" defaultRowHeight="0" customHeight="1" zeroHeight="1" x14ac:dyDescent="0.25"/>
  <cols>
    <col min="1" max="1" width="5.7109375" style="8" customWidth="1"/>
    <col min="2" max="2" width="62.7109375" style="8" customWidth="1"/>
    <col min="3" max="4" width="11.140625" style="30" customWidth="1"/>
    <col min="5" max="6" width="11.140625" style="8" customWidth="1"/>
    <col min="7" max="7" width="11.140625" style="31" customWidth="1"/>
    <col min="8" max="31" width="11.140625" style="8" customWidth="1"/>
    <col min="32" max="32" width="5.42578125" style="7" customWidth="1"/>
    <col min="33" max="127" width="0" style="8" hidden="1" customWidth="1"/>
    <col min="128" max="16384" width="5.42578125" style="8" hidden="1"/>
  </cols>
  <sheetData>
    <row r="1" spans="1:32" s="5" customFormat="1" ht="25.5" customHeight="1" thickBot="1" x14ac:dyDescent="0.25">
      <c r="A1" s="1"/>
      <c r="B1" s="2"/>
      <c r="C1" s="3"/>
      <c r="D1" s="172" t="s">
        <v>0</v>
      </c>
      <c r="E1" s="171"/>
      <c r="F1" s="171"/>
      <c r="G1" s="173"/>
      <c r="H1" s="171"/>
      <c r="I1" s="171"/>
      <c r="J1" s="171"/>
      <c r="K1" s="171"/>
      <c r="L1" s="171"/>
      <c r="M1" s="171"/>
      <c r="N1" s="171"/>
      <c r="O1" s="171"/>
      <c r="P1" s="171"/>
      <c r="Q1" s="171"/>
      <c r="R1" s="171"/>
      <c r="S1" s="171"/>
      <c r="T1" s="171"/>
      <c r="U1" s="171"/>
      <c r="V1" s="171"/>
      <c r="W1" s="171"/>
      <c r="X1" s="171"/>
      <c r="Y1" s="171"/>
      <c r="Z1" s="171"/>
      <c r="AA1" s="171"/>
      <c r="AB1" s="171"/>
      <c r="AC1" s="171"/>
      <c r="AD1" s="171"/>
      <c r="AE1" s="171"/>
      <c r="AF1" s="2"/>
    </row>
    <row r="2" spans="1:32" ht="22.5" customHeight="1" thickBot="1" x14ac:dyDescent="0.3">
      <c r="A2" s="303" t="s">
        <v>182</v>
      </c>
      <c r="B2" s="304"/>
      <c r="C2" s="304"/>
      <c r="D2" s="140"/>
      <c r="E2" s="140"/>
      <c r="F2" s="140"/>
      <c r="G2" s="140"/>
      <c r="H2" s="140"/>
      <c r="I2" s="140"/>
      <c r="J2" s="140"/>
      <c r="K2" s="140"/>
      <c r="L2" s="140"/>
      <c r="M2" s="140"/>
      <c r="N2" s="140"/>
      <c r="O2" s="140"/>
      <c r="P2" s="140"/>
      <c r="Q2" s="140"/>
      <c r="R2" s="140"/>
      <c r="S2" s="140"/>
      <c r="T2" s="140"/>
      <c r="U2" s="140"/>
      <c r="V2" s="140"/>
      <c r="W2" s="140"/>
      <c r="X2" s="140"/>
      <c r="Y2" s="140"/>
      <c r="Z2" s="140"/>
      <c r="AA2" s="140"/>
      <c r="AB2" s="140"/>
      <c r="AC2" s="140"/>
      <c r="AD2" s="140"/>
      <c r="AE2" s="141"/>
    </row>
    <row r="3" spans="1:32" ht="16.5" customHeight="1" thickBot="1" x14ac:dyDescent="0.25">
      <c r="A3" s="142" t="s">
        <v>299</v>
      </c>
      <c r="B3" s="57"/>
      <c r="C3" s="57"/>
      <c r="D3" s="58"/>
      <c r="E3" s="58"/>
      <c r="F3" s="58"/>
      <c r="G3" s="58"/>
      <c r="H3" s="59"/>
      <c r="I3" s="59"/>
      <c r="J3" s="59"/>
      <c r="K3" s="59"/>
      <c r="L3" s="59"/>
      <c r="M3" s="59"/>
      <c r="N3" s="59"/>
      <c r="O3" s="59"/>
      <c r="P3" s="59"/>
      <c r="Q3" s="59"/>
      <c r="R3" s="59"/>
      <c r="S3" s="59"/>
      <c r="T3" s="59"/>
      <c r="U3" s="59"/>
      <c r="V3" s="59"/>
      <c r="W3" s="59"/>
      <c r="X3" s="59"/>
      <c r="Y3" s="59"/>
      <c r="Z3" s="59"/>
      <c r="AA3" s="59"/>
      <c r="AB3" s="59"/>
      <c r="AC3" s="59"/>
      <c r="AD3" s="59"/>
      <c r="AE3" s="143"/>
    </row>
    <row r="4" spans="1:32" ht="15.75" customHeight="1" x14ac:dyDescent="0.25">
      <c r="A4" s="310"/>
      <c r="B4" s="308" t="s">
        <v>2</v>
      </c>
      <c r="C4" s="301">
        <v>1996</v>
      </c>
      <c r="D4" s="301">
        <v>1997</v>
      </c>
      <c r="E4" s="301">
        <v>1998</v>
      </c>
      <c r="F4" s="301">
        <v>1999</v>
      </c>
      <c r="G4" s="301">
        <v>2000</v>
      </c>
      <c r="H4" s="301">
        <v>2001</v>
      </c>
      <c r="I4" s="301">
        <v>2002</v>
      </c>
      <c r="J4" s="301">
        <v>2003</v>
      </c>
      <c r="K4" s="301">
        <v>2004</v>
      </c>
      <c r="L4" s="301">
        <v>2005</v>
      </c>
      <c r="M4" s="301">
        <v>2006</v>
      </c>
      <c r="N4" s="301">
        <v>2007</v>
      </c>
      <c r="O4" s="301">
        <v>2008</v>
      </c>
      <c r="P4" s="301">
        <v>2009</v>
      </c>
      <c r="Q4" s="301">
        <v>2010</v>
      </c>
      <c r="R4" s="301">
        <v>2011</v>
      </c>
      <c r="S4" s="301">
        <v>2012</v>
      </c>
      <c r="T4" s="301">
        <v>2013</v>
      </c>
      <c r="U4" s="301">
        <v>2014</v>
      </c>
      <c r="V4" s="301">
        <v>2015</v>
      </c>
      <c r="W4" s="301">
        <v>2016</v>
      </c>
      <c r="X4" s="301">
        <v>2017</v>
      </c>
      <c r="Y4" s="301">
        <v>2018</v>
      </c>
      <c r="Z4" s="301">
        <v>2019</v>
      </c>
      <c r="AA4" s="301">
        <v>2020</v>
      </c>
      <c r="AB4" s="301">
        <v>2021</v>
      </c>
      <c r="AC4" s="301">
        <v>2022</v>
      </c>
      <c r="AD4" s="301">
        <v>2023</v>
      </c>
      <c r="AE4" s="299">
        <v>2024</v>
      </c>
    </row>
    <row r="5" spans="1:32" ht="15.75" customHeight="1" thickBot="1" x14ac:dyDescent="0.3">
      <c r="A5" s="311"/>
      <c r="B5" s="309"/>
      <c r="C5" s="302"/>
      <c r="D5" s="302" t="s">
        <v>3</v>
      </c>
      <c r="E5" s="302"/>
      <c r="F5" s="302" t="s">
        <v>4</v>
      </c>
      <c r="G5" s="302"/>
      <c r="H5" s="302" t="s">
        <v>5</v>
      </c>
      <c r="I5" s="302"/>
      <c r="J5" s="302" t="s">
        <v>6</v>
      </c>
      <c r="K5" s="302"/>
      <c r="L5" s="302" t="s">
        <v>7</v>
      </c>
      <c r="M5" s="302"/>
      <c r="N5" s="302" t="s">
        <v>8</v>
      </c>
      <c r="O5" s="302"/>
      <c r="P5" s="302" t="s">
        <v>9</v>
      </c>
      <c r="Q5" s="302"/>
      <c r="R5" s="302" t="s">
        <v>10</v>
      </c>
      <c r="S5" s="302"/>
      <c r="T5" s="302"/>
      <c r="U5" s="302"/>
      <c r="V5" s="302"/>
      <c r="W5" s="302"/>
      <c r="X5" s="302"/>
      <c r="Y5" s="302"/>
      <c r="Z5" s="302"/>
      <c r="AA5" s="302"/>
      <c r="AB5" s="302"/>
      <c r="AC5" s="302"/>
      <c r="AD5" s="302"/>
      <c r="AE5" s="300"/>
    </row>
    <row r="6" spans="1:32" s="11" customFormat="1" ht="15" customHeight="1" thickBot="1" x14ac:dyDescent="0.3">
      <c r="A6" s="144" t="s">
        <v>11</v>
      </c>
      <c r="B6" s="9" t="s">
        <v>12</v>
      </c>
      <c r="C6" s="64">
        <v>1444</v>
      </c>
      <c r="D6" s="64">
        <v>1357</v>
      </c>
      <c r="E6" s="64">
        <v>1277</v>
      </c>
      <c r="F6" s="64">
        <v>1261</v>
      </c>
      <c r="G6" s="64">
        <v>1244</v>
      </c>
      <c r="H6" s="64">
        <v>1196</v>
      </c>
      <c r="I6" s="64">
        <v>1204</v>
      </c>
      <c r="J6" s="64">
        <v>1287</v>
      </c>
      <c r="K6" s="64">
        <v>1381</v>
      </c>
      <c r="L6" s="64">
        <v>1399</v>
      </c>
      <c r="M6" s="64">
        <v>1495</v>
      </c>
      <c r="N6" s="64">
        <v>1578</v>
      </c>
      <c r="O6" s="64">
        <v>1759</v>
      </c>
      <c r="P6" s="64">
        <v>1735</v>
      </c>
      <c r="Q6" s="64">
        <v>1712</v>
      </c>
      <c r="R6" s="64">
        <v>1719</v>
      </c>
      <c r="S6" s="64">
        <v>1679</v>
      </c>
      <c r="T6" s="64">
        <v>1641</v>
      </c>
      <c r="U6" s="64">
        <v>1602</v>
      </c>
      <c r="V6" s="64">
        <v>1559</v>
      </c>
      <c r="W6" s="64">
        <v>1552</v>
      </c>
      <c r="X6" s="64">
        <v>1532</v>
      </c>
      <c r="Y6" s="64">
        <v>1460</v>
      </c>
      <c r="Z6" s="64">
        <v>1436</v>
      </c>
      <c r="AA6" s="64">
        <v>1415</v>
      </c>
      <c r="AB6" s="64">
        <v>1406</v>
      </c>
      <c r="AC6" s="64">
        <v>1367</v>
      </c>
      <c r="AD6" s="64">
        <v>1306</v>
      </c>
      <c r="AE6" s="145">
        <v>1302</v>
      </c>
      <c r="AF6" s="10"/>
    </row>
    <row r="7" spans="1:32" ht="15" customHeight="1" x14ac:dyDescent="0.25">
      <c r="A7" s="146">
        <v>1</v>
      </c>
      <c r="B7" s="12" t="s">
        <v>13</v>
      </c>
      <c r="C7" s="68" t="s">
        <v>383</v>
      </c>
      <c r="D7" s="68" t="s">
        <v>383</v>
      </c>
      <c r="E7" s="68" t="s">
        <v>383</v>
      </c>
      <c r="F7" s="68">
        <v>1257</v>
      </c>
      <c r="G7" s="68" t="s">
        <v>383</v>
      </c>
      <c r="H7" s="68">
        <v>1191</v>
      </c>
      <c r="I7" s="68">
        <v>1198</v>
      </c>
      <c r="J7" s="68">
        <v>1282</v>
      </c>
      <c r="K7" s="68">
        <v>1375</v>
      </c>
      <c r="L7" s="68">
        <v>1392</v>
      </c>
      <c r="M7" s="68">
        <v>1484</v>
      </c>
      <c r="N7" s="68">
        <v>1567</v>
      </c>
      <c r="O7" s="68">
        <v>1748</v>
      </c>
      <c r="P7" s="68">
        <v>1725</v>
      </c>
      <c r="Q7" s="68">
        <v>1702</v>
      </c>
      <c r="R7" s="68">
        <v>1708</v>
      </c>
      <c r="S7" s="68">
        <v>1668</v>
      </c>
      <c r="T7" s="68">
        <v>1630</v>
      </c>
      <c r="U7" s="68">
        <v>1590</v>
      </c>
      <c r="V7" s="68">
        <v>1547</v>
      </c>
      <c r="W7" s="68">
        <v>1540</v>
      </c>
      <c r="X7" s="68">
        <v>1522</v>
      </c>
      <c r="Y7" s="68">
        <v>1450</v>
      </c>
      <c r="Z7" s="68">
        <v>1425</v>
      </c>
      <c r="AA7" s="68">
        <v>1403</v>
      </c>
      <c r="AB7" s="68">
        <v>1396</v>
      </c>
      <c r="AC7" s="68">
        <v>1357</v>
      </c>
      <c r="AD7" s="68">
        <v>1297</v>
      </c>
      <c r="AE7" s="147">
        <v>1295</v>
      </c>
    </row>
    <row r="8" spans="1:32" ht="15" customHeight="1" thickBot="1" x14ac:dyDescent="0.3">
      <c r="A8" s="148">
        <v>2</v>
      </c>
      <c r="B8" s="13" t="s">
        <v>14</v>
      </c>
      <c r="C8" s="69" t="s">
        <v>383</v>
      </c>
      <c r="D8" s="69" t="s">
        <v>383</v>
      </c>
      <c r="E8" s="69" t="s">
        <v>383</v>
      </c>
      <c r="F8" s="69">
        <v>4</v>
      </c>
      <c r="G8" s="69" t="s">
        <v>383</v>
      </c>
      <c r="H8" s="69">
        <v>5</v>
      </c>
      <c r="I8" s="69">
        <v>6</v>
      </c>
      <c r="J8" s="69">
        <v>5</v>
      </c>
      <c r="K8" s="69">
        <v>6</v>
      </c>
      <c r="L8" s="69">
        <v>7</v>
      </c>
      <c r="M8" s="69">
        <v>11</v>
      </c>
      <c r="N8" s="69">
        <v>11</v>
      </c>
      <c r="O8" s="69">
        <v>11</v>
      </c>
      <c r="P8" s="69">
        <v>10</v>
      </c>
      <c r="Q8" s="69">
        <v>10</v>
      </c>
      <c r="R8" s="69">
        <v>11</v>
      </c>
      <c r="S8" s="69">
        <v>11</v>
      </c>
      <c r="T8" s="69">
        <v>11</v>
      </c>
      <c r="U8" s="69">
        <v>12</v>
      </c>
      <c r="V8" s="69">
        <v>12</v>
      </c>
      <c r="W8" s="69">
        <v>12</v>
      </c>
      <c r="X8" s="69">
        <v>10</v>
      </c>
      <c r="Y8" s="69">
        <v>10</v>
      </c>
      <c r="Z8" s="69">
        <v>11</v>
      </c>
      <c r="AA8" s="69">
        <v>12</v>
      </c>
      <c r="AB8" s="69">
        <v>10</v>
      </c>
      <c r="AC8" s="69">
        <v>10</v>
      </c>
      <c r="AD8" s="69">
        <v>9</v>
      </c>
      <c r="AE8" s="149">
        <v>7</v>
      </c>
    </row>
    <row r="9" spans="1:32" s="11" customFormat="1" ht="15" customHeight="1" thickBot="1" x14ac:dyDescent="0.3">
      <c r="A9" s="144" t="s">
        <v>15</v>
      </c>
      <c r="B9" s="9" t="s">
        <v>16</v>
      </c>
      <c r="C9" s="64" t="s">
        <v>383</v>
      </c>
      <c r="D9" s="64" t="s">
        <v>383</v>
      </c>
      <c r="E9" s="64" t="s">
        <v>383</v>
      </c>
      <c r="F9" s="64" t="s">
        <v>383</v>
      </c>
      <c r="G9" s="64" t="s">
        <v>383</v>
      </c>
      <c r="H9" s="64" t="s">
        <v>383</v>
      </c>
      <c r="I9" s="64" t="s">
        <v>383</v>
      </c>
      <c r="J9" s="64" t="s">
        <v>383</v>
      </c>
      <c r="K9" s="64" t="s">
        <v>383</v>
      </c>
      <c r="L9" s="64" t="s">
        <v>383</v>
      </c>
      <c r="M9" s="64" t="s">
        <v>383</v>
      </c>
      <c r="N9" s="64" t="s">
        <v>383</v>
      </c>
      <c r="O9" s="64" t="s">
        <v>383</v>
      </c>
      <c r="P9" s="64" t="s">
        <v>383</v>
      </c>
      <c r="Q9" s="64" t="s">
        <v>383</v>
      </c>
      <c r="R9" s="64" t="s">
        <v>383</v>
      </c>
      <c r="S9" s="64" t="s">
        <v>383</v>
      </c>
      <c r="T9" s="64" t="s">
        <v>383</v>
      </c>
      <c r="U9" s="64" t="s">
        <v>383</v>
      </c>
      <c r="V9" s="64" t="s">
        <v>383</v>
      </c>
      <c r="W9" s="64" t="s">
        <v>383</v>
      </c>
      <c r="X9" s="64" t="s">
        <v>383</v>
      </c>
      <c r="Y9" s="64" t="s">
        <v>383</v>
      </c>
      <c r="Z9" s="64" t="s">
        <v>383</v>
      </c>
      <c r="AA9" s="64" t="s">
        <v>383</v>
      </c>
      <c r="AB9" s="64" t="s">
        <v>383</v>
      </c>
      <c r="AC9" s="64" t="s">
        <v>383</v>
      </c>
      <c r="AD9" s="64" t="s">
        <v>383</v>
      </c>
      <c r="AE9" s="145" t="s">
        <v>383</v>
      </c>
      <c r="AF9" s="10"/>
    </row>
    <row r="10" spans="1:32" ht="15" customHeight="1" thickBot="1" x14ac:dyDescent="0.3">
      <c r="A10" s="150">
        <v>5</v>
      </c>
      <c r="B10" s="14" t="s">
        <v>17</v>
      </c>
      <c r="C10" s="67" t="s">
        <v>383</v>
      </c>
      <c r="D10" s="67" t="s">
        <v>383</v>
      </c>
      <c r="E10" s="67" t="s">
        <v>383</v>
      </c>
      <c r="F10" s="67" t="s">
        <v>383</v>
      </c>
      <c r="G10" s="67" t="s">
        <v>383</v>
      </c>
      <c r="H10" s="67" t="s">
        <v>383</v>
      </c>
      <c r="I10" s="67" t="s">
        <v>383</v>
      </c>
      <c r="J10" s="67" t="s">
        <v>383</v>
      </c>
      <c r="K10" s="67" t="s">
        <v>383</v>
      </c>
      <c r="L10" s="67" t="s">
        <v>383</v>
      </c>
      <c r="M10" s="67" t="s">
        <v>383</v>
      </c>
      <c r="N10" s="67" t="s">
        <v>383</v>
      </c>
      <c r="O10" s="67" t="s">
        <v>383</v>
      </c>
      <c r="P10" s="67" t="s">
        <v>383</v>
      </c>
      <c r="Q10" s="67" t="s">
        <v>383</v>
      </c>
      <c r="R10" s="67" t="s">
        <v>383</v>
      </c>
      <c r="S10" s="67" t="s">
        <v>383</v>
      </c>
      <c r="T10" s="67" t="s">
        <v>383</v>
      </c>
      <c r="U10" s="67" t="s">
        <v>383</v>
      </c>
      <c r="V10" s="67" t="s">
        <v>383</v>
      </c>
      <c r="W10" s="67" t="s">
        <v>383</v>
      </c>
      <c r="X10" s="67" t="s">
        <v>383</v>
      </c>
      <c r="Y10" s="67" t="s">
        <v>383</v>
      </c>
      <c r="Z10" s="67" t="s">
        <v>383</v>
      </c>
      <c r="AA10" s="67" t="s">
        <v>383</v>
      </c>
      <c r="AB10" s="67" t="s">
        <v>383</v>
      </c>
      <c r="AC10" s="67" t="s">
        <v>383</v>
      </c>
      <c r="AD10" s="67" t="s">
        <v>383</v>
      </c>
      <c r="AE10" s="151" t="s">
        <v>383</v>
      </c>
    </row>
    <row r="11" spans="1:32" s="11" customFormat="1" ht="15" customHeight="1" thickBot="1" x14ac:dyDescent="0.3">
      <c r="A11" s="144" t="s">
        <v>18</v>
      </c>
      <c r="B11" s="9" t="s">
        <v>19</v>
      </c>
      <c r="C11" s="64">
        <v>14</v>
      </c>
      <c r="D11" s="64">
        <v>14</v>
      </c>
      <c r="E11" s="64">
        <v>12</v>
      </c>
      <c r="F11" s="64">
        <v>13</v>
      </c>
      <c r="G11" s="64">
        <v>14</v>
      </c>
      <c r="H11" s="64">
        <v>12</v>
      </c>
      <c r="I11" s="64">
        <v>11</v>
      </c>
      <c r="J11" s="64">
        <v>12</v>
      </c>
      <c r="K11" s="64">
        <v>18</v>
      </c>
      <c r="L11" s="64">
        <v>14</v>
      </c>
      <c r="M11" s="64">
        <v>15</v>
      </c>
      <c r="N11" s="64">
        <v>18</v>
      </c>
      <c r="O11" s="64">
        <v>22</v>
      </c>
      <c r="P11" s="64">
        <v>21</v>
      </c>
      <c r="Q11" s="64">
        <v>21</v>
      </c>
      <c r="R11" s="64">
        <v>18</v>
      </c>
      <c r="S11" s="64">
        <v>19</v>
      </c>
      <c r="T11" s="64">
        <v>22</v>
      </c>
      <c r="U11" s="64">
        <v>18</v>
      </c>
      <c r="V11" s="64">
        <v>19</v>
      </c>
      <c r="W11" s="64">
        <v>20</v>
      </c>
      <c r="X11" s="64">
        <v>21</v>
      </c>
      <c r="Y11" s="64">
        <v>21</v>
      </c>
      <c r="Z11" s="64">
        <v>20</v>
      </c>
      <c r="AA11" s="64">
        <v>17</v>
      </c>
      <c r="AB11" s="64">
        <v>18</v>
      </c>
      <c r="AC11" s="64">
        <v>20</v>
      </c>
      <c r="AD11" s="64">
        <v>19</v>
      </c>
      <c r="AE11" s="145">
        <v>16</v>
      </c>
      <c r="AF11" s="10"/>
    </row>
    <row r="12" spans="1:32" ht="15" customHeight="1" x14ac:dyDescent="0.25">
      <c r="A12" s="152">
        <v>11</v>
      </c>
      <c r="B12" s="15" t="s">
        <v>20</v>
      </c>
      <c r="C12" s="68" t="s">
        <v>383</v>
      </c>
      <c r="D12" s="68" t="s">
        <v>383</v>
      </c>
      <c r="E12" s="68" t="s">
        <v>383</v>
      </c>
      <c r="F12" s="68" t="s">
        <v>383</v>
      </c>
      <c r="G12" s="68" t="s">
        <v>383</v>
      </c>
      <c r="H12" s="68" t="s">
        <v>383</v>
      </c>
      <c r="I12" s="68" t="s">
        <v>383</v>
      </c>
      <c r="J12" s="68" t="s">
        <v>383</v>
      </c>
      <c r="K12" s="68" t="s">
        <v>383</v>
      </c>
      <c r="L12" s="68" t="s">
        <v>383</v>
      </c>
      <c r="M12" s="68" t="s">
        <v>383</v>
      </c>
      <c r="N12" s="68" t="s">
        <v>383</v>
      </c>
      <c r="O12" s="68" t="s">
        <v>383</v>
      </c>
      <c r="P12" s="68" t="s">
        <v>383</v>
      </c>
      <c r="Q12" s="68" t="s">
        <v>383</v>
      </c>
      <c r="R12" s="68" t="s">
        <v>383</v>
      </c>
      <c r="S12" s="68" t="s">
        <v>383</v>
      </c>
      <c r="T12" s="68" t="s">
        <v>383</v>
      </c>
      <c r="U12" s="68" t="s">
        <v>383</v>
      </c>
      <c r="V12" s="68" t="s">
        <v>383</v>
      </c>
      <c r="W12" s="68" t="s">
        <v>383</v>
      </c>
      <c r="X12" s="68" t="s">
        <v>383</v>
      </c>
      <c r="Y12" s="68" t="s">
        <v>383</v>
      </c>
      <c r="Z12" s="68" t="s">
        <v>383</v>
      </c>
      <c r="AA12" s="68" t="s">
        <v>383</v>
      </c>
      <c r="AB12" s="68" t="s">
        <v>383</v>
      </c>
      <c r="AC12" s="68" t="s">
        <v>383</v>
      </c>
      <c r="AD12" s="68" t="s">
        <v>383</v>
      </c>
      <c r="AE12" s="153" t="s">
        <v>383</v>
      </c>
    </row>
    <row r="13" spans="1:32" ht="15" customHeight="1" x14ac:dyDescent="0.25">
      <c r="A13" s="154">
        <v>13</v>
      </c>
      <c r="B13" s="16" t="s">
        <v>21</v>
      </c>
      <c r="C13" s="69" t="s">
        <v>383</v>
      </c>
      <c r="D13" s="69" t="s">
        <v>383</v>
      </c>
      <c r="E13" s="69" t="s">
        <v>383</v>
      </c>
      <c r="F13" s="69" t="s">
        <v>383</v>
      </c>
      <c r="G13" s="69" t="s">
        <v>383</v>
      </c>
      <c r="H13" s="69" t="s">
        <v>383</v>
      </c>
      <c r="I13" s="69" t="s">
        <v>383</v>
      </c>
      <c r="J13" s="69" t="s">
        <v>383</v>
      </c>
      <c r="K13" s="69" t="s">
        <v>383</v>
      </c>
      <c r="L13" s="69" t="s">
        <v>383</v>
      </c>
      <c r="M13" s="69" t="s">
        <v>383</v>
      </c>
      <c r="N13" s="69" t="s">
        <v>383</v>
      </c>
      <c r="O13" s="69" t="s">
        <v>383</v>
      </c>
      <c r="P13" s="69" t="s">
        <v>383</v>
      </c>
      <c r="Q13" s="69" t="s">
        <v>383</v>
      </c>
      <c r="R13" s="69" t="s">
        <v>383</v>
      </c>
      <c r="S13" s="69" t="s">
        <v>383</v>
      </c>
      <c r="T13" s="69" t="s">
        <v>383</v>
      </c>
      <c r="U13" s="69" t="s">
        <v>383</v>
      </c>
      <c r="V13" s="69" t="s">
        <v>383</v>
      </c>
      <c r="W13" s="69" t="s">
        <v>383</v>
      </c>
      <c r="X13" s="69" t="s">
        <v>383</v>
      </c>
      <c r="Y13" s="69" t="s">
        <v>383</v>
      </c>
      <c r="Z13" s="69" t="s">
        <v>383</v>
      </c>
      <c r="AA13" s="69" t="s">
        <v>383</v>
      </c>
      <c r="AB13" s="69" t="s">
        <v>383</v>
      </c>
      <c r="AC13" s="69" t="s">
        <v>383</v>
      </c>
      <c r="AD13" s="69" t="s">
        <v>383</v>
      </c>
      <c r="AE13" s="155" t="s">
        <v>383</v>
      </c>
    </row>
    <row r="14" spans="1:32" ht="15" customHeight="1" thickBot="1" x14ac:dyDescent="0.3">
      <c r="A14" s="152">
        <v>14</v>
      </c>
      <c r="B14" s="15" t="s">
        <v>22</v>
      </c>
      <c r="C14" s="68">
        <v>10</v>
      </c>
      <c r="D14" s="68">
        <v>9</v>
      </c>
      <c r="E14" s="68">
        <v>8</v>
      </c>
      <c r="F14" s="68">
        <v>9</v>
      </c>
      <c r="G14" s="68">
        <v>9</v>
      </c>
      <c r="H14" s="68">
        <v>8</v>
      </c>
      <c r="I14" s="68">
        <v>8</v>
      </c>
      <c r="J14" s="68">
        <v>10</v>
      </c>
      <c r="K14" s="68">
        <v>14</v>
      </c>
      <c r="L14" s="68">
        <v>12</v>
      </c>
      <c r="M14" s="68">
        <v>13</v>
      </c>
      <c r="N14" s="68">
        <v>15</v>
      </c>
      <c r="O14" s="68">
        <v>20</v>
      </c>
      <c r="P14" s="68">
        <v>18</v>
      </c>
      <c r="Q14" s="68">
        <v>16</v>
      </c>
      <c r="R14" s="68">
        <v>16</v>
      </c>
      <c r="S14" s="68">
        <v>17</v>
      </c>
      <c r="T14" s="68">
        <v>19</v>
      </c>
      <c r="U14" s="68">
        <v>16</v>
      </c>
      <c r="V14" s="68">
        <v>16</v>
      </c>
      <c r="W14" s="68">
        <v>18</v>
      </c>
      <c r="X14" s="68">
        <v>18</v>
      </c>
      <c r="Y14" s="68">
        <v>18</v>
      </c>
      <c r="Z14" s="68">
        <v>17</v>
      </c>
      <c r="AA14" s="68">
        <v>14</v>
      </c>
      <c r="AB14" s="68">
        <v>15</v>
      </c>
      <c r="AC14" s="68">
        <v>17</v>
      </c>
      <c r="AD14" s="68">
        <v>16</v>
      </c>
      <c r="AE14" s="153">
        <v>14</v>
      </c>
    </row>
    <row r="15" spans="1:32" s="11" customFormat="1" ht="15" customHeight="1" thickBot="1" x14ac:dyDescent="0.3">
      <c r="A15" s="144" t="s">
        <v>23</v>
      </c>
      <c r="B15" s="9" t="s">
        <v>24</v>
      </c>
      <c r="C15" s="64">
        <v>712</v>
      </c>
      <c r="D15" s="64">
        <v>712</v>
      </c>
      <c r="E15" s="64">
        <v>745</v>
      </c>
      <c r="F15" s="64">
        <v>760</v>
      </c>
      <c r="G15" s="64">
        <v>745</v>
      </c>
      <c r="H15" s="64">
        <v>685</v>
      </c>
      <c r="I15" s="64">
        <v>640</v>
      </c>
      <c r="J15" s="64">
        <v>653</v>
      </c>
      <c r="K15" s="64">
        <v>690</v>
      </c>
      <c r="L15" s="64">
        <v>725</v>
      </c>
      <c r="M15" s="64">
        <v>749</v>
      </c>
      <c r="N15" s="64">
        <v>862</v>
      </c>
      <c r="O15" s="64">
        <v>937</v>
      </c>
      <c r="P15" s="64">
        <v>949</v>
      </c>
      <c r="Q15" s="64">
        <v>955</v>
      </c>
      <c r="R15" s="64">
        <v>985</v>
      </c>
      <c r="S15" s="64">
        <v>963</v>
      </c>
      <c r="T15" s="64">
        <v>942</v>
      </c>
      <c r="U15" s="64">
        <v>922</v>
      </c>
      <c r="V15" s="64">
        <v>907</v>
      </c>
      <c r="W15" s="64">
        <v>916</v>
      </c>
      <c r="X15" s="64">
        <v>914</v>
      </c>
      <c r="Y15" s="64">
        <v>888</v>
      </c>
      <c r="Z15" s="64">
        <v>856</v>
      </c>
      <c r="AA15" s="64">
        <v>826</v>
      </c>
      <c r="AB15" s="64">
        <v>835</v>
      </c>
      <c r="AC15" s="64">
        <v>833</v>
      </c>
      <c r="AD15" s="64">
        <v>831</v>
      </c>
      <c r="AE15" s="145">
        <v>817</v>
      </c>
      <c r="AF15" s="10"/>
    </row>
    <row r="16" spans="1:32" ht="15" customHeight="1" x14ac:dyDescent="0.25">
      <c r="A16" s="152">
        <v>15</v>
      </c>
      <c r="B16" s="15" t="s">
        <v>25</v>
      </c>
      <c r="C16" s="68">
        <v>268</v>
      </c>
      <c r="D16" s="68">
        <v>273</v>
      </c>
      <c r="E16" s="68">
        <v>282</v>
      </c>
      <c r="F16" s="68">
        <v>278</v>
      </c>
      <c r="G16" s="68">
        <v>273</v>
      </c>
      <c r="H16" s="68">
        <v>260</v>
      </c>
      <c r="I16" s="68">
        <v>243</v>
      </c>
      <c r="J16" s="68">
        <v>253</v>
      </c>
      <c r="K16" s="68">
        <v>263</v>
      </c>
      <c r="L16" s="68">
        <v>268</v>
      </c>
      <c r="M16" s="68">
        <v>277</v>
      </c>
      <c r="N16" s="68">
        <v>311</v>
      </c>
      <c r="O16" s="68">
        <v>364</v>
      </c>
      <c r="P16" s="68">
        <v>376</v>
      </c>
      <c r="Q16" s="68">
        <v>373</v>
      </c>
      <c r="R16" s="68">
        <v>374</v>
      </c>
      <c r="S16" s="68">
        <v>369</v>
      </c>
      <c r="T16" s="68">
        <v>362</v>
      </c>
      <c r="U16" s="68">
        <v>355</v>
      </c>
      <c r="V16" s="68">
        <v>350</v>
      </c>
      <c r="W16" s="68">
        <v>354</v>
      </c>
      <c r="X16" s="68">
        <v>352</v>
      </c>
      <c r="Y16" s="68">
        <v>349</v>
      </c>
      <c r="Z16" s="68">
        <v>338</v>
      </c>
      <c r="AA16" s="68">
        <v>328</v>
      </c>
      <c r="AB16" s="68">
        <v>334</v>
      </c>
      <c r="AC16" s="68">
        <v>334</v>
      </c>
      <c r="AD16" s="68">
        <v>335</v>
      </c>
      <c r="AE16" s="153">
        <v>332</v>
      </c>
    </row>
    <row r="17" spans="1:31" ht="15" customHeight="1" x14ac:dyDescent="0.25">
      <c r="A17" s="156">
        <v>16</v>
      </c>
      <c r="B17" s="17" t="s">
        <v>26</v>
      </c>
      <c r="C17" s="70" t="s">
        <v>383</v>
      </c>
      <c r="D17" s="70" t="s">
        <v>383</v>
      </c>
      <c r="E17" s="70" t="s">
        <v>383</v>
      </c>
      <c r="F17" s="70" t="s">
        <v>383</v>
      </c>
      <c r="G17" s="70" t="s">
        <v>383</v>
      </c>
      <c r="H17" s="70" t="s">
        <v>383</v>
      </c>
      <c r="I17" s="70" t="s">
        <v>383</v>
      </c>
      <c r="J17" s="70" t="s">
        <v>383</v>
      </c>
      <c r="K17" s="70" t="s">
        <v>383</v>
      </c>
      <c r="L17" s="70" t="s">
        <v>383</v>
      </c>
      <c r="M17" s="70" t="s">
        <v>383</v>
      </c>
      <c r="N17" s="70" t="s">
        <v>383</v>
      </c>
      <c r="O17" s="70" t="s">
        <v>383</v>
      </c>
      <c r="P17" s="70" t="s">
        <v>383</v>
      </c>
      <c r="Q17" s="70" t="s">
        <v>383</v>
      </c>
      <c r="R17" s="70" t="s">
        <v>383</v>
      </c>
      <c r="S17" s="70" t="s">
        <v>383</v>
      </c>
      <c r="T17" s="70" t="s">
        <v>383</v>
      </c>
      <c r="U17" s="70" t="s">
        <v>383</v>
      </c>
      <c r="V17" s="70" t="s">
        <v>383</v>
      </c>
      <c r="W17" s="70" t="s">
        <v>383</v>
      </c>
      <c r="X17" s="70" t="s">
        <v>383</v>
      </c>
      <c r="Y17" s="70" t="s">
        <v>383</v>
      </c>
      <c r="Z17" s="70" t="s">
        <v>383</v>
      </c>
      <c r="AA17" s="70" t="s">
        <v>383</v>
      </c>
      <c r="AB17" s="70" t="s">
        <v>383</v>
      </c>
      <c r="AC17" s="70" t="s">
        <v>383</v>
      </c>
      <c r="AD17" s="70" t="s">
        <v>383</v>
      </c>
      <c r="AE17" s="157" t="s">
        <v>383</v>
      </c>
    </row>
    <row r="18" spans="1:31" ht="15" customHeight="1" x14ac:dyDescent="0.25">
      <c r="A18" s="156">
        <v>17</v>
      </c>
      <c r="B18" s="17" t="s">
        <v>27</v>
      </c>
      <c r="C18" s="70">
        <v>15</v>
      </c>
      <c r="D18" s="70">
        <v>15</v>
      </c>
      <c r="E18" s="70">
        <v>17</v>
      </c>
      <c r="F18" s="70">
        <v>21</v>
      </c>
      <c r="G18" s="70">
        <v>21</v>
      </c>
      <c r="H18" s="70">
        <v>17</v>
      </c>
      <c r="I18" s="70">
        <v>13</v>
      </c>
      <c r="J18" s="70">
        <v>14</v>
      </c>
      <c r="K18" s="70">
        <v>13</v>
      </c>
      <c r="L18" s="70">
        <v>16</v>
      </c>
      <c r="M18" s="70">
        <v>16</v>
      </c>
      <c r="N18" s="70">
        <v>18</v>
      </c>
      <c r="O18" s="70">
        <v>16</v>
      </c>
      <c r="P18" s="70">
        <v>17</v>
      </c>
      <c r="Q18" s="70">
        <v>17</v>
      </c>
      <c r="R18" s="70">
        <v>19</v>
      </c>
      <c r="S18" s="70">
        <v>22</v>
      </c>
      <c r="T18" s="70">
        <v>19</v>
      </c>
      <c r="U18" s="70">
        <v>20</v>
      </c>
      <c r="V18" s="70">
        <v>20</v>
      </c>
      <c r="W18" s="70">
        <v>20</v>
      </c>
      <c r="X18" s="70">
        <v>20</v>
      </c>
      <c r="Y18" s="70">
        <v>19</v>
      </c>
      <c r="Z18" s="70">
        <v>18</v>
      </c>
      <c r="AA18" s="70">
        <v>15</v>
      </c>
      <c r="AB18" s="70">
        <v>17</v>
      </c>
      <c r="AC18" s="70">
        <v>18</v>
      </c>
      <c r="AD18" s="70">
        <v>15</v>
      </c>
      <c r="AE18" s="157">
        <v>14</v>
      </c>
    </row>
    <row r="19" spans="1:31" ht="15" customHeight="1" x14ac:dyDescent="0.25">
      <c r="A19" s="156">
        <v>18</v>
      </c>
      <c r="B19" s="17" t="s">
        <v>28</v>
      </c>
      <c r="C19" s="70">
        <v>24</v>
      </c>
      <c r="D19" s="70">
        <v>23</v>
      </c>
      <c r="E19" s="70">
        <v>19</v>
      </c>
      <c r="F19" s="70">
        <v>24</v>
      </c>
      <c r="G19" s="70">
        <v>25</v>
      </c>
      <c r="H19" s="70">
        <v>21</v>
      </c>
      <c r="I19" s="70">
        <v>19</v>
      </c>
      <c r="J19" s="70">
        <v>17</v>
      </c>
      <c r="K19" s="70">
        <v>14</v>
      </c>
      <c r="L19" s="70">
        <v>17</v>
      </c>
      <c r="M19" s="70">
        <v>20</v>
      </c>
      <c r="N19" s="70">
        <v>24</v>
      </c>
      <c r="O19" s="70">
        <v>25</v>
      </c>
      <c r="P19" s="70">
        <v>24</v>
      </c>
      <c r="Q19" s="70">
        <v>20</v>
      </c>
      <c r="R19" s="70">
        <v>22</v>
      </c>
      <c r="S19" s="70">
        <v>23</v>
      </c>
      <c r="T19" s="70">
        <v>21</v>
      </c>
      <c r="U19" s="70">
        <v>23</v>
      </c>
      <c r="V19" s="70">
        <v>21</v>
      </c>
      <c r="W19" s="70">
        <v>19</v>
      </c>
      <c r="X19" s="70">
        <v>20</v>
      </c>
      <c r="Y19" s="70">
        <v>22</v>
      </c>
      <c r="Z19" s="70">
        <v>18</v>
      </c>
      <c r="AA19" s="70">
        <v>19</v>
      </c>
      <c r="AB19" s="70">
        <v>20</v>
      </c>
      <c r="AC19" s="70">
        <v>22</v>
      </c>
      <c r="AD19" s="70">
        <v>23</v>
      </c>
      <c r="AE19" s="157">
        <v>24</v>
      </c>
    </row>
    <row r="20" spans="1:31" ht="15" customHeight="1" x14ac:dyDescent="0.25">
      <c r="A20" s="156">
        <v>19</v>
      </c>
      <c r="B20" s="17" t="s">
        <v>105</v>
      </c>
      <c r="C20" s="70">
        <v>8</v>
      </c>
      <c r="D20" s="70">
        <v>11</v>
      </c>
      <c r="E20" s="70">
        <v>11</v>
      </c>
      <c r="F20" s="70">
        <v>7</v>
      </c>
      <c r="G20" s="70">
        <v>8</v>
      </c>
      <c r="H20" s="70">
        <v>7</v>
      </c>
      <c r="I20" s="70">
        <v>8</v>
      </c>
      <c r="J20" s="70">
        <v>7</v>
      </c>
      <c r="K20" s="70">
        <v>7</v>
      </c>
      <c r="L20" s="70">
        <v>7</v>
      </c>
      <c r="M20" s="70">
        <v>7</v>
      </c>
      <c r="N20" s="70">
        <v>7</v>
      </c>
      <c r="O20" s="70">
        <v>8</v>
      </c>
      <c r="P20" s="70">
        <v>8</v>
      </c>
      <c r="Q20" s="70">
        <v>8</v>
      </c>
      <c r="R20" s="70">
        <v>9</v>
      </c>
      <c r="S20" s="70">
        <v>8</v>
      </c>
      <c r="T20" s="70">
        <v>7</v>
      </c>
      <c r="U20" s="70">
        <v>7</v>
      </c>
      <c r="V20" s="70">
        <v>7</v>
      </c>
      <c r="W20" s="70">
        <v>8</v>
      </c>
      <c r="X20" s="70">
        <v>6</v>
      </c>
      <c r="Y20" s="70">
        <v>7</v>
      </c>
      <c r="Z20" s="70">
        <v>9</v>
      </c>
      <c r="AA20" s="70">
        <v>10</v>
      </c>
      <c r="AB20" s="70">
        <v>10</v>
      </c>
      <c r="AC20" s="70">
        <v>8</v>
      </c>
      <c r="AD20" s="70">
        <v>9</v>
      </c>
      <c r="AE20" s="157">
        <v>8</v>
      </c>
    </row>
    <row r="21" spans="1:31" ht="15" customHeight="1" x14ac:dyDescent="0.25">
      <c r="A21" s="156">
        <v>20</v>
      </c>
      <c r="B21" s="17" t="s">
        <v>30</v>
      </c>
      <c r="C21" s="70">
        <v>29</v>
      </c>
      <c r="D21" s="70">
        <v>27</v>
      </c>
      <c r="E21" s="70">
        <v>33</v>
      </c>
      <c r="F21" s="70">
        <v>27</v>
      </c>
      <c r="G21" s="70">
        <v>26</v>
      </c>
      <c r="H21" s="70">
        <v>24</v>
      </c>
      <c r="I21" s="70">
        <v>21</v>
      </c>
      <c r="J21" s="70">
        <v>24</v>
      </c>
      <c r="K21" s="70">
        <v>26</v>
      </c>
      <c r="L21" s="70">
        <v>26</v>
      </c>
      <c r="M21" s="70">
        <v>33</v>
      </c>
      <c r="N21" s="70">
        <v>39</v>
      </c>
      <c r="O21" s="70">
        <v>43</v>
      </c>
      <c r="P21" s="70">
        <v>39</v>
      </c>
      <c r="Q21" s="70">
        <v>39</v>
      </c>
      <c r="R21" s="70">
        <v>41</v>
      </c>
      <c r="S21" s="70">
        <v>40</v>
      </c>
      <c r="T21" s="70">
        <v>38</v>
      </c>
      <c r="U21" s="70">
        <v>37</v>
      </c>
      <c r="V21" s="70">
        <v>30</v>
      </c>
      <c r="W21" s="70">
        <v>32</v>
      </c>
      <c r="X21" s="70">
        <v>32</v>
      </c>
      <c r="Y21" s="70">
        <v>26</v>
      </c>
      <c r="Z21" s="70">
        <v>25</v>
      </c>
      <c r="AA21" s="70">
        <v>25</v>
      </c>
      <c r="AB21" s="70">
        <v>27</v>
      </c>
      <c r="AC21" s="70">
        <v>25</v>
      </c>
      <c r="AD21" s="70">
        <v>27</v>
      </c>
      <c r="AE21" s="157">
        <v>24</v>
      </c>
    </row>
    <row r="22" spans="1:31" ht="15" customHeight="1" x14ac:dyDescent="0.25">
      <c r="A22" s="156">
        <v>21</v>
      </c>
      <c r="B22" s="17" t="s">
        <v>31</v>
      </c>
      <c r="C22" s="70">
        <v>10</v>
      </c>
      <c r="D22" s="70">
        <v>8</v>
      </c>
      <c r="E22" s="70">
        <v>12</v>
      </c>
      <c r="F22" s="70">
        <v>13</v>
      </c>
      <c r="G22" s="70">
        <v>15</v>
      </c>
      <c r="H22" s="70">
        <v>14</v>
      </c>
      <c r="I22" s="70">
        <v>13</v>
      </c>
      <c r="J22" s="70">
        <v>13</v>
      </c>
      <c r="K22" s="70">
        <v>15</v>
      </c>
      <c r="L22" s="70">
        <v>12</v>
      </c>
      <c r="M22" s="70">
        <v>12</v>
      </c>
      <c r="N22" s="70">
        <v>13</v>
      </c>
      <c r="O22" s="70">
        <v>13</v>
      </c>
      <c r="P22" s="70">
        <v>12</v>
      </c>
      <c r="Q22" s="70">
        <v>11</v>
      </c>
      <c r="R22" s="70">
        <v>10</v>
      </c>
      <c r="S22" s="70">
        <v>8</v>
      </c>
      <c r="T22" s="70">
        <v>9</v>
      </c>
      <c r="U22" s="70">
        <v>9</v>
      </c>
      <c r="V22" s="70">
        <v>8</v>
      </c>
      <c r="W22" s="70">
        <v>8</v>
      </c>
      <c r="X22" s="70">
        <v>10</v>
      </c>
      <c r="Y22" s="70">
        <v>11</v>
      </c>
      <c r="Z22" s="70">
        <v>10</v>
      </c>
      <c r="AA22" s="70">
        <v>10</v>
      </c>
      <c r="AB22" s="70">
        <v>10</v>
      </c>
      <c r="AC22" s="70">
        <v>11</v>
      </c>
      <c r="AD22" s="70">
        <v>11</v>
      </c>
      <c r="AE22" s="157">
        <v>11</v>
      </c>
    </row>
    <row r="23" spans="1:31" ht="15" customHeight="1" x14ac:dyDescent="0.25">
      <c r="A23" s="156">
        <v>22</v>
      </c>
      <c r="B23" s="17" t="s">
        <v>98</v>
      </c>
      <c r="C23" s="70">
        <v>34</v>
      </c>
      <c r="D23" s="70">
        <v>39</v>
      </c>
      <c r="E23" s="70">
        <v>48</v>
      </c>
      <c r="F23" s="70">
        <v>45</v>
      </c>
      <c r="G23" s="70">
        <v>47</v>
      </c>
      <c r="H23" s="70">
        <v>41</v>
      </c>
      <c r="I23" s="70">
        <v>37</v>
      </c>
      <c r="J23" s="70">
        <v>39</v>
      </c>
      <c r="K23" s="70">
        <v>43</v>
      </c>
      <c r="L23" s="70">
        <v>48</v>
      </c>
      <c r="M23" s="70">
        <v>47</v>
      </c>
      <c r="N23" s="70">
        <v>60</v>
      </c>
      <c r="O23" s="70">
        <v>57</v>
      </c>
      <c r="P23" s="70">
        <v>59</v>
      </c>
      <c r="Q23" s="70">
        <v>59</v>
      </c>
      <c r="R23" s="70">
        <v>63</v>
      </c>
      <c r="S23" s="70">
        <v>65</v>
      </c>
      <c r="T23" s="70">
        <v>60</v>
      </c>
      <c r="U23" s="70">
        <v>60</v>
      </c>
      <c r="V23" s="70">
        <v>66</v>
      </c>
      <c r="W23" s="70">
        <v>61</v>
      </c>
      <c r="X23" s="70">
        <v>62</v>
      </c>
      <c r="Y23" s="70">
        <v>58</v>
      </c>
      <c r="Z23" s="70">
        <v>52</v>
      </c>
      <c r="AA23" s="70">
        <v>43</v>
      </c>
      <c r="AB23" s="70">
        <v>39</v>
      </c>
      <c r="AC23" s="70">
        <v>42</v>
      </c>
      <c r="AD23" s="70">
        <v>46</v>
      </c>
      <c r="AE23" s="157">
        <v>41</v>
      </c>
    </row>
    <row r="24" spans="1:31" ht="15" customHeight="1" x14ac:dyDescent="0.25">
      <c r="A24" s="156">
        <v>23</v>
      </c>
      <c r="B24" s="17" t="s">
        <v>33</v>
      </c>
      <c r="C24" s="70">
        <v>7</v>
      </c>
      <c r="D24" s="70">
        <v>5</v>
      </c>
      <c r="E24" s="70">
        <v>5</v>
      </c>
      <c r="F24" s="70">
        <v>7</v>
      </c>
      <c r="G24" s="70">
        <v>6</v>
      </c>
      <c r="H24" s="70">
        <v>5</v>
      </c>
      <c r="I24" s="70">
        <v>5</v>
      </c>
      <c r="J24" s="70">
        <v>5</v>
      </c>
      <c r="K24" s="70">
        <v>4</v>
      </c>
      <c r="L24" s="70" t="s">
        <v>383</v>
      </c>
      <c r="M24" s="70">
        <v>4</v>
      </c>
      <c r="N24" s="70">
        <v>4</v>
      </c>
      <c r="O24" s="70">
        <v>5</v>
      </c>
      <c r="P24" s="70">
        <v>4</v>
      </c>
      <c r="Q24" s="70">
        <v>4</v>
      </c>
      <c r="R24" s="70" t="s">
        <v>383</v>
      </c>
      <c r="S24" s="70" t="s">
        <v>383</v>
      </c>
      <c r="T24" s="70" t="s">
        <v>383</v>
      </c>
      <c r="U24" s="70" t="s">
        <v>383</v>
      </c>
      <c r="V24" s="70">
        <v>4</v>
      </c>
      <c r="W24" s="70">
        <v>4</v>
      </c>
      <c r="X24" s="70" t="s">
        <v>383</v>
      </c>
      <c r="Y24" s="70" t="s">
        <v>383</v>
      </c>
      <c r="Z24" s="70" t="s">
        <v>383</v>
      </c>
      <c r="AA24" s="70" t="s">
        <v>383</v>
      </c>
      <c r="AB24" s="70" t="s">
        <v>383</v>
      </c>
      <c r="AC24" s="70" t="s">
        <v>383</v>
      </c>
      <c r="AD24" s="70" t="s">
        <v>383</v>
      </c>
      <c r="AE24" s="157" t="s">
        <v>383</v>
      </c>
    </row>
    <row r="25" spans="1:31" ht="15" customHeight="1" x14ac:dyDescent="0.25">
      <c r="A25" s="156">
        <v>24</v>
      </c>
      <c r="B25" s="17" t="s">
        <v>34</v>
      </c>
      <c r="C25" s="70">
        <v>80</v>
      </c>
      <c r="D25" s="70">
        <v>76</v>
      </c>
      <c r="E25" s="70">
        <v>77</v>
      </c>
      <c r="F25" s="70">
        <v>95</v>
      </c>
      <c r="G25" s="70">
        <v>96</v>
      </c>
      <c r="H25" s="70">
        <v>92</v>
      </c>
      <c r="I25" s="70">
        <v>85</v>
      </c>
      <c r="J25" s="70">
        <v>76</v>
      </c>
      <c r="K25" s="70">
        <v>80</v>
      </c>
      <c r="L25" s="70">
        <v>83</v>
      </c>
      <c r="M25" s="70">
        <v>83</v>
      </c>
      <c r="N25" s="70">
        <v>82</v>
      </c>
      <c r="O25" s="70">
        <v>80</v>
      </c>
      <c r="P25" s="70">
        <v>84</v>
      </c>
      <c r="Q25" s="70">
        <v>90</v>
      </c>
      <c r="R25" s="70">
        <v>91</v>
      </c>
      <c r="S25" s="70">
        <v>87</v>
      </c>
      <c r="T25" s="70">
        <v>85</v>
      </c>
      <c r="U25" s="70">
        <v>84</v>
      </c>
      <c r="V25" s="70">
        <v>84</v>
      </c>
      <c r="W25" s="70">
        <v>87</v>
      </c>
      <c r="X25" s="70">
        <v>84</v>
      </c>
      <c r="Y25" s="70">
        <v>83</v>
      </c>
      <c r="Z25" s="70">
        <v>84</v>
      </c>
      <c r="AA25" s="70">
        <v>82</v>
      </c>
      <c r="AB25" s="70">
        <v>80</v>
      </c>
      <c r="AC25" s="70">
        <v>82</v>
      </c>
      <c r="AD25" s="70">
        <v>82</v>
      </c>
      <c r="AE25" s="157">
        <v>79</v>
      </c>
    </row>
    <row r="26" spans="1:31" ht="15" customHeight="1" x14ac:dyDescent="0.25">
      <c r="A26" s="156">
        <v>25</v>
      </c>
      <c r="B26" s="17" t="s">
        <v>35</v>
      </c>
      <c r="C26" s="70">
        <v>19</v>
      </c>
      <c r="D26" s="70">
        <v>18</v>
      </c>
      <c r="E26" s="70">
        <v>18</v>
      </c>
      <c r="F26" s="70">
        <v>21</v>
      </c>
      <c r="G26" s="70">
        <v>24</v>
      </c>
      <c r="H26" s="70">
        <v>23</v>
      </c>
      <c r="I26" s="70">
        <v>25</v>
      </c>
      <c r="J26" s="70">
        <v>25</v>
      </c>
      <c r="K26" s="70">
        <v>28</v>
      </c>
      <c r="L26" s="70">
        <v>28</v>
      </c>
      <c r="M26" s="70">
        <v>29</v>
      </c>
      <c r="N26" s="70">
        <v>27</v>
      </c>
      <c r="O26" s="70">
        <v>26</v>
      </c>
      <c r="P26" s="70">
        <v>27</v>
      </c>
      <c r="Q26" s="70">
        <v>29</v>
      </c>
      <c r="R26" s="70">
        <v>28</v>
      </c>
      <c r="S26" s="70">
        <v>29</v>
      </c>
      <c r="T26" s="70">
        <v>30</v>
      </c>
      <c r="U26" s="70">
        <v>32</v>
      </c>
      <c r="V26" s="70">
        <v>32</v>
      </c>
      <c r="W26" s="70">
        <v>33</v>
      </c>
      <c r="X26" s="70">
        <v>32</v>
      </c>
      <c r="Y26" s="70">
        <v>32</v>
      </c>
      <c r="Z26" s="70">
        <v>31</v>
      </c>
      <c r="AA26" s="70">
        <v>31</v>
      </c>
      <c r="AB26" s="70">
        <v>32</v>
      </c>
      <c r="AC26" s="70">
        <v>32</v>
      </c>
      <c r="AD26" s="70">
        <v>33</v>
      </c>
      <c r="AE26" s="157">
        <v>32</v>
      </c>
    </row>
    <row r="27" spans="1:31" ht="15" customHeight="1" x14ac:dyDescent="0.25">
      <c r="A27" s="156">
        <v>26</v>
      </c>
      <c r="B27" s="17" t="s">
        <v>36</v>
      </c>
      <c r="C27" s="70">
        <v>41</v>
      </c>
      <c r="D27" s="70">
        <v>40</v>
      </c>
      <c r="E27" s="70">
        <v>41</v>
      </c>
      <c r="F27" s="70">
        <v>39</v>
      </c>
      <c r="G27" s="70">
        <v>36</v>
      </c>
      <c r="H27" s="70">
        <v>28</v>
      </c>
      <c r="I27" s="70">
        <v>26</v>
      </c>
      <c r="J27" s="70">
        <v>28</v>
      </c>
      <c r="K27" s="70">
        <v>28</v>
      </c>
      <c r="L27" s="70">
        <v>29</v>
      </c>
      <c r="M27" s="70">
        <v>33</v>
      </c>
      <c r="N27" s="70">
        <v>44</v>
      </c>
      <c r="O27" s="70">
        <v>52</v>
      </c>
      <c r="P27" s="70">
        <v>48</v>
      </c>
      <c r="Q27" s="70">
        <v>47</v>
      </c>
      <c r="R27" s="70">
        <v>51</v>
      </c>
      <c r="S27" s="70">
        <v>47</v>
      </c>
      <c r="T27" s="70">
        <v>50</v>
      </c>
      <c r="U27" s="70">
        <v>54</v>
      </c>
      <c r="V27" s="70">
        <v>51</v>
      </c>
      <c r="W27" s="70">
        <v>50</v>
      </c>
      <c r="X27" s="70">
        <v>47</v>
      </c>
      <c r="Y27" s="70">
        <v>39</v>
      </c>
      <c r="Z27" s="70">
        <v>36</v>
      </c>
      <c r="AA27" s="70">
        <v>33</v>
      </c>
      <c r="AB27" s="70">
        <v>38</v>
      </c>
      <c r="AC27" s="70">
        <v>36</v>
      </c>
      <c r="AD27" s="70">
        <v>33</v>
      </c>
      <c r="AE27" s="157">
        <v>34</v>
      </c>
    </row>
    <row r="28" spans="1:31" ht="15" customHeight="1" x14ac:dyDescent="0.25">
      <c r="A28" s="156">
        <v>27</v>
      </c>
      <c r="B28" s="17" t="s">
        <v>37</v>
      </c>
      <c r="C28" s="70">
        <v>8</v>
      </c>
      <c r="D28" s="70">
        <v>10</v>
      </c>
      <c r="E28" s="70">
        <v>11</v>
      </c>
      <c r="F28" s="70">
        <v>10</v>
      </c>
      <c r="G28" s="70">
        <v>10</v>
      </c>
      <c r="H28" s="70">
        <v>11</v>
      </c>
      <c r="I28" s="70">
        <v>13</v>
      </c>
      <c r="J28" s="70">
        <v>13</v>
      </c>
      <c r="K28" s="70">
        <v>17</v>
      </c>
      <c r="L28" s="70">
        <v>20</v>
      </c>
      <c r="M28" s="70">
        <v>18</v>
      </c>
      <c r="N28" s="70">
        <v>24</v>
      </c>
      <c r="O28" s="70">
        <v>22</v>
      </c>
      <c r="P28" s="70">
        <v>21</v>
      </c>
      <c r="Q28" s="70">
        <v>23</v>
      </c>
      <c r="R28" s="70">
        <v>23</v>
      </c>
      <c r="S28" s="70">
        <v>21</v>
      </c>
      <c r="T28" s="70">
        <v>16</v>
      </c>
      <c r="U28" s="70">
        <v>15</v>
      </c>
      <c r="V28" s="70">
        <v>12</v>
      </c>
      <c r="W28" s="70">
        <v>14</v>
      </c>
      <c r="X28" s="70">
        <v>14</v>
      </c>
      <c r="Y28" s="70">
        <v>14</v>
      </c>
      <c r="Z28" s="70">
        <v>11</v>
      </c>
      <c r="AA28" s="70">
        <v>12</v>
      </c>
      <c r="AB28" s="70">
        <v>11</v>
      </c>
      <c r="AC28" s="70">
        <v>12</v>
      </c>
      <c r="AD28" s="70">
        <v>12</v>
      </c>
      <c r="AE28" s="157">
        <v>10</v>
      </c>
    </row>
    <row r="29" spans="1:31" ht="15" customHeight="1" x14ac:dyDescent="0.25">
      <c r="A29" s="156">
        <v>28</v>
      </c>
      <c r="B29" s="17" t="s">
        <v>38</v>
      </c>
      <c r="C29" s="70">
        <v>78</v>
      </c>
      <c r="D29" s="70">
        <v>77</v>
      </c>
      <c r="E29" s="70">
        <v>76</v>
      </c>
      <c r="F29" s="70">
        <v>73</v>
      </c>
      <c r="G29" s="70">
        <v>75</v>
      </c>
      <c r="H29" s="70">
        <v>69</v>
      </c>
      <c r="I29" s="70">
        <v>66</v>
      </c>
      <c r="J29" s="70">
        <v>72</v>
      </c>
      <c r="K29" s="70">
        <v>76</v>
      </c>
      <c r="L29" s="70">
        <v>89</v>
      </c>
      <c r="M29" s="70">
        <v>87</v>
      </c>
      <c r="N29" s="70">
        <v>113</v>
      </c>
      <c r="O29" s="70">
        <v>121</v>
      </c>
      <c r="P29" s="70">
        <v>121</v>
      </c>
      <c r="Q29" s="70">
        <v>128</v>
      </c>
      <c r="R29" s="70">
        <v>130</v>
      </c>
      <c r="S29" s="70">
        <v>123</v>
      </c>
      <c r="T29" s="70">
        <v>129</v>
      </c>
      <c r="U29" s="70">
        <v>119</v>
      </c>
      <c r="V29" s="70">
        <v>115</v>
      </c>
      <c r="W29" s="70">
        <v>113</v>
      </c>
      <c r="X29" s="70">
        <v>117</v>
      </c>
      <c r="Y29" s="70">
        <v>114</v>
      </c>
      <c r="Z29" s="70">
        <v>111</v>
      </c>
      <c r="AA29" s="70">
        <v>113</v>
      </c>
      <c r="AB29" s="70">
        <v>111</v>
      </c>
      <c r="AC29" s="70">
        <v>102</v>
      </c>
      <c r="AD29" s="70">
        <v>91</v>
      </c>
      <c r="AE29" s="157">
        <v>90</v>
      </c>
    </row>
    <row r="30" spans="1:31" ht="15" customHeight="1" x14ac:dyDescent="0.25">
      <c r="A30" s="156">
        <v>29</v>
      </c>
      <c r="B30" s="17" t="s">
        <v>39</v>
      </c>
      <c r="C30" s="70">
        <v>23</v>
      </c>
      <c r="D30" s="70">
        <v>24</v>
      </c>
      <c r="E30" s="70">
        <v>23</v>
      </c>
      <c r="F30" s="70">
        <v>27</v>
      </c>
      <c r="G30" s="70">
        <v>20</v>
      </c>
      <c r="H30" s="70">
        <v>18</v>
      </c>
      <c r="I30" s="70">
        <v>20</v>
      </c>
      <c r="J30" s="70">
        <v>19</v>
      </c>
      <c r="K30" s="70">
        <v>23</v>
      </c>
      <c r="L30" s="70">
        <v>22</v>
      </c>
      <c r="M30" s="70">
        <v>20</v>
      </c>
      <c r="N30" s="70">
        <v>22</v>
      </c>
      <c r="O30" s="70">
        <v>25</v>
      </c>
      <c r="P30" s="70">
        <v>27</v>
      </c>
      <c r="Q30" s="70">
        <v>26</v>
      </c>
      <c r="R30" s="70">
        <v>30</v>
      </c>
      <c r="S30" s="70">
        <v>27</v>
      </c>
      <c r="T30" s="70">
        <v>25</v>
      </c>
      <c r="U30" s="70">
        <v>26</v>
      </c>
      <c r="V30" s="70">
        <v>25</v>
      </c>
      <c r="W30" s="70">
        <v>27</v>
      </c>
      <c r="X30" s="70">
        <v>29</v>
      </c>
      <c r="Y30" s="70">
        <v>29</v>
      </c>
      <c r="Z30" s="70">
        <v>29</v>
      </c>
      <c r="AA30" s="70">
        <v>29</v>
      </c>
      <c r="AB30" s="70">
        <v>29</v>
      </c>
      <c r="AC30" s="70">
        <v>30</v>
      </c>
      <c r="AD30" s="70">
        <v>30</v>
      </c>
      <c r="AE30" s="157">
        <v>28</v>
      </c>
    </row>
    <row r="31" spans="1:31" ht="15" customHeight="1" x14ac:dyDescent="0.25">
      <c r="A31" s="156">
        <v>30</v>
      </c>
      <c r="B31" s="17" t="s">
        <v>40</v>
      </c>
      <c r="C31" s="70" t="s">
        <v>383</v>
      </c>
      <c r="D31" s="70" t="s">
        <v>383</v>
      </c>
      <c r="E31" s="70" t="s">
        <v>383</v>
      </c>
      <c r="F31" s="70" t="s">
        <v>383</v>
      </c>
      <c r="G31" s="70" t="s">
        <v>383</v>
      </c>
      <c r="H31" s="70" t="s">
        <v>383</v>
      </c>
      <c r="I31" s="70" t="s">
        <v>383</v>
      </c>
      <c r="J31" s="70" t="s">
        <v>383</v>
      </c>
      <c r="K31" s="70" t="s">
        <v>383</v>
      </c>
      <c r="L31" s="70" t="s">
        <v>383</v>
      </c>
      <c r="M31" s="70" t="s">
        <v>383</v>
      </c>
      <c r="N31" s="70" t="s">
        <v>383</v>
      </c>
      <c r="O31" s="70" t="s">
        <v>383</v>
      </c>
      <c r="P31" s="70" t="s">
        <v>383</v>
      </c>
      <c r="Q31" s="70" t="s">
        <v>383</v>
      </c>
      <c r="R31" s="70" t="s">
        <v>383</v>
      </c>
      <c r="S31" s="70" t="s">
        <v>383</v>
      </c>
      <c r="T31" s="70" t="s">
        <v>383</v>
      </c>
      <c r="U31" s="70" t="s">
        <v>383</v>
      </c>
      <c r="V31" s="70" t="s">
        <v>383</v>
      </c>
      <c r="W31" s="70" t="s">
        <v>383</v>
      </c>
      <c r="X31" s="70" t="s">
        <v>383</v>
      </c>
      <c r="Y31" s="70" t="s">
        <v>383</v>
      </c>
      <c r="Z31" s="70" t="s">
        <v>383</v>
      </c>
      <c r="AA31" s="70" t="s">
        <v>383</v>
      </c>
      <c r="AB31" s="70" t="s">
        <v>383</v>
      </c>
      <c r="AC31" s="70" t="s">
        <v>383</v>
      </c>
      <c r="AD31" s="70" t="s">
        <v>383</v>
      </c>
      <c r="AE31" s="157" t="s">
        <v>383</v>
      </c>
    </row>
    <row r="32" spans="1:31" ht="15" customHeight="1" x14ac:dyDescent="0.25">
      <c r="A32" s="156">
        <v>31</v>
      </c>
      <c r="B32" s="17" t="s">
        <v>41</v>
      </c>
      <c r="C32" s="70">
        <v>11</v>
      </c>
      <c r="D32" s="70">
        <v>10</v>
      </c>
      <c r="E32" s="70">
        <v>11</v>
      </c>
      <c r="F32" s="70">
        <v>10</v>
      </c>
      <c r="G32" s="70">
        <v>8</v>
      </c>
      <c r="H32" s="70">
        <v>8</v>
      </c>
      <c r="I32" s="70">
        <v>7</v>
      </c>
      <c r="J32" s="70">
        <v>8</v>
      </c>
      <c r="K32" s="70">
        <v>9</v>
      </c>
      <c r="L32" s="70">
        <v>8</v>
      </c>
      <c r="M32" s="70">
        <v>8</v>
      </c>
      <c r="N32" s="70">
        <v>7</v>
      </c>
      <c r="O32" s="70">
        <v>7</v>
      </c>
      <c r="P32" s="70">
        <v>8</v>
      </c>
      <c r="Q32" s="70">
        <v>7</v>
      </c>
      <c r="R32" s="70">
        <v>10</v>
      </c>
      <c r="S32" s="70">
        <v>11</v>
      </c>
      <c r="T32" s="70">
        <v>10</v>
      </c>
      <c r="U32" s="70">
        <v>9</v>
      </c>
      <c r="V32" s="70">
        <v>10</v>
      </c>
      <c r="W32" s="70">
        <v>11</v>
      </c>
      <c r="X32" s="70">
        <v>11</v>
      </c>
      <c r="Y32" s="70">
        <v>11</v>
      </c>
      <c r="Z32" s="70">
        <v>11</v>
      </c>
      <c r="AA32" s="70">
        <v>10</v>
      </c>
      <c r="AB32" s="70">
        <v>10</v>
      </c>
      <c r="AC32" s="70">
        <v>12</v>
      </c>
      <c r="AD32" s="70">
        <v>11</v>
      </c>
      <c r="AE32" s="157">
        <v>12</v>
      </c>
    </row>
    <row r="33" spans="1:32" ht="15" customHeight="1" x14ac:dyDescent="0.25">
      <c r="A33" s="156">
        <v>32</v>
      </c>
      <c r="B33" s="17" t="s">
        <v>42</v>
      </c>
      <c r="C33" s="70">
        <v>8</v>
      </c>
      <c r="D33" s="70">
        <v>5</v>
      </c>
      <c r="E33" s="70">
        <v>5</v>
      </c>
      <c r="F33" s="70">
        <v>5</v>
      </c>
      <c r="G33" s="70">
        <v>7</v>
      </c>
      <c r="H33" s="70">
        <v>4</v>
      </c>
      <c r="I33" s="70">
        <v>4</v>
      </c>
      <c r="J33" s="70" t="s">
        <v>383</v>
      </c>
      <c r="K33" s="70" t="s">
        <v>383</v>
      </c>
      <c r="L33" s="70" t="s">
        <v>383</v>
      </c>
      <c r="M33" s="70" t="s">
        <v>383</v>
      </c>
      <c r="N33" s="70" t="s">
        <v>383</v>
      </c>
      <c r="O33" s="70" t="s">
        <v>383</v>
      </c>
      <c r="P33" s="70" t="s">
        <v>383</v>
      </c>
      <c r="Q33" s="70" t="s">
        <v>383</v>
      </c>
      <c r="R33" s="70">
        <v>4</v>
      </c>
      <c r="S33" s="70" t="s">
        <v>383</v>
      </c>
      <c r="T33" s="70" t="s">
        <v>383</v>
      </c>
      <c r="U33" s="70" t="s">
        <v>383</v>
      </c>
      <c r="V33" s="70" t="s">
        <v>383</v>
      </c>
      <c r="W33" s="70" t="s">
        <v>383</v>
      </c>
      <c r="X33" s="70" t="s">
        <v>383</v>
      </c>
      <c r="Y33" s="70" t="s">
        <v>383</v>
      </c>
      <c r="Z33" s="70" t="s">
        <v>383</v>
      </c>
      <c r="AA33" s="70" t="s">
        <v>383</v>
      </c>
      <c r="AB33" s="70" t="s">
        <v>383</v>
      </c>
      <c r="AC33" s="70" t="s">
        <v>383</v>
      </c>
      <c r="AD33" s="70" t="s">
        <v>383</v>
      </c>
      <c r="AE33" s="157" t="s">
        <v>383</v>
      </c>
    </row>
    <row r="34" spans="1:32" ht="15" customHeight="1" x14ac:dyDescent="0.25">
      <c r="A34" s="156">
        <v>33</v>
      </c>
      <c r="B34" s="17" t="s">
        <v>43</v>
      </c>
      <c r="C34" s="70">
        <v>4</v>
      </c>
      <c r="D34" s="70">
        <v>5</v>
      </c>
      <c r="E34" s="70">
        <v>5</v>
      </c>
      <c r="F34" s="70">
        <v>4</v>
      </c>
      <c r="G34" s="70" t="s">
        <v>383</v>
      </c>
      <c r="H34" s="70">
        <v>4</v>
      </c>
      <c r="I34" s="70">
        <v>4</v>
      </c>
      <c r="J34" s="70">
        <v>5</v>
      </c>
      <c r="K34" s="70">
        <v>5</v>
      </c>
      <c r="L34" s="70">
        <v>5</v>
      </c>
      <c r="M34" s="70">
        <v>6</v>
      </c>
      <c r="N34" s="70">
        <v>6</v>
      </c>
      <c r="O34" s="70">
        <v>6</v>
      </c>
      <c r="P34" s="70">
        <v>4</v>
      </c>
      <c r="Q34" s="70">
        <v>5</v>
      </c>
      <c r="R34" s="70">
        <v>6</v>
      </c>
      <c r="S34" s="70">
        <v>6</v>
      </c>
      <c r="T34" s="70">
        <v>7</v>
      </c>
      <c r="U34" s="70">
        <v>7</v>
      </c>
      <c r="V34" s="70">
        <v>7</v>
      </c>
      <c r="W34" s="70">
        <v>6</v>
      </c>
      <c r="X34" s="70">
        <v>6</v>
      </c>
      <c r="Y34" s="70">
        <v>6</v>
      </c>
      <c r="Z34" s="70">
        <v>5</v>
      </c>
      <c r="AA34" s="70">
        <v>4</v>
      </c>
      <c r="AB34" s="70">
        <v>5</v>
      </c>
      <c r="AC34" s="70">
        <v>5</v>
      </c>
      <c r="AD34" s="70">
        <v>5</v>
      </c>
      <c r="AE34" s="157">
        <v>5</v>
      </c>
    </row>
    <row r="35" spans="1:32" ht="15" customHeight="1" x14ac:dyDescent="0.25">
      <c r="A35" s="156">
        <v>34</v>
      </c>
      <c r="B35" s="17" t="s">
        <v>44</v>
      </c>
      <c r="C35" s="70">
        <v>10</v>
      </c>
      <c r="D35" s="70">
        <v>9</v>
      </c>
      <c r="E35" s="70">
        <v>11</v>
      </c>
      <c r="F35" s="70">
        <v>13</v>
      </c>
      <c r="G35" s="70">
        <v>8</v>
      </c>
      <c r="H35" s="70">
        <v>7</v>
      </c>
      <c r="I35" s="70">
        <v>7</v>
      </c>
      <c r="J35" s="70">
        <v>9</v>
      </c>
      <c r="K35" s="70">
        <v>9</v>
      </c>
      <c r="L35" s="70">
        <v>12</v>
      </c>
      <c r="M35" s="70">
        <v>11</v>
      </c>
      <c r="N35" s="70">
        <v>11</v>
      </c>
      <c r="O35" s="70">
        <v>10</v>
      </c>
      <c r="P35" s="70">
        <v>11</v>
      </c>
      <c r="Q35" s="70">
        <v>12</v>
      </c>
      <c r="R35" s="70">
        <v>13</v>
      </c>
      <c r="S35" s="70">
        <v>13</v>
      </c>
      <c r="T35" s="70">
        <v>11</v>
      </c>
      <c r="U35" s="70">
        <v>11</v>
      </c>
      <c r="V35" s="70">
        <v>13</v>
      </c>
      <c r="W35" s="70">
        <v>15</v>
      </c>
      <c r="X35" s="70">
        <v>15</v>
      </c>
      <c r="Y35" s="70">
        <v>14</v>
      </c>
      <c r="Z35" s="70">
        <v>13</v>
      </c>
      <c r="AA35" s="70">
        <v>13</v>
      </c>
      <c r="AB35" s="70">
        <v>13</v>
      </c>
      <c r="AC35" s="70">
        <v>14</v>
      </c>
      <c r="AD35" s="70">
        <v>14</v>
      </c>
      <c r="AE35" s="157">
        <v>15</v>
      </c>
    </row>
    <row r="36" spans="1:32" ht="15" customHeight="1" x14ac:dyDescent="0.25">
      <c r="A36" s="156">
        <v>35</v>
      </c>
      <c r="B36" s="17" t="s">
        <v>45</v>
      </c>
      <c r="C36" s="70" t="s">
        <v>383</v>
      </c>
      <c r="D36" s="70" t="s">
        <v>383</v>
      </c>
      <c r="E36" s="70" t="s">
        <v>383</v>
      </c>
      <c r="F36" s="70" t="s">
        <v>383</v>
      </c>
      <c r="G36" s="70" t="s">
        <v>383</v>
      </c>
      <c r="H36" s="70" t="s">
        <v>383</v>
      </c>
      <c r="I36" s="70" t="s">
        <v>383</v>
      </c>
      <c r="J36" s="70" t="s">
        <v>383</v>
      </c>
      <c r="K36" s="70" t="s">
        <v>383</v>
      </c>
      <c r="L36" s="70" t="s">
        <v>383</v>
      </c>
      <c r="M36" s="70" t="s">
        <v>383</v>
      </c>
      <c r="N36" s="70" t="s">
        <v>383</v>
      </c>
      <c r="O36" s="70" t="s">
        <v>383</v>
      </c>
      <c r="P36" s="70" t="s">
        <v>383</v>
      </c>
      <c r="Q36" s="70" t="s">
        <v>383</v>
      </c>
      <c r="R36" s="70" t="s">
        <v>383</v>
      </c>
      <c r="S36" s="70" t="s">
        <v>383</v>
      </c>
      <c r="T36" s="70" t="s">
        <v>383</v>
      </c>
      <c r="U36" s="70" t="s">
        <v>383</v>
      </c>
      <c r="V36" s="70" t="s">
        <v>383</v>
      </c>
      <c r="W36" s="70" t="s">
        <v>383</v>
      </c>
      <c r="X36" s="70" t="s">
        <v>383</v>
      </c>
      <c r="Y36" s="70" t="s">
        <v>383</v>
      </c>
      <c r="Z36" s="70" t="s">
        <v>383</v>
      </c>
      <c r="AA36" s="70" t="s">
        <v>383</v>
      </c>
      <c r="AB36" s="70" t="s">
        <v>383</v>
      </c>
      <c r="AC36" s="70" t="s">
        <v>383</v>
      </c>
      <c r="AD36" s="70" t="s">
        <v>383</v>
      </c>
      <c r="AE36" s="157" t="s">
        <v>383</v>
      </c>
    </row>
    <row r="37" spans="1:32" ht="15" customHeight="1" x14ac:dyDescent="0.25">
      <c r="A37" s="156">
        <v>36</v>
      </c>
      <c r="B37" s="17" t="s">
        <v>46</v>
      </c>
      <c r="C37" s="70">
        <v>34</v>
      </c>
      <c r="D37" s="70">
        <v>36</v>
      </c>
      <c r="E37" s="70">
        <v>36</v>
      </c>
      <c r="F37" s="70">
        <v>37</v>
      </c>
      <c r="G37" s="70">
        <v>34</v>
      </c>
      <c r="H37" s="70">
        <v>28</v>
      </c>
      <c r="I37" s="70">
        <v>21</v>
      </c>
      <c r="J37" s="70">
        <v>21</v>
      </c>
      <c r="K37" s="70">
        <v>25</v>
      </c>
      <c r="L37" s="70">
        <v>26</v>
      </c>
      <c r="M37" s="70">
        <v>30</v>
      </c>
      <c r="N37" s="70">
        <v>41</v>
      </c>
      <c r="O37" s="70">
        <v>48</v>
      </c>
      <c r="P37" s="70">
        <v>49</v>
      </c>
      <c r="Q37" s="70">
        <v>46</v>
      </c>
      <c r="R37" s="70">
        <v>52</v>
      </c>
      <c r="S37" s="70">
        <v>53</v>
      </c>
      <c r="T37" s="70">
        <v>53</v>
      </c>
      <c r="U37" s="70">
        <v>47</v>
      </c>
      <c r="V37" s="70">
        <v>46</v>
      </c>
      <c r="W37" s="70">
        <v>49</v>
      </c>
      <c r="X37" s="70">
        <v>50</v>
      </c>
      <c r="Y37" s="70">
        <v>48</v>
      </c>
      <c r="Z37" s="70">
        <v>48</v>
      </c>
      <c r="AA37" s="70">
        <v>44</v>
      </c>
      <c r="AB37" s="70">
        <v>43</v>
      </c>
      <c r="AC37" s="70">
        <v>43</v>
      </c>
      <c r="AD37" s="70">
        <v>49</v>
      </c>
      <c r="AE37" s="157">
        <v>51</v>
      </c>
    </row>
    <row r="38" spans="1:32" ht="15" customHeight="1" thickBot="1" x14ac:dyDescent="0.3">
      <c r="A38" s="152">
        <v>37</v>
      </c>
      <c r="B38" s="15" t="s">
        <v>47</v>
      </c>
      <c r="C38" s="68" t="s">
        <v>383</v>
      </c>
      <c r="D38" s="68" t="s">
        <v>383</v>
      </c>
      <c r="E38" s="68" t="s">
        <v>383</v>
      </c>
      <c r="F38" s="68" t="s">
        <v>383</v>
      </c>
      <c r="G38" s="68" t="s">
        <v>383</v>
      </c>
      <c r="H38" s="68" t="s">
        <v>383</v>
      </c>
      <c r="I38" s="68" t="s">
        <v>383</v>
      </c>
      <c r="J38" s="68" t="s">
        <v>383</v>
      </c>
      <c r="K38" s="68" t="s">
        <v>383</v>
      </c>
      <c r="L38" s="68" t="s">
        <v>383</v>
      </c>
      <c r="M38" s="68" t="s">
        <v>383</v>
      </c>
      <c r="N38" s="68" t="s">
        <v>383</v>
      </c>
      <c r="O38" s="68" t="s">
        <v>383</v>
      </c>
      <c r="P38" s="68" t="s">
        <v>383</v>
      </c>
      <c r="Q38" s="68">
        <v>4</v>
      </c>
      <c r="R38" s="68" t="s">
        <v>383</v>
      </c>
      <c r="S38" s="68" t="s">
        <v>383</v>
      </c>
      <c r="T38" s="68" t="s">
        <v>383</v>
      </c>
      <c r="U38" s="68" t="s">
        <v>383</v>
      </c>
      <c r="V38" s="68" t="s">
        <v>383</v>
      </c>
      <c r="W38" s="68" t="s">
        <v>383</v>
      </c>
      <c r="X38" s="68" t="s">
        <v>383</v>
      </c>
      <c r="Y38" s="68" t="s">
        <v>383</v>
      </c>
      <c r="Z38" s="68" t="s">
        <v>383</v>
      </c>
      <c r="AA38" s="68" t="s">
        <v>383</v>
      </c>
      <c r="AB38" s="68" t="s">
        <v>383</v>
      </c>
      <c r="AC38" s="68" t="s">
        <v>383</v>
      </c>
      <c r="AD38" s="68" t="s">
        <v>383</v>
      </c>
      <c r="AE38" s="153" t="s">
        <v>383</v>
      </c>
    </row>
    <row r="39" spans="1:32" s="11" customFormat="1" ht="15" customHeight="1" thickBot="1" x14ac:dyDescent="0.3">
      <c r="A39" s="144" t="s">
        <v>48</v>
      </c>
      <c r="B39" s="9" t="s">
        <v>49</v>
      </c>
      <c r="C39" s="64">
        <v>7</v>
      </c>
      <c r="D39" s="64">
        <v>9</v>
      </c>
      <c r="E39" s="64">
        <v>10</v>
      </c>
      <c r="F39" s="64">
        <v>9</v>
      </c>
      <c r="G39" s="64">
        <v>12</v>
      </c>
      <c r="H39" s="64">
        <v>11</v>
      </c>
      <c r="I39" s="64">
        <v>11</v>
      </c>
      <c r="J39" s="64">
        <v>13</v>
      </c>
      <c r="K39" s="64">
        <v>14</v>
      </c>
      <c r="L39" s="64">
        <v>14</v>
      </c>
      <c r="M39" s="64">
        <v>13</v>
      </c>
      <c r="N39" s="64">
        <v>13</v>
      </c>
      <c r="O39" s="64">
        <v>13</v>
      </c>
      <c r="P39" s="64">
        <v>14</v>
      </c>
      <c r="Q39" s="64">
        <v>14</v>
      </c>
      <c r="R39" s="64">
        <v>16</v>
      </c>
      <c r="S39" s="64">
        <v>17</v>
      </c>
      <c r="T39" s="64">
        <v>17</v>
      </c>
      <c r="U39" s="64">
        <v>16</v>
      </c>
      <c r="V39" s="64">
        <v>17</v>
      </c>
      <c r="W39" s="64">
        <v>15</v>
      </c>
      <c r="X39" s="64">
        <v>14</v>
      </c>
      <c r="Y39" s="64">
        <v>15</v>
      </c>
      <c r="Z39" s="64">
        <v>12</v>
      </c>
      <c r="AA39" s="64">
        <v>13</v>
      </c>
      <c r="AB39" s="64">
        <v>14</v>
      </c>
      <c r="AC39" s="64">
        <v>14</v>
      </c>
      <c r="AD39" s="64">
        <v>13</v>
      </c>
      <c r="AE39" s="145">
        <v>15</v>
      </c>
      <c r="AF39" s="10"/>
    </row>
    <row r="40" spans="1:32" ht="15" customHeight="1" x14ac:dyDescent="0.25">
      <c r="A40" s="146">
        <v>40</v>
      </c>
      <c r="B40" s="12" t="s">
        <v>50</v>
      </c>
      <c r="C40" s="65" t="s">
        <v>383</v>
      </c>
      <c r="D40" s="65" t="s">
        <v>383</v>
      </c>
      <c r="E40" s="65" t="s">
        <v>383</v>
      </c>
      <c r="F40" s="65" t="s">
        <v>383</v>
      </c>
      <c r="G40" s="65" t="s">
        <v>383</v>
      </c>
      <c r="H40" s="65" t="s">
        <v>383</v>
      </c>
      <c r="I40" s="65" t="s">
        <v>383</v>
      </c>
      <c r="J40" s="65">
        <v>9</v>
      </c>
      <c r="K40" s="65">
        <v>9</v>
      </c>
      <c r="L40" s="65">
        <v>9</v>
      </c>
      <c r="M40" s="65">
        <v>8</v>
      </c>
      <c r="N40" s="65">
        <v>8</v>
      </c>
      <c r="O40" s="65">
        <v>8</v>
      </c>
      <c r="P40" s="65">
        <v>8</v>
      </c>
      <c r="Q40" s="65">
        <v>8</v>
      </c>
      <c r="R40" s="65">
        <v>9</v>
      </c>
      <c r="S40" s="65">
        <v>10</v>
      </c>
      <c r="T40" s="65">
        <v>11</v>
      </c>
      <c r="U40" s="65">
        <v>11</v>
      </c>
      <c r="V40" s="65">
        <v>12</v>
      </c>
      <c r="W40" s="65">
        <v>11</v>
      </c>
      <c r="X40" s="65">
        <v>10</v>
      </c>
      <c r="Y40" s="65" t="s">
        <v>383</v>
      </c>
      <c r="Z40" s="65" t="s">
        <v>383</v>
      </c>
      <c r="AA40" s="65" t="s">
        <v>383</v>
      </c>
      <c r="AB40" s="65" t="s">
        <v>383</v>
      </c>
      <c r="AC40" s="65" t="s">
        <v>383</v>
      </c>
      <c r="AD40" s="65" t="s">
        <v>383</v>
      </c>
      <c r="AE40" s="147" t="s">
        <v>383</v>
      </c>
    </row>
    <row r="41" spans="1:32" ht="15" customHeight="1" thickBot="1" x14ac:dyDescent="0.3">
      <c r="A41" s="158">
        <v>41</v>
      </c>
      <c r="B41" s="18" t="s">
        <v>51</v>
      </c>
      <c r="C41" s="71" t="s">
        <v>383</v>
      </c>
      <c r="D41" s="71" t="s">
        <v>383</v>
      </c>
      <c r="E41" s="71" t="s">
        <v>383</v>
      </c>
      <c r="F41" s="71" t="s">
        <v>383</v>
      </c>
      <c r="G41" s="71" t="s">
        <v>383</v>
      </c>
      <c r="H41" s="71" t="s">
        <v>383</v>
      </c>
      <c r="I41" s="71" t="s">
        <v>383</v>
      </c>
      <c r="J41" s="71">
        <v>4</v>
      </c>
      <c r="K41" s="71">
        <v>5</v>
      </c>
      <c r="L41" s="71">
        <v>5</v>
      </c>
      <c r="M41" s="71">
        <v>5</v>
      </c>
      <c r="N41" s="71">
        <v>5</v>
      </c>
      <c r="O41" s="71">
        <v>5</v>
      </c>
      <c r="P41" s="71">
        <v>6</v>
      </c>
      <c r="Q41" s="71">
        <v>6</v>
      </c>
      <c r="R41" s="71">
        <v>7</v>
      </c>
      <c r="S41" s="71">
        <v>7</v>
      </c>
      <c r="T41" s="71">
        <v>6</v>
      </c>
      <c r="U41" s="71">
        <v>5</v>
      </c>
      <c r="V41" s="71">
        <v>5</v>
      </c>
      <c r="W41" s="71">
        <v>4</v>
      </c>
      <c r="X41" s="71">
        <v>4</v>
      </c>
      <c r="Y41" s="71" t="s">
        <v>383</v>
      </c>
      <c r="Z41" s="71" t="s">
        <v>383</v>
      </c>
      <c r="AA41" s="71" t="s">
        <v>383</v>
      </c>
      <c r="AB41" s="71" t="s">
        <v>383</v>
      </c>
      <c r="AC41" s="71" t="s">
        <v>383</v>
      </c>
      <c r="AD41" s="71" t="s">
        <v>383</v>
      </c>
      <c r="AE41" s="159" t="s">
        <v>383</v>
      </c>
    </row>
    <row r="42" spans="1:32" s="11" customFormat="1" ht="15" customHeight="1" thickBot="1" x14ac:dyDescent="0.3">
      <c r="A42" s="160" t="s">
        <v>52</v>
      </c>
      <c r="B42" s="19" t="s">
        <v>53</v>
      </c>
      <c r="C42" s="64">
        <v>268</v>
      </c>
      <c r="D42" s="64">
        <v>298</v>
      </c>
      <c r="E42" s="64">
        <v>290</v>
      </c>
      <c r="F42" s="64">
        <v>302</v>
      </c>
      <c r="G42" s="64">
        <v>306</v>
      </c>
      <c r="H42" s="64">
        <v>277</v>
      </c>
      <c r="I42" s="64">
        <v>253</v>
      </c>
      <c r="J42" s="64">
        <v>283</v>
      </c>
      <c r="K42" s="64">
        <v>336</v>
      </c>
      <c r="L42" s="64">
        <v>393</v>
      </c>
      <c r="M42" s="64">
        <v>497</v>
      </c>
      <c r="N42" s="64">
        <v>583</v>
      </c>
      <c r="O42" s="64">
        <v>765</v>
      </c>
      <c r="P42" s="64">
        <v>840</v>
      </c>
      <c r="Q42" s="64">
        <v>742</v>
      </c>
      <c r="R42" s="64">
        <v>723</v>
      </c>
      <c r="S42" s="64">
        <v>726</v>
      </c>
      <c r="T42" s="64">
        <v>701</v>
      </c>
      <c r="U42" s="64">
        <v>736</v>
      </c>
      <c r="V42" s="64">
        <v>708</v>
      </c>
      <c r="W42" s="64">
        <v>685</v>
      </c>
      <c r="X42" s="64">
        <v>702</v>
      </c>
      <c r="Y42" s="64">
        <v>692</v>
      </c>
      <c r="Z42" s="64">
        <v>642</v>
      </c>
      <c r="AA42" s="64">
        <v>610</v>
      </c>
      <c r="AB42" s="64">
        <v>623</v>
      </c>
      <c r="AC42" s="64">
        <v>658</v>
      </c>
      <c r="AD42" s="64">
        <v>633</v>
      </c>
      <c r="AE42" s="145">
        <v>602</v>
      </c>
      <c r="AF42" s="10"/>
    </row>
    <row r="43" spans="1:32" ht="15" customHeight="1" thickBot="1" x14ac:dyDescent="0.3">
      <c r="A43" s="150">
        <v>45</v>
      </c>
      <c r="B43" s="14" t="s">
        <v>54</v>
      </c>
      <c r="C43" s="67">
        <v>268</v>
      </c>
      <c r="D43" s="67">
        <v>298</v>
      </c>
      <c r="E43" s="67">
        <v>290</v>
      </c>
      <c r="F43" s="67">
        <v>302</v>
      </c>
      <c r="G43" s="67">
        <v>306</v>
      </c>
      <c r="H43" s="67">
        <v>277</v>
      </c>
      <c r="I43" s="67">
        <v>253</v>
      </c>
      <c r="J43" s="67">
        <v>283</v>
      </c>
      <c r="K43" s="67">
        <v>336</v>
      </c>
      <c r="L43" s="67">
        <v>393</v>
      </c>
      <c r="M43" s="67">
        <v>497</v>
      </c>
      <c r="N43" s="67">
        <v>583</v>
      </c>
      <c r="O43" s="67">
        <v>765</v>
      </c>
      <c r="P43" s="67">
        <v>840</v>
      </c>
      <c r="Q43" s="67">
        <v>742</v>
      </c>
      <c r="R43" s="67">
        <v>723</v>
      </c>
      <c r="S43" s="67">
        <v>726</v>
      </c>
      <c r="T43" s="67">
        <v>701</v>
      </c>
      <c r="U43" s="67">
        <v>736</v>
      </c>
      <c r="V43" s="67">
        <v>708</v>
      </c>
      <c r="W43" s="67">
        <v>685</v>
      </c>
      <c r="X43" s="67">
        <v>702</v>
      </c>
      <c r="Y43" s="67">
        <v>692</v>
      </c>
      <c r="Z43" s="67">
        <v>642</v>
      </c>
      <c r="AA43" s="67">
        <v>610</v>
      </c>
      <c r="AB43" s="67">
        <v>623</v>
      </c>
      <c r="AC43" s="67">
        <v>658</v>
      </c>
      <c r="AD43" s="67">
        <v>633</v>
      </c>
      <c r="AE43" s="151">
        <v>602</v>
      </c>
    </row>
    <row r="44" spans="1:32" s="11" customFormat="1" ht="15" customHeight="1" thickBot="1" x14ac:dyDescent="0.3">
      <c r="A44" s="144" t="s">
        <v>55</v>
      </c>
      <c r="B44" s="9" t="s">
        <v>56</v>
      </c>
      <c r="C44" s="64">
        <v>1959</v>
      </c>
      <c r="D44" s="64">
        <v>2021</v>
      </c>
      <c r="E44" s="64">
        <v>2028</v>
      </c>
      <c r="F44" s="64">
        <v>2010</v>
      </c>
      <c r="G44" s="64">
        <v>2050</v>
      </c>
      <c r="H44" s="64">
        <v>2009</v>
      </c>
      <c r="I44" s="64">
        <v>1886</v>
      </c>
      <c r="J44" s="64">
        <v>2041</v>
      </c>
      <c r="K44" s="64">
        <v>2356</v>
      </c>
      <c r="L44" s="64">
        <v>2499</v>
      </c>
      <c r="M44" s="64">
        <v>2841</v>
      </c>
      <c r="N44" s="64">
        <v>3589</v>
      </c>
      <c r="O44" s="64">
        <v>4036</v>
      </c>
      <c r="P44" s="64">
        <v>4073</v>
      </c>
      <c r="Q44" s="64">
        <v>4028</v>
      </c>
      <c r="R44" s="64">
        <v>4091</v>
      </c>
      <c r="S44" s="64">
        <v>4088</v>
      </c>
      <c r="T44" s="64">
        <v>4091</v>
      </c>
      <c r="U44" s="64">
        <v>4019</v>
      </c>
      <c r="V44" s="64">
        <v>4027</v>
      </c>
      <c r="W44" s="64">
        <v>4054</v>
      </c>
      <c r="X44" s="64">
        <v>4109</v>
      </c>
      <c r="Y44" s="64">
        <v>3967</v>
      </c>
      <c r="Z44" s="64">
        <v>3867</v>
      </c>
      <c r="AA44" s="64">
        <v>3692</v>
      </c>
      <c r="AB44" s="64">
        <v>3682</v>
      </c>
      <c r="AC44" s="64">
        <v>3910</v>
      </c>
      <c r="AD44" s="64">
        <v>3952</v>
      </c>
      <c r="AE44" s="145">
        <v>4084</v>
      </c>
      <c r="AF44" s="10"/>
    </row>
    <row r="45" spans="1:32" ht="15" customHeight="1" x14ac:dyDescent="0.25">
      <c r="A45" s="146">
        <v>50</v>
      </c>
      <c r="B45" s="12" t="s">
        <v>57</v>
      </c>
      <c r="C45" s="65">
        <v>270</v>
      </c>
      <c r="D45" s="65">
        <v>282</v>
      </c>
      <c r="E45" s="65">
        <v>296</v>
      </c>
      <c r="F45" s="65">
        <v>287</v>
      </c>
      <c r="G45" s="65">
        <v>294</v>
      </c>
      <c r="H45" s="65">
        <v>284</v>
      </c>
      <c r="I45" s="65">
        <v>273</v>
      </c>
      <c r="J45" s="65">
        <v>298</v>
      </c>
      <c r="K45" s="65">
        <v>349</v>
      </c>
      <c r="L45" s="65">
        <v>374</v>
      </c>
      <c r="M45" s="65">
        <v>424</v>
      </c>
      <c r="N45" s="65">
        <v>516</v>
      </c>
      <c r="O45" s="65">
        <v>576</v>
      </c>
      <c r="P45" s="65">
        <v>582</v>
      </c>
      <c r="Q45" s="65">
        <v>567</v>
      </c>
      <c r="R45" s="65">
        <v>570</v>
      </c>
      <c r="S45" s="65">
        <v>568</v>
      </c>
      <c r="T45" s="65">
        <v>561</v>
      </c>
      <c r="U45" s="65">
        <v>551</v>
      </c>
      <c r="V45" s="65">
        <v>557</v>
      </c>
      <c r="W45" s="65">
        <v>561</v>
      </c>
      <c r="X45" s="65">
        <v>572</v>
      </c>
      <c r="Y45" s="65">
        <v>548</v>
      </c>
      <c r="Z45" s="65">
        <v>550</v>
      </c>
      <c r="AA45" s="65">
        <v>536</v>
      </c>
      <c r="AB45" s="65">
        <v>546</v>
      </c>
      <c r="AC45" s="65">
        <v>552</v>
      </c>
      <c r="AD45" s="65">
        <v>553</v>
      </c>
      <c r="AE45" s="147">
        <v>563</v>
      </c>
    </row>
    <row r="46" spans="1:32" ht="15" customHeight="1" x14ac:dyDescent="0.25">
      <c r="A46" s="156">
        <v>51</v>
      </c>
      <c r="B46" s="17" t="s">
        <v>58</v>
      </c>
      <c r="C46" s="70">
        <v>464</v>
      </c>
      <c r="D46" s="70">
        <v>477</v>
      </c>
      <c r="E46" s="70">
        <v>467</v>
      </c>
      <c r="F46" s="70">
        <v>480</v>
      </c>
      <c r="G46" s="70">
        <v>481</v>
      </c>
      <c r="H46" s="70">
        <v>478</v>
      </c>
      <c r="I46" s="70">
        <v>438</v>
      </c>
      <c r="J46" s="70">
        <v>465</v>
      </c>
      <c r="K46" s="70">
        <v>499</v>
      </c>
      <c r="L46" s="70">
        <v>540</v>
      </c>
      <c r="M46" s="70">
        <v>598</v>
      </c>
      <c r="N46" s="70">
        <v>676</v>
      </c>
      <c r="O46" s="70">
        <v>721</v>
      </c>
      <c r="P46" s="70">
        <v>718</v>
      </c>
      <c r="Q46" s="70">
        <v>707</v>
      </c>
      <c r="R46" s="70">
        <v>720</v>
      </c>
      <c r="S46" s="70">
        <v>724</v>
      </c>
      <c r="T46" s="70">
        <v>721</v>
      </c>
      <c r="U46" s="70">
        <v>710</v>
      </c>
      <c r="V46" s="70">
        <v>722</v>
      </c>
      <c r="W46" s="70">
        <v>711</v>
      </c>
      <c r="X46" s="70">
        <v>707</v>
      </c>
      <c r="Y46" s="70">
        <v>715</v>
      </c>
      <c r="Z46" s="70">
        <v>704</v>
      </c>
      <c r="AA46" s="70">
        <v>717</v>
      </c>
      <c r="AB46" s="70">
        <v>724</v>
      </c>
      <c r="AC46" s="70">
        <v>763</v>
      </c>
      <c r="AD46" s="70">
        <v>792</v>
      </c>
      <c r="AE46" s="157">
        <v>807</v>
      </c>
    </row>
    <row r="47" spans="1:32" ht="15" customHeight="1" thickBot="1" x14ac:dyDescent="0.3">
      <c r="A47" s="158">
        <v>52</v>
      </c>
      <c r="B47" s="18" t="s">
        <v>59</v>
      </c>
      <c r="C47" s="71">
        <v>1225</v>
      </c>
      <c r="D47" s="71">
        <v>1262</v>
      </c>
      <c r="E47" s="71">
        <v>1265</v>
      </c>
      <c r="F47" s="71">
        <v>1243</v>
      </c>
      <c r="G47" s="71">
        <v>1275</v>
      </c>
      <c r="H47" s="71">
        <v>1247</v>
      </c>
      <c r="I47" s="71">
        <v>1175</v>
      </c>
      <c r="J47" s="71">
        <v>1278</v>
      </c>
      <c r="K47" s="71">
        <v>1508</v>
      </c>
      <c r="L47" s="71">
        <v>1585</v>
      </c>
      <c r="M47" s="71">
        <v>1819</v>
      </c>
      <c r="N47" s="71">
        <v>2397</v>
      </c>
      <c r="O47" s="71">
        <v>2739</v>
      </c>
      <c r="P47" s="71">
        <v>2773</v>
      </c>
      <c r="Q47" s="71">
        <v>2754</v>
      </c>
      <c r="R47" s="71">
        <v>2801</v>
      </c>
      <c r="S47" s="71">
        <v>2796</v>
      </c>
      <c r="T47" s="71">
        <v>2809</v>
      </c>
      <c r="U47" s="71">
        <v>2758</v>
      </c>
      <c r="V47" s="71">
        <v>2748</v>
      </c>
      <c r="W47" s="71">
        <v>2782</v>
      </c>
      <c r="X47" s="71">
        <v>2830</v>
      </c>
      <c r="Y47" s="71">
        <v>2704</v>
      </c>
      <c r="Z47" s="71">
        <v>2613</v>
      </c>
      <c r="AA47" s="71">
        <v>2439</v>
      </c>
      <c r="AB47" s="71">
        <v>2412</v>
      </c>
      <c r="AC47" s="71">
        <v>2595</v>
      </c>
      <c r="AD47" s="71">
        <v>2607</v>
      </c>
      <c r="AE47" s="159">
        <v>2714</v>
      </c>
    </row>
    <row r="48" spans="1:32" s="11" customFormat="1" ht="15" customHeight="1" thickBot="1" x14ac:dyDescent="0.3">
      <c r="A48" s="160" t="s">
        <v>60</v>
      </c>
      <c r="B48" s="19" t="s">
        <v>61</v>
      </c>
      <c r="C48" s="64">
        <v>255</v>
      </c>
      <c r="D48" s="64">
        <v>273</v>
      </c>
      <c r="E48" s="64">
        <v>272</v>
      </c>
      <c r="F48" s="64">
        <v>267</v>
      </c>
      <c r="G48" s="64">
        <v>261</v>
      </c>
      <c r="H48" s="64">
        <v>254</v>
      </c>
      <c r="I48" s="64">
        <v>246</v>
      </c>
      <c r="J48" s="64">
        <v>269</v>
      </c>
      <c r="K48" s="64">
        <v>336</v>
      </c>
      <c r="L48" s="64">
        <v>380</v>
      </c>
      <c r="M48" s="64">
        <v>432</v>
      </c>
      <c r="N48" s="64">
        <v>582</v>
      </c>
      <c r="O48" s="64">
        <v>653</v>
      </c>
      <c r="P48" s="64">
        <v>663</v>
      </c>
      <c r="Q48" s="64">
        <v>654</v>
      </c>
      <c r="R48" s="64">
        <v>676</v>
      </c>
      <c r="S48" s="64">
        <v>713</v>
      </c>
      <c r="T48" s="64">
        <v>714</v>
      </c>
      <c r="U48" s="64">
        <v>711</v>
      </c>
      <c r="V48" s="64">
        <v>712</v>
      </c>
      <c r="W48" s="64">
        <v>716</v>
      </c>
      <c r="X48" s="64">
        <v>734</v>
      </c>
      <c r="Y48" s="64">
        <v>706</v>
      </c>
      <c r="Z48" s="64">
        <v>700</v>
      </c>
      <c r="AA48" s="64">
        <v>623</v>
      </c>
      <c r="AB48" s="64">
        <v>597</v>
      </c>
      <c r="AC48" s="64">
        <v>637</v>
      </c>
      <c r="AD48" s="64">
        <v>659</v>
      </c>
      <c r="AE48" s="145">
        <v>674</v>
      </c>
      <c r="AF48" s="10"/>
    </row>
    <row r="49" spans="1:32" ht="15" customHeight="1" thickBot="1" x14ac:dyDescent="0.3">
      <c r="A49" s="150">
        <v>55</v>
      </c>
      <c r="B49" s="14" t="s">
        <v>62</v>
      </c>
      <c r="C49" s="67">
        <v>255</v>
      </c>
      <c r="D49" s="67">
        <v>273</v>
      </c>
      <c r="E49" s="67">
        <v>272</v>
      </c>
      <c r="F49" s="67">
        <v>267</v>
      </c>
      <c r="G49" s="67">
        <v>261</v>
      </c>
      <c r="H49" s="67">
        <v>254</v>
      </c>
      <c r="I49" s="67">
        <v>246</v>
      </c>
      <c r="J49" s="67">
        <v>269</v>
      </c>
      <c r="K49" s="67">
        <v>336</v>
      </c>
      <c r="L49" s="67">
        <v>380</v>
      </c>
      <c r="M49" s="67">
        <v>432</v>
      </c>
      <c r="N49" s="67">
        <v>582</v>
      </c>
      <c r="O49" s="67">
        <v>653</v>
      </c>
      <c r="P49" s="67">
        <v>663</v>
      </c>
      <c r="Q49" s="67">
        <v>654</v>
      </c>
      <c r="R49" s="67">
        <v>676</v>
      </c>
      <c r="S49" s="67">
        <v>713</v>
      </c>
      <c r="T49" s="67">
        <v>714</v>
      </c>
      <c r="U49" s="67">
        <v>711</v>
      </c>
      <c r="V49" s="67">
        <v>712</v>
      </c>
      <c r="W49" s="67">
        <v>716</v>
      </c>
      <c r="X49" s="67">
        <v>734</v>
      </c>
      <c r="Y49" s="67">
        <v>706</v>
      </c>
      <c r="Z49" s="67">
        <v>700</v>
      </c>
      <c r="AA49" s="67">
        <v>623</v>
      </c>
      <c r="AB49" s="67">
        <v>597</v>
      </c>
      <c r="AC49" s="67">
        <v>637</v>
      </c>
      <c r="AD49" s="67">
        <v>659</v>
      </c>
      <c r="AE49" s="151">
        <v>674</v>
      </c>
    </row>
    <row r="50" spans="1:32" s="11" customFormat="1" ht="15" customHeight="1" thickBot="1" x14ac:dyDescent="0.3">
      <c r="A50" s="144" t="s">
        <v>63</v>
      </c>
      <c r="B50" s="9" t="s">
        <v>64</v>
      </c>
      <c r="C50" s="64">
        <v>382</v>
      </c>
      <c r="D50" s="64">
        <v>424</v>
      </c>
      <c r="E50" s="64">
        <v>466</v>
      </c>
      <c r="F50" s="64">
        <v>490</v>
      </c>
      <c r="G50" s="64">
        <v>547</v>
      </c>
      <c r="H50" s="64">
        <v>543</v>
      </c>
      <c r="I50" s="64">
        <v>500</v>
      </c>
      <c r="J50" s="64">
        <v>554</v>
      </c>
      <c r="K50" s="64">
        <v>651</v>
      </c>
      <c r="L50" s="64">
        <v>690</v>
      </c>
      <c r="M50" s="64">
        <v>815</v>
      </c>
      <c r="N50" s="64">
        <v>989</v>
      </c>
      <c r="O50" s="64">
        <v>1140</v>
      </c>
      <c r="P50" s="64">
        <v>1180</v>
      </c>
      <c r="Q50" s="64">
        <v>1186</v>
      </c>
      <c r="R50" s="64">
        <v>1263</v>
      </c>
      <c r="S50" s="64">
        <v>1248</v>
      </c>
      <c r="T50" s="64">
        <v>1305</v>
      </c>
      <c r="U50" s="64">
        <v>1309</v>
      </c>
      <c r="V50" s="64">
        <v>1300</v>
      </c>
      <c r="W50" s="64">
        <v>1304</v>
      </c>
      <c r="X50" s="64">
        <v>1308</v>
      </c>
      <c r="Y50" s="64">
        <v>1276</v>
      </c>
      <c r="Z50" s="64">
        <v>1247</v>
      </c>
      <c r="AA50" s="64">
        <v>1200</v>
      </c>
      <c r="AB50" s="64">
        <v>1178</v>
      </c>
      <c r="AC50" s="64">
        <v>1172</v>
      </c>
      <c r="AD50" s="64">
        <v>1166</v>
      </c>
      <c r="AE50" s="145">
        <v>1190</v>
      </c>
      <c r="AF50" s="10"/>
    </row>
    <row r="51" spans="1:32" ht="15" customHeight="1" x14ac:dyDescent="0.25">
      <c r="A51" s="152">
        <v>60</v>
      </c>
      <c r="B51" s="15" t="s">
        <v>65</v>
      </c>
      <c r="C51" s="68">
        <v>241</v>
      </c>
      <c r="D51" s="68">
        <v>261</v>
      </c>
      <c r="E51" s="68">
        <v>282</v>
      </c>
      <c r="F51" s="68">
        <v>287</v>
      </c>
      <c r="G51" s="68">
        <v>326</v>
      </c>
      <c r="H51" s="68">
        <v>336</v>
      </c>
      <c r="I51" s="68">
        <v>309</v>
      </c>
      <c r="J51" s="68">
        <v>368</v>
      </c>
      <c r="K51" s="68">
        <v>446</v>
      </c>
      <c r="L51" s="68">
        <v>491</v>
      </c>
      <c r="M51" s="68">
        <v>588</v>
      </c>
      <c r="N51" s="68">
        <v>716</v>
      </c>
      <c r="O51" s="68">
        <v>855</v>
      </c>
      <c r="P51" s="68">
        <v>894</v>
      </c>
      <c r="Q51" s="68">
        <v>898</v>
      </c>
      <c r="R51" s="68">
        <v>962</v>
      </c>
      <c r="S51" s="68">
        <v>952</v>
      </c>
      <c r="T51" s="68">
        <v>1011</v>
      </c>
      <c r="U51" s="68">
        <v>1022</v>
      </c>
      <c r="V51" s="68">
        <v>1016</v>
      </c>
      <c r="W51" s="68">
        <v>1021</v>
      </c>
      <c r="X51" s="68">
        <v>1008</v>
      </c>
      <c r="Y51" s="68">
        <v>970</v>
      </c>
      <c r="Z51" s="68">
        <v>953</v>
      </c>
      <c r="AA51" s="68">
        <v>909</v>
      </c>
      <c r="AB51" s="68">
        <v>895</v>
      </c>
      <c r="AC51" s="68">
        <v>887</v>
      </c>
      <c r="AD51" s="68">
        <v>877</v>
      </c>
      <c r="AE51" s="153">
        <v>883</v>
      </c>
    </row>
    <row r="52" spans="1:32" ht="15" customHeight="1" x14ac:dyDescent="0.25">
      <c r="A52" s="161">
        <v>61</v>
      </c>
      <c r="B52" s="20" t="s">
        <v>66</v>
      </c>
      <c r="C52" s="73" t="s">
        <v>383</v>
      </c>
      <c r="D52" s="73" t="s">
        <v>383</v>
      </c>
      <c r="E52" s="73" t="s">
        <v>383</v>
      </c>
      <c r="F52" s="73" t="s">
        <v>383</v>
      </c>
      <c r="G52" s="73" t="s">
        <v>383</v>
      </c>
      <c r="H52" s="73" t="s">
        <v>383</v>
      </c>
      <c r="I52" s="73" t="s">
        <v>383</v>
      </c>
      <c r="J52" s="73" t="s">
        <v>383</v>
      </c>
      <c r="K52" s="73" t="s">
        <v>383</v>
      </c>
      <c r="L52" s="73" t="s">
        <v>383</v>
      </c>
      <c r="M52" s="73" t="s">
        <v>383</v>
      </c>
      <c r="N52" s="73" t="s">
        <v>383</v>
      </c>
      <c r="O52" s="73" t="s">
        <v>383</v>
      </c>
      <c r="P52" s="73" t="s">
        <v>383</v>
      </c>
      <c r="Q52" s="73" t="s">
        <v>383</v>
      </c>
      <c r="R52" s="73" t="s">
        <v>383</v>
      </c>
      <c r="S52" s="73" t="s">
        <v>383</v>
      </c>
      <c r="T52" s="73" t="s">
        <v>383</v>
      </c>
      <c r="U52" s="73" t="s">
        <v>383</v>
      </c>
      <c r="V52" s="73" t="s">
        <v>383</v>
      </c>
      <c r="W52" s="73" t="s">
        <v>383</v>
      </c>
      <c r="X52" s="73" t="s">
        <v>383</v>
      </c>
      <c r="Y52" s="73" t="s">
        <v>383</v>
      </c>
      <c r="Z52" s="73" t="s">
        <v>383</v>
      </c>
      <c r="AA52" s="73" t="s">
        <v>383</v>
      </c>
      <c r="AB52" s="73" t="s">
        <v>383</v>
      </c>
      <c r="AC52" s="73" t="s">
        <v>383</v>
      </c>
      <c r="AD52" s="73" t="s">
        <v>383</v>
      </c>
      <c r="AE52" s="162" t="s">
        <v>383</v>
      </c>
    </row>
    <row r="53" spans="1:32" ht="15" customHeight="1" x14ac:dyDescent="0.25">
      <c r="A53" s="152">
        <v>62</v>
      </c>
      <c r="B53" s="15" t="s">
        <v>67</v>
      </c>
      <c r="C53" s="68" t="s">
        <v>383</v>
      </c>
      <c r="D53" s="68" t="s">
        <v>383</v>
      </c>
      <c r="E53" s="68" t="s">
        <v>383</v>
      </c>
      <c r="F53" s="68" t="s">
        <v>383</v>
      </c>
      <c r="G53" s="68" t="s">
        <v>383</v>
      </c>
      <c r="H53" s="68" t="s">
        <v>383</v>
      </c>
      <c r="I53" s="68" t="s">
        <v>383</v>
      </c>
      <c r="J53" s="68" t="s">
        <v>383</v>
      </c>
      <c r="K53" s="68" t="s">
        <v>383</v>
      </c>
      <c r="L53" s="68" t="s">
        <v>383</v>
      </c>
      <c r="M53" s="68" t="s">
        <v>383</v>
      </c>
      <c r="N53" s="68" t="s">
        <v>383</v>
      </c>
      <c r="O53" s="68" t="s">
        <v>383</v>
      </c>
      <c r="P53" s="68" t="s">
        <v>383</v>
      </c>
      <c r="Q53" s="68" t="s">
        <v>383</v>
      </c>
      <c r="R53" s="68" t="s">
        <v>383</v>
      </c>
      <c r="S53" s="68" t="s">
        <v>383</v>
      </c>
      <c r="T53" s="68" t="s">
        <v>383</v>
      </c>
      <c r="U53" s="68" t="s">
        <v>383</v>
      </c>
      <c r="V53" s="68" t="s">
        <v>383</v>
      </c>
      <c r="W53" s="68" t="s">
        <v>383</v>
      </c>
      <c r="X53" s="68" t="s">
        <v>383</v>
      </c>
      <c r="Y53" s="68" t="s">
        <v>383</v>
      </c>
      <c r="Z53" s="68" t="s">
        <v>383</v>
      </c>
      <c r="AA53" s="68" t="s">
        <v>383</v>
      </c>
      <c r="AB53" s="68" t="s">
        <v>383</v>
      </c>
      <c r="AC53" s="68" t="s">
        <v>383</v>
      </c>
      <c r="AD53" s="68" t="s">
        <v>383</v>
      </c>
      <c r="AE53" s="153" t="s">
        <v>383</v>
      </c>
    </row>
    <row r="54" spans="1:32" ht="15" customHeight="1" x14ac:dyDescent="0.25">
      <c r="A54" s="163">
        <v>63</v>
      </c>
      <c r="B54" s="21" t="s">
        <v>68</v>
      </c>
      <c r="C54" s="74">
        <v>84</v>
      </c>
      <c r="D54" s="74">
        <v>90</v>
      </c>
      <c r="E54" s="74">
        <v>103</v>
      </c>
      <c r="F54" s="74">
        <v>98</v>
      </c>
      <c r="G54" s="74">
        <v>103</v>
      </c>
      <c r="H54" s="74">
        <v>102</v>
      </c>
      <c r="I54" s="74">
        <v>97</v>
      </c>
      <c r="J54" s="74">
        <v>97</v>
      </c>
      <c r="K54" s="74">
        <v>114</v>
      </c>
      <c r="L54" s="74">
        <v>113</v>
      </c>
      <c r="M54" s="74">
        <v>140</v>
      </c>
      <c r="N54" s="74">
        <v>182</v>
      </c>
      <c r="O54" s="74">
        <v>198</v>
      </c>
      <c r="P54" s="74">
        <v>210</v>
      </c>
      <c r="Q54" s="74">
        <v>222</v>
      </c>
      <c r="R54" s="74">
        <v>230</v>
      </c>
      <c r="S54" s="74">
        <v>229</v>
      </c>
      <c r="T54" s="74">
        <v>234</v>
      </c>
      <c r="U54" s="74">
        <v>232</v>
      </c>
      <c r="V54" s="74">
        <v>229</v>
      </c>
      <c r="W54" s="74">
        <v>227</v>
      </c>
      <c r="X54" s="74">
        <v>237</v>
      </c>
      <c r="Y54" s="74">
        <v>241</v>
      </c>
      <c r="Z54" s="74">
        <v>231</v>
      </c>
      <c r="AA54" s="74">
        <v>231</v>
      </c>
      <c r="AB54" s="74">
        <v>218</v>
      </c>
      <c r="AC54" s="74">
        <v>221</v>
      </c>
      <c r="AD54" s="74">
        <v>223</v>
      </c>
      <c r="AE54" s="164">
        <v>243</v>
      </c>
    </row>
    <row r="55" spans="1:32" ht="15" customHeight="1" thickBot="1" x14ac:dyDescent="0.3">
      <c r="A55" s="152">
        <v>64</v>
      </c>
      <c r="B55" s="15" t="s">
        <v>99</v>
      </c>
      <c r="C55" s="68">
        <v>52</v>
      </c>
      <c r="D55" s="68">
        <v>66</v>
      </c>
      <c r="E55" s="68">
        <v>77</v>
      </c>
      <c r="F55" s="68">
        <v>99</v>
      </c>
      <c r="G55" s="68">
        <v>112</v>
      </c>
      <c r="H55" s="68">
        <v>99</v>
      </c>
      <c r="I55" s="68">
        <v>88</v>
      </c>
      <c r="J55" s="68">
        <v>84</v>
      </c>
      <c r="K55" s="68">
        <v>86</v>
      </c>
      <c r="L55" s="68">
        <v>79</v>
      </c>
      <c r="M55" s="68">
        <v>82</v>
      </c>
      <c r="N55" s="68">
        <v>87</v>
      </c>
      <c r="O55" s="68">
        <v>83</v>
      </c>
      <c r="P55" s="68">
        <v>73</v>
      </c>
      <c r="Q55" s="68">
        <v>62</v>
      </c>
      <c r="R55" s="68">
        <v>66</v>
      </c>
      <c r="S55" s="68">
        <v>63</v>
      </c>
      <c r="T55" s="68">
        <v>55</v>
      </c>
      <c r="U55" s="68">
        <v>51</v>
      </c>
      <c r="V55" s="68">
        <v>50</v>
      </c>
      <c r="W55" s="68">
        <v>51</v>
      </c>
      <c r="X55" s="68">
        <v>56</v>
      </c>
      <c r="Y55" s="68">
        <v>59</v>
      </c>
      <c r="Z55" s="68">
        <v>58</v>
      </c>
      <c r="AA55" s="68">
        <v>55</v>
      </c>
      <c r="AB55" s="68">
        <v>61</v>
      </c>
      <c r="AC55" s="68">
        <v>59</v>
      </c>
      <c r="AD55" s="68">
        <v>61</v>
      </c>
      <c r="AE55" s="153">
        <v>59</v>
      </c>
    </row>
    <row r="56" spans="1:32" s="11" customFormat="1" ht="15" customHeight="1" thickBot="1" x14ac:dyDescent="0.3">
      <c r="A56" s="144" t="s">
        <v>70</v>
      </c>
      <c r="B56" s="9" t="s">
        <v>71</v>
      </c>
      <c r="C56" s="64">
        <v>100</v>
      </c>
      <c r="D56" s="64">
        <v>111</v>
      </c>
      <c r="E56" s="64">
        <v>121</v>
      </c>
      <c r="F56" s="64">
        <v>132</v>
      </c>
      <c r="G56" s="64">
        <v>139</v>
      </c>
      <c r="H56" s="64">
        <v>144</v>
      </c>
      <c r="I56" s="64">
        <v>136</v>
      </c>
      <c r="J56" s="64">
        <v>129</v>
      </c>
      <c r="K56" s="64">
        <v>133</v>
      </c>
      <c r="L56" s="64">
        <v>146</v>
      </c>
      <c r="M56" s="64">
        <v>167</v>
      </c>
      <c r="N56" s="64">
        <v>178</v>
      </c>
      <c r="O56" s="64">
        <v>189</v>
      </c>
      <c r="P56" s="64">
        <v>179</v>
      </c>
      <c r="Q56" s="64">
        <v>180</v>
      </c>
      <c r="R56" s="64">
        <v>176</v>
      </c>
      <c r="S56" s="64">
        <v>173</v>
      </c>
      <c r="T56" s="64">
        <v>167</v>
      </c>
      <c r="U56" s="64">
        <v>157</v>
      </c>
      <c r="V56" s="64">
        <v>162</v>
      </c>
      <c r="W56" s="64">
        <v>153</v>
      </c>
      <c r="X56" s="64">
        <v>161</v>
      </c>
      <c r="Y56" s="64">
        <v>154</v>
      </c>
      <c r="Z56" s="64">
        <v>152</v>
      </c>
      <c r="AA56" s="64">
        <v>140</v>
      </c>
      <c r="AB56" s="64">
        <v>137</v>
      </c>
      <c r="AC56" s="64">
        <v>126</v>
      </c>
      <c r="AD56" s="64">
        <v>127</v>
      </c>
      <c r="AE56" s="145">
        <v>122</v>
      </c>
      <c r="AF56" s="10"/>
    </row>
    <row r="57" spans="1:32" ht="15" customHeight="1" x14ac:dyDescent="0.25">
      <c r="A57" s="152">
        <v>65</v>
      </c>
      <c r="B57" s="15" t="s">
        <v>72</v>
      </c>
      <c r="C57" s="68">
        <v>40</v>
      </c>
      <c r="D57" s="68">
        <v>40</v>
      </c>
      <c r="E57" s="68">
        <v>49</v>
      </c>
      <c r="F57" s="68">
        <v>52</v>
      </c>
      <c r="G57" s="68">
        <v>52</v>
      </c>
      <c r="H57" s="68">
        <v>55</v>
      </c>
      <c r="I57" s="68">
        <v>56</v>
      </c>
      <c r="J57" s="68">
        <v>48</v>
      </c>
      <c r="K57" s="68">
        <v>54</v>
      </c>
      <c r="L57" s="68">
        <v>63</v>
      </c>
      <c r="M57" s="68">
        <v>70</v>
      </c>
      <c r="N57" s="68">
        <v>68</v>
      </c>
      <c r="O57" s="68">
        <v>73</v>
      </c>
      <c r="P57" s="68">
        <v>76</v>
      </c>
      <c r="Q57" s="68">
        <v>72</v>
      </c>
      <c r="R57" s="68">
        <v>69</v>
      </c>
      <c r="S57" s="68">
        <v>68</v>
      </c>
      <c r="T57" s="68">
        <v>68</v>
      </c>
      <c r="U57" s="68">
        <v>59</v>
      </c>
      <c r="V57" s="68">
        <v>61</v>
      </c>
      <c r="W57" s="68">
        <v>61</v>
      </c>
      <c r="X57" s="68">
        <v>60</v>
      </c>
      <c r="Y57" s="68">
        <v>60</v>
      </c>
      <c r="Z57" s="68">
        <v>59</v>
      </c>
      <c r="AA57" s="68">
        <v>54</v>
      </c>
      <c r="AB57" s="68">
        <v>51</v>
      </c>
      <c r="AC57" s="68">
        <v>47</v>
      </c>
      <c r="AD57" s="68">
        <v>49</v>
      </c>
      <c r="AE57" s="153">
        <v>47</v>
      </c>
    </row>
    <row r="58" spans="1:32" ht="15" customHeight="1" x14ac:dyDescent="0.25">
      <c r="A58" s="156">
        <v>66</v>
      </c>
      <c r="B58" s="17" t="s">
        <v>100</v>
      </c>
      <c r="C58" s="70">
        <v>39</v>
      </c>
      <c r="D58" s="70">
        <v>45</v>
      </c>
      <c r="E58" s="70">
        <v>46</v>
      </c>
      <c r="F58" s="70">
        <v>55</v>
      </c>
      <c r="G58" s="70">
        <v>62</v>
      </c>
      <c r="H58" s="70">
        <v>59</v>
      </c>
      <c r="I58" s="70">
        <v>55</v>
      </c>
      <c r="J58" s="70">
        <v>55</v>
      </c>
      <c r="K58" s="70">
        <v>55</v>
      </c>
      <c r="L58" s="70">
        <v>60</v>
      </c>
      <c r="M58" s="70">
        <v>60</v>
      </c>
      <c r="N58" s="70">
        <v>58</v>
      </c>
      <c r="O58" s="70">
        <v>56</v>
      </c>
      <c r="P58" s="70">
        <v>47</v>
      </c>
      <c r="Q58" s="70">
        <v>48</v>
      </c>
      <c r="R58" s="70">
        <v>49</v>
      </c>
      <c r="S58" s="70">
        <v>51</v>
      </c>
      <c r="T58" s="70">
        <v>48</v>
      </c>
      <c r="U58" s="70">
        <v>45</v>
      </c>
      <c r="V58" s="70">
        <v>48</v>
      </c>
      <c r="W58" s="70">
        <v>48</v>
      </c>
      <c r="X58" s="70">
        <v>47</v>
      </c>
      <c r="Y58" s="70">
        <v>44</v>
      </c>
      <c r="Z58" s="70">
        <v>42</v>
      </c>
      <c r="AA58" s="70">
        <v>43</v>
      </c>
      <c r="AB58" s="70">
        <v>40</v>
      </c>
      <c r="AC58" s="70">
        <v>37</v>
      </c>
      <c r="AD58" s="70">
        <v>38</v>
      </c>
      <c r="AE58" s="157">
        <v>36</v>
      </c>
    </row>
    <row r="59" spans="1:32" ht="15" customHeight="1" thickBot="1" x14ac:dyDescent="0.3">
      <c r="A59" s="152">
        <v>67</v>
      </c>
      <c r="B59" s="15" t="s">
        <v>74</v>
      </c>
      <c r="C59" s="68">
        <v>21</v>
      </c>
      <c r="D59" s="68">
        <v>26</v>
      </c>
      <c r="E59" s="68">
        <v>26</v>
      </c>
      <c r="F59" s="68">
        <v>25</v>
      </c>
      <c r="G59" s="68">
        <v>25</v>
      </c>
      <c r="H59" s="68">
        <v>30</v>
      </c>
      <c r="I59" s="68">
        <v>25</v>
      </c>
      <c r="J59" s="68">
        <v>26</v>
      </c>
      <c r="K59" s="68">
        <v>24</v>
      </c>
      <c r="L59" s="68">
        <v>23</v>
      </c>
      <c r="M59" s="68">
        <v>37</v>
      </c>
      <c r="N59" s="68">
        <v>52</v>
      </c>
      <c r="O59" s="68">
        <v>60</v>
      </c>
      <c r="P59" s="68">
        <v>56</v>
      </c>
      <c r="Q59" s="68">
        <v>60</v>
      </c>
      <c r="R59" s="68">
        <v>58</v>
      </c>
      <c r="S59" s="68">
        <v>54</v>
      </c>
      <c r="T59" s="68">
        <v>51</v>
      </c>
      <c r="U59" s="68">
        <v>53</v>
      </c>
      <c r="V59" s="68">
        <v>53</v>
      </c>
      <c r="W59" s="68">
        <v>44</v>
      </c>
      <c r="X59" s="68">
        <v>54</v>
      </c>
      <c r="Y59" s="68">
        <v>50</v>
      </c>
      <c r="Z59" s="68">
        <v>51</v>
      </c>
      <c r="AA59" s="68">
        <v>43</v>
      </c>
      <c r="AB59" s="68">
        <v>46</v>
      </c>
      <c r="AC59" s="68">
        <v>42</v>
      </c>
      <c r="AD59" s="68">
        <v>40</v>
      </c>
      <c r="AE59" s="153">
        <v>39</v>
      </c>
    </row>
    <row r="60" spans="1:32" s="11" customFormat="1" ht="15" customHeight="1" thickBot="1" x14ac:dyDescent="0.3">
      <c r="A60" s="144" t="s">
        <v>75</v>
      </c>
      <c r="B60" s="9" t="s">
        <v>76</v>
      </c>
      <c r="C60" s="64">
        <v>1164</v>
      </c>
      <c r="D60" s="64">
        <v>1245</v>
      </c>
      <c r="E60" s="64">
        <v>1323</v>
      </c>
      <c r="F60" s="64">
        <v>1368</v>
      </c>
      <c r="G60" s="64">
        <v>1442</v>
      </c>
      <c r="H60" s="64">
        <v>1416</v>
      </c>
      <c r="I60" s="64">
        <v>1375</v>
      </c>
      <c r="J60" s="64">
        <v>1476</v>
      </c>
      <c r="K60" s="64">
        <v>1614</v>
      </c>
      <c r="L60" s="64">
        <v>1711</v>
      </c>
      <c r="M60" s="64">
        <v>1829</v>
      </c>
      <c r="N60" s="64">
        <v>2078</v>
      </c>
      <c r="O60" s="64">
        <v>2221</v>
      </c>
      <c r="P60" s="64">
        <v>2196</v>
      </c>
      <c r="Q60" s="64">
        <v>2191</v>
      </c>
      <c r="R60" s="64">
        <v>2204</v>
      </c>
      <c r="S60" s="64">
        <v>2171</v>
      </c>
      <c r="T60" s="64">
        <v>2166</v>
      </c>
      <c r="U60" s="64">
        <v>2166</v>
      </c>
      <c r="V60" s="64">
        <v>2171</v>
      </c>
      <c r="W60" s="64">
        <v>2137</v>
      </c>
      <c r="X60" s="64">
        <v>2118</v>
      </c>
      <c r="Y60" s="64">
        <v>2092</v>
      </c>
      <c r="Z60" s="64">
        <v>2014</v>
      </c>
      <c r="AA60" s="64">
        <v>1885</v>
      </c>
      <c r="AB60" s="64">
        <v>1813</v>
      </c>
      <c r="AC60" s="64">
        <v>1819</v>
      </c>
      <c r="AD60" s="64">
        <v>1757</v>
      </c>
      <c r="AE60" s="145">
        <v>1685</v>
      </c>
      <c r="AF60" s="10"/>
    </row>
    <row r="61" spans="1:32" ht="15" customHeight="1" x14ac:dyDescent="0.25">
      <c r="A61" s="146">
        <v>70</v>
      </c>
      <c r="B61" s="12" t="s">
        <v>77</v>
      </c>
      <c r="C61" s="65">
        <v>518</v>
      </c>
      <c r="D61" s="65">
        <v>568</v>
      </c>
      <c r="E61" s="65">
        <v>610</v>
      </c>
      <c r="F61" s="65">
        <v>634</v>
      </c>
      <c r="G61" s="65">
        <v>636</v>
      </c>
      <c r="H61" s="65">
        <v>635</v>
      </c>
      <c r="I61" s="65">
        <v>632</v>
      </c>
      <c r="J61" s="65">
        <v>662</v>
      </c>
      <c r="K61" s="65">
        <v>704</v>
      </c>
      <c r="L61" s="65">
        <v>729</v>
      </c>
      <c r="M61" s="65">
        <v>767</v>
      </c>
      <c r="N61" s="65">
        <v>841</v>
      </c>
      <c r="O61" s="65">
        <v>857</v>
      </c>
      <c r="P61" s="65">
        <v>851</v>
      </c>
      <c r="Q61" s="65">
        <v>864</v>
      </c>
      <c r="R61" s="65">
        <v>862</v>
      </c>
      <c r="S61" s="65">
        <v>852</v>
      </c>
      <c r="T61" s="65">
        <v>854</v>
      </c>
      <c r="U61" s="65">
        <v>864</v>
      </c>
      <c r="V61" s="65">
        <v>872</v>
      </c>
      <c r="W61" s="65">
        <v>874</v>
      </c>
      <c r="X61" s="65">
        <v>867</v>
      </c>
      <c r="Y61" s="65">
        <v>861</v>
      </c>
      <c r="Z61" s="65">
        <v>828</v>
      </c>
      <c r="AA61" s="65">
        <v>789</v>
      </c>
      <c r="AB61" s="65">
        <v>750</v>
      </c>
      <c r="AC61" s="65">
        <v>735</v>
      </c>
      <c r="AD61" s="65">
        <v>692</v>
      </c>
      <c r="AE61" s="147">
        <v>674</v>
      </c>
    </row>
    <row r="62" spans="1:32" ht="15" customHeight="1" x14ac:dyDescent="0.25">
      <c r="A62" s="156">
        <v>71</v>
      </c>
      <c r="B62" s="17" t="s">
        <v>78</v>
      </c>
      <c r="C62" s="70">
        <v>17</v>
      </c>
      <c r="D62" s="70">
        <v>17</v>
      </c>
      <c r="E62" s="70">
        <v>21</v>
      </c>
      <c r="F62" s="70">
        <v>18</v>
      </c>
      <c r="G62" s="70" t="s">
        <v>383</v>
      </c>
      <c r="H62" s="70">
        <v>21</v>
      </c>
      <c r="I62" s="70">
        <v>21</v>
      </c>
      <c r="J62" s="70" t="s">
        <v>383</v>
      </c>
      <c r="K62" s="70" t="s">
        <v>383</v>
      </c>
      <c r="L62" s="70">
        <v>29</v>
      </c>
      <c r="M62" s="70">
        <v>34</v>
      </c>
      <c r="N62" s="70">
        <v>42</v>
      </c>
      <c r="O62" s="70">
        <v>49</v>
      </c>
      <c r="P62" s="70">
        <v>53</v>
      </c>
      <c r="Q62" s="70">
        <v>56</v>
      </c>
      <c r="R62" s="70">
        <v>55</v>
      </c>
      <c r="S62" s="70">
        <v>52</v>
      </c>
      <c r="T62" s="70">
        <v>48</v>
      </c>
      <c r="U62" s="70">
        <v>51</v>
      </c>
      <c r="V62" s="70">
        <v>47</v>
      </c>
      <c r="W62" s="70">
        <v>46</v>
      </c>
      <c r="X62" s="70">
        <v>40</v>
      </c>
      <c r="Y62" s="70">
        <v>46</v>
      </c>
      <c r="Z62" s="70">
        <v>47</v>
      </c>
      <c r="AA62" s="70">
        <v>37</v>
      </c>
      <c r="AB62" s="70">
        <v>41</v>
      </c>
      <c r="AC62" s="70">
        <v>44</v>
      </c>
      <c r="AD62" s="70">
        <v>37</v>
      </c>
      <c r="AE62" s="157">
        <v>39</v>
      </c>
    </row>
    <row r="63" spans="1:32" ht="15" customHeight="1" x14ac:dyDescent="0.25">
      <c r="A63" s="156">
        <v>72</v>
      </c>
      <c r="B63" s="17" t="s">
        <v>79</v>
      </c>
      <c r="C63" s="70">
        <v>13</v>
      </c>
      <c r="D63" s="70">
        <v>18</v>
      </c>
      <c r="E63" s="70">
        <v>18</v>
      </c>
      <c r="F63" s="70" t="s">
        <v>383</v>
      </c>
      <c r="G63" s="70">
        <v>27</v>
      </c>
      <c r="H63" s="70" t="s">
        <v>383</v>
      </c>
      <c r="I63" s="70" t="s">
        <v>383</v>
      </c>
      <c r="J63" s="70">
        <v>24</v>
      </c>
      <c r="K63" s="70">
        <v>28</v>
      </c>
      <c r="L63" s="70">
        <v>40</v>
      </c>
      <c r="M63" s="70">
        <v>45</v>
      </c>
      <c r="N63" s="70">
        <v>48</v>
      </c>
      <c r="O63" s="70">
        <v>63</v>
      </c>
      <c r="P63" s="70">
        <v>73</v>
      </c>
      <c r="Q63" s="70">
        <v>67</v>
      </c>
      <c r="R63" s="70">
        <v>68</v>
      </c>
      <c r="S63" s="70">
        <v>70</v>
      </c>
      <c r="T63" s="70">
        <v>72</v>
      </c>
      <c r="U63" s="70">
        <v>75</v>
      </c>
      <c r="V63" s="70">
        <v>85</v>
      </c>
      <c r="W63" s="70">
        <v>80</v>
      </c>
      <c r="X63" s="70">
        <v>77</v>
      </c>
      <c r="Y63" s="70">
        <v>82</v>
      </c>
      <c r="Z63" s="70">
        <v>84</v>
      </c>
      <c r="AA63" s="70">
        <v>85</v>
      </c>
      <c r="AB63" s="70">
        <v>97</v>
      </c>
      <c r="AC63" s="70">
        <v>109</v>
      </c>
      <c r="AD63" s="70">
        <v>116</v>
      </c>
      <c r="AE63" s="157">
        <v>116</v>
      </c>
    </row>
    <row r="64" spans="1:32" ht="15" customHeight="1" x14ac:dyDescent="0.25">
      <c r="A64" s="156">
        <v>73</v>
      </c>
      <c r="B64" s="17" t="s">
        <v>80</v>
      </c>
      <c r="C64" s="70">
        <v>7</v>
      </c>
      <c r="D64" s="70">
        <v>4</v>
      </c>
      <c r="E64" s="70">
        <v>4</v>
      </c>
      <c r="F64" s="70" t="s">
        <v>383</v>
      </c>
      <c r="G64" s="70" t="s">
        <v>383</v>
      </c>
      <c r="H64" s="70" t="s">
        <v>383</v>
      </c>
      <c r="I64" s="70" t="s">
        <v>383</v>
      </c>
      <c r="J64" s="70" t="s">
        <v>383</v>
      </c>
      <c r="K64" s="70" t="s">
        <v>383</v>
      </c>
      <c r="L64" s="70">
        <v>5</v>
      </c>
      <c r="M64" s="70">
        <v>6</v>
      </c>
      <c r="N64" s="70">
        <v>10</v>
      </c>
      <c r="O64" s="70">
        <v>13</v>
      </c>
      <c r="P64" s="70">
        <v>13</v>
      </c>
      <c r="Q64" s="70">
        <v>12</v>
      </c>
      <c r="R64" s="70">
        <v>13</v>
      </c>
      <c r="S64" s="70">
        <v>13</v>
      </c>
      <c r="T64" s="70">
        <v>14</v>
      </c>
      <c r="U64" s="70">
        <v>9</v>
      </c>
      <c r="V64" s="70">
        <v>9</v>
      </c>
      <c r="W64" s="70">
        <v>12</v>
      </c>
      <c r="X64" s="70">
        <v>11</v>
      </c>
      <c r="Y64" s="70">
        <v>13</v>
      </c>
      <c r="Z64" s="70">
        <v>12</v>
      </c>
      <c r="AA64" s="70">
        <v>11</v>
      </c>
      <c r="AB64" s="70">
        <v>13</v>
      </c>
      <c r="AC64" s="70">
        <v>11</v>
      </c>
      <c r="AD64" s="70">
        <v>14</v>
      </c>
      <c r="AE64" s="157">
        <v>16</v>
      </c>
    </row>
    <row r="65" spans="1:32" ht="15" customHeight="1" x14ac:dyDescent="0.25">
      <c r="A65" s="156">
        <v>74</v>
      </c>
      <c r="B65" s="17" t="s">
        <v>81</v>
      </c>
      <c r="C65" s="70">
        <v>604</v>
      </c>
      <c r="D65" s="70">
        <v>633</v>
      </c>
      <c r="E65" s="70">
        <v>661</v>
      </c>
      <c r="F65" s="70">
        <v>685</v>
      </c>
      <c r="G65" s="70">
        <v>739</v>
      </c>
      <c r="H65" s="70">
        <v>716</v>
      </c>
      <c r="I65" s="70">
        <v>684</v>
      </c>
      <c r="J65" s="70">
        <v>748</v>
      </c>
      <c r="K65" s="70">
        <v>837</v>
      </c>
      <c r="L65" s="70">
        <v>890</v>
      </c>
      <c r="M65" s="70">
        <v>958</v>
      </c>
      <c r="N65" s="70">
        <v>1116</v>
      </c>
      <c r="O65" s="70">
        <v>1220</v>
      </c>
      <c r="P65" s="70">
        <v>1183</v>
      </c>
      <c r="Q65" s="70">
        <v>1169</v>
      </c>
      <c r="R65" s="70">
        <v>1183</v>
      </c>
      <c r="S65" s="70">
        <v>1162</v>
      </c>
      <c r="T65" s="70">
        <v>1157</v>
      </c>
      <c r="U65" s="70">
        <v>1144</v>
      </c>
      <c r="V65" s="70">
        <v>1139</v>
      </c>
      <c r="W65" s="70">
        <v>1109</v>
      </c>
      <c r="X65" s="70">
        <v>1108</v>
      </c>
      <c r="Y65" s="70">
        <v>1078</v>
      </c>
      <c r="Z65" s="70">
        <v>1034</v>
      </c>
      <c r="AA65" s="70">
        <v>952</v>
      </c>
      <c r="AB65" s="70">
        <v>900</v>
      </c>
      <c r="AC65" s="70">
        <v>907</v>
      </c>
      <c r="AD65" s="70">
        <v>887</v>
      </c>
      <c r="AE65" s="157">
        <v>829</v>
      </c>
    </row>
    <row r="66" spans="1:32" ht="15" customHeight="1" thickBot="1" x14ac:dyDescent="0.3">
      <c r="A66" s="158">
        <v>75</v>
      </c>
      <c r="B66" s="18" t="s">
        <v>185</v>
      </c>
      <c r="C66" s="71">
        <v>5</v>
      </c>
      <c r="D66" s="71">
        <v>5</v>
      </c>
      <c r="E66" s="71">
        <v>9</v>
      </c>
      <c r="F66" s="71">
        <v>12</v>
      </c>
      <c r="G66" s="71">
        <v>18</v>
      </c>
      <c r="H66" s="71">
        <v>15</v>
      </c>
      <c r="I66" s="71">
        <v>16</v>
      </c>
      <c r="J66" s="71">
        <v>17</v>
      </c>
      <c r="K66" s="71">
        <v>17</v>
      </c>
      <c r="L66" s="71">
        <v>18</v>
      </c>
      <c r="M66" s="71">
        <v>19</v>
      </c>
      <c r="N66" s="71">
        <v>21</v>
      </c>
      <c r="O66" s="71">
        <v>19</v>
      </c>
      <c r="P66" s="71">
        <v>23</v>
      </c>
      <c r="Q66" s="71">
        <v>23</v>
      </c>
      <c r="R66" s="71">
        <v>23</v>
      </c>
      <c r="S66" s="71">
        <v>22</v>
      </c>
      <c r="T66" s="71">
        <v>21</v>
      </c>
      <c r="U66" s="71">
        <v>23</v>
      </c>
      <c r="V66" s="71">
        <v>19</v>
      </c>
      <c r="W66" s="71">
        <v>16</v>
      </c>
      <c r="X66" s="71">
        <v>15</v>
      </c>
      <c r="Y66" s="71">
        <v>12</v>
      </c>
      <c r="Z66" s="71">
        <v>9</v>
      </c>
      <c r="AA66" s="71">
        <v>11</v>
      </c>
      <c r="AB66" s="71">
        <v>12</v>
      </c>
      <c r="AC66" s="71">
        <v>13</v>
      </c>
      <c r="AD66" s="71">
        <v>11</v>
      </c>
      <c r="AE66" s="159">
        <v>11</v>
      </c>
    </row>
    <row r="67" spans="1:32" s="11" customFormat="1" ht="15" customHeight="1" thickBot="1" x14ac:dyDescent="0.3">
      <c r="A67" s="160" t="s">
        <v>83</v>
      </c>
      <c r="B67" s="19" t="s">
        <v>84</v>
      </c>
      <c r="C67" s="64">
        <v>184</v>
      </c>
      <c r="D67" s="64">
        <v>193</v>
      </c>
      <c r="E67" s="64">
        <v>187</v>
      </c>
      <c r="F67" s="64">
        <v>201</v>
      </c>
      <c r="G67" s="64">
        <v>196</v>
      </c>
      <c r="H67" s="64">
        <v>193</v>
      </c>
      <c r="I67" s="64">
        <v>190</v>
      </c>
      <c r="J67" s="64">
        <v>199</v>
      </c>
      <c r="K67" s="64">
        <v>206</v>
      </c>
      <c r="L67" s="64">
        <v>217</v>
      </c>
      <c r="M67" s="64">
        <v>237</v>
      </c>
      <c r="N67" s="64">
        <v>253</v>
      </c>
      <c r="O67" s="64">
        <v>286</v>
      </c>
      <c r="P67" s="64">
        <v>280</v>
      </c>
      <c r="Q67" s="64">
        <v>276</v>
      </c>
      <c r="R67" s="64">
        <v>270</v>
      </c>
      <c r="S67" s="64">
        <v>275</v>
      </c>
      <c r="T67" s="64">
        <v>267</v>
      </c>
      <c r="U67" s="64">
        <v>265</v>
      </c>
      <c r="V67" s="64">
        <v>265</v>
      </c>
      <c r="W67" s="64">
        <v>264</v>
      </c>
      <c r="X67" s="64">
        <v>265</v>
      </c>
      <c r="Y67" s="64">
        <v>255</v>
      </c>
      <c r="Z67" s="64">
        <v>247</v>
      </c>
      <c r="AA67" s="64">
        <v>233</v>
      </c>
      <c r="AB67" s="64">
        <v>236</v>
      </c>
      <c r="AC67" s="64">
        <v>233</v>
      </c>
      <c r="AD67" s="64">
        <v>238</v>
      </c>
      <c r="AE67" s="145">
        <v>232</v>
      </c>
      <c r="AF67" s="10"/>
    </row>
    <row r="68" spans="1:32" ht="15" customHeight="1" thickBot="1" x14ac:dyDescent="0.3">
      <c r="A68" s="150">
        <v>80</v>
      </c>
      <c r="B68" s="14" t="s">
        <v>85</v>
      </c>
      <c r="C68" s="70">
        <v>184</v>
      </c>
      <c r="D68" s="67">
        <v>193</v>
      </c>
      <c r="E68" s="67">
        <v>187</v>
      </c>
      <c r="F68" s="67">
        <v>201</v>
      </c>
      <c r="G68" s="67">
        <v>196</v>
      </c>
      <c r="H68" s="67">
        <v>193</v>
      </c>
      <c r="I68" s="67">
        <v>190</v>
      </c>
      <c r="J68" s="67">
        <v>199</v>
      </c>
      <c r="K68" s="67">
        <v>206</v>
      </c>
      <c r="L68" s="67">
        <v>217</v>
      </c>
      <c r="M68" s="67">
        <v>237</v>
      </c>
      <c r="N68" s="67">
        <v>253</v>
      </c>
      <c r="O68" s="67">
        <v>286</v>
      </c>
      <c r="P68" s="67">
        <v>280</v>
      </c>
      <c r="Q68" s="67">
        <v>276</v>
      </c>
      <c r="R68" s="67">
        <v>270</v>
      </c>
      <c r="S68" s="67">
        <v>275</v>
      </c>
      <c r="T68" s="67">
        <v>267</v>
      </c>
      <c r="U68" s="67">
        <v>265</v>
      </c>
      <c r="V68" s="67">
        <v>265</v>
      </c>
      <c r="W68" s="67">
        <v>264</v>
      </c>
      <c r="X68" s="67">
        <v>265</v>
      </c>
      <c r="Y68" s="67">
        <v>255</v>
      </c>
      <c r="Z68" s="67">
        <v>247</v>
      </c>
      <c r="AA68" s="67">
        <v>233</v>
      </c>
      <c r="AB68" s="67">
        <v>236</v>
      </c>
      <c r="AC68" s="67">
        <v>233</v>
      </c>
      <c r="AD68" s="67">
        <v>238</v>
      </c>
      <c r="AE68" s="151">
        <v>232</v>
      </c>
    </row>
    <row r="69" spans="1:32" s="11" customFormat="1" ht="15" customHeight="1" thickBot="1" x14ac:dyDescent="0.3">
      <c r="A69" s="144" t="s">
        <v>86</v>
      </c>
      <c r="B69" s="9" t="s">
        <v>87</v>
      </c>
      <c r="C69" s="64">
        <v>334</v>
      </c>
      <c r="D69" s="64">
        <v>356</v>
      </c>
      <c r="E69" s="64">
        <v>361</v>
      </c>
      <c r="F69" s="64">
        <v>370</v>
      </c>
      <c r="G69" s="64">
        <v>377</v>
      </c>
      <c r="H69" s="64">
        <v>381</v>
      </c>
      <c r="I69" s="64">
        <v>367</v>
      </c>
      <c r="J69" s="64">
        <v>374</v>
      </c>
      <c r="K69" s="64">
        <v>405</v>
      </c>
      <c r="L69" s="64">
        <v>445</v>
      </c>
      <c r="M69" s="64">
        <v>498</v>
      </c>
      <c r="N69" s="64">
        <v>589</v>
      </c>
      <c r="O69" s="64">
        <v>664</v>
      </c>
      <c r="P69" s="64">
        <v>688</v>
      </c>
      <c r="Q69" s="64">
        <v>699</v>
      </c>
      <c r="R69" s="64">
        <v>710</v>
      </c>
      <c r="S69" s="64">
        <v>734</v>
      </c>
      <c r="T69" s="64">
        <v>757</v>
      </c>
      <c r="U69" s="64">
        <v>777</v>
      </c>
      <c r="V69" s="64">
        <v>788</v>
      </c>
      <c r="W69" s="64">
        <v>804</v>
      </c>
      <c r="X69" s="64">
        <v>806</v>
      </c>
      <c r="Y69" s="64">
        <v>800</v>
      </c>
      <c r="Z69" s="64">
        <v>791</v>
      </c>
      <c r="AA69" s="64">
        <v>749</v>
      </c>
      <c r="AB69" s="64">
        <v>737</v>
      </c>
      <c r="AC69" s="64">
        <v>735</v>
      </c>
      <c r="AD69" s="64">
        <v>724</v>
      </c>
      <c r="AE69" s="145">
        <v>709</v>
      </c>
      <c r="AF69" s="10"/>
    </row>
    <row r="70" spans="1:32" ht="15" customHeight="1" thickBot="1" x14ac:dyDescent="0.3">
      <c r="A70" s="150">
        <v>85</v>
      </c>
      <c r="B70" s="14" t="s">
        <v>88</v>
      </c>
      <c r="C70" s="67">
        <v>334</v>
      </c>
      <c r="D70" s="67">
        <v>356</v>
      </c>
      <c r="E70" s="67">
        <v>361</v>
      </c>
      <c r="F70" s="67">
        <v>370</v>
      </c>
      <c r="G70" s="67">
        <v>377</v>
      </c>
      <c r="H70" s="67">
        <v>381</v>
      </c>
      <c r="I70" s="67">
        <v>367</v>
      </c>
      <c r="J70" s="67">
        <v>374</v>
      </c>
      <c r="K70" s="67">
        <v>405</v>
      </c>
      <c r="L70" s="67">
        <v>445</v>
      </c>
      <c r="M70" s="67">
        <v>498</v>
      </c>
      <c r="N70" s="67">
        <v>589</v>
      </c>
      <c r="O70" s="67">
        <v>664</v>
      </c>
      <c r="P70" s="67">
        <v>688</v>
      </c>
      <c r="Q70" s="67">
        <v>699</v>
      </c>
      <c r="R70" s="67">
        <v>710</v>
      </c>
      <c r="S70" s="67">
        <v>734</v>
      </c>
      <c r="T70" s="67">
        <v>757</v>
      </c>
      <c r="U70" s="67">
        <v>777</v>
      </c>
      <c r="V70" s="67">
        <v>788</v>
      </c>
      <c r="W70" s="67">
        <v>804</v>
      </c>
      <c r="X70" s="67">
        <v>806</v>
      </c>
      <c r="Y70" s="67">
        <v>800</v>
      </c>
      <c r="Z70" s="67">
        <v>791</v>
      </c>
      <c r="AA70" s="67">
        <v>749</v>
      </c>
      <c r="AB70" s="67">
        <v>737</v>
      </c>
      <c r="AC70" s="67">
        <v>735</v>
      </c>
      <c r="AD70" s="67">
        <v>724</v>
      </c>
      <c r="AE70" s="151">
        <v>709</v>
      </c>
    </row>
    <row r="71" spans="1:32" s="11" customFormat="1" ht="15" customHeight="1" thickBot="1" x14ac:dyDescent="0.3">
      <c r="A71" s="144" t="s">
        <v>89</v>
      </c>
      <c r="B71" s="9" t="s">
        <v>90</v>
      </c>
      <c r="C71" s="64">
        <v>620</v>
      </c>
      <c r="D71" s="64">
        <v>644</v>
      </c>
      <c r="E71" s="64">
        <v>642</v>
      </c>
      <c r="F71" s="64">
        <v>656</v>
      </c>
      <c r="G71" s="64">
        <v>690</v>
      </c>
      <c r="H71" s="64">
        <v>689</v>
      </c>
      <c r="I71" s="64">
        <v>677</v>
      </c>
      <c r="J71" s="64">
        <v>730</v>
      </c>
      <c r="K71" s="64">
        <v>816</v>
      </c>
      <c r="L71" s="64">
        <v>863</v>
      </c>
      <c r="M71" s="64">
        <v>911</v>
      </c>
      <c r="N71" s="64">
        <v>1024</v>
      </c>
      <c r="O71" s="64">
        <v>1091</v>
      </c>
      <c r="P71" s="64">
        <v>1100</v>
      </c>
      <c r="Q71" s="64">
        <v>1095</v>
      </c>
      <c r="R71" s="64">
        <v>1089</v>
      </c>
      <c r="S71" s="64">
        <v>1077</v>
      </c>
      <c r="T71" s="64">
        <v>1064</v>
      </c>
      <c r="U71" s="64">
        <v>1034</v>
      </c>
      <c r="V71" s="64">
        <v>1026</v>
      </c>
      <c r="W71" s="64">
        <v>1008</v>
      </c>
      <c r="X71" s="64">
        <v>984</v>
      </c>
      <c r="Y71" s="64">
        <v>972</v>
      </c>
      <c r="Z71" s="64">
        <v>924</v>
      </c>
      <c r="AA71" s="64">
        <v>848</v>
      </c>
      <c r="AB71" s="64">
        <v>822</v>
      </c>
      <c r="AC71" s="64">
        <v>832</v>
      </c>
      <c r="AD71" s="64">
        <v>787</v>
      </c>
      <c r="AE71" s="145">
        <v>782</v>
      </c>
      <c r="AF71" s="10"/>
    </row>
    <row r="72" spans="1:32" ht="15" customHeight="1" x14ac:dyDescent="0.25">
      <c r="A72" s="146">
        <v>90</v>
      </c>
      <c r="B72" s="12" t="s">
        <v>91</v>
      </c>
      <c r="C72" s="65">
        <v>12</v>
      </c>
      <c r="D72" s="65">
        <v>10</v>
      </c>
      <c r="E72" s="65">
        <v>11</v>
      </c>
      <c r="F72" s="65">
        <v>9</v>
      </c>
      <c r="G72" s="65">
        <v>7</v>
      </c>
      <c r="H72" s="65">
        <v>6</v>
      </c>
      <c r="I72" s="65">
        <v>5</v>
      </c>
      <c r="J72" s="65">
        <v>7</v>
      </c>
      <c r="K72" s="65">
        <v>6</v>
      </c>
      <c r="L72" s="65">
        <v>7</v>
      </c>
      <c r="M72" s="65">
        <v>6</v>
      </c>
      <c r="N72" s="65">
        <v>4</v>
      </c>
      <c r="O72" s="65">
        <v>4</v>
      </c>
      <c r="P72" s="65">
        <v>6</v>
      </c>
      <c r="Q72" s="65">
        <v>5</v>
      </c>
      <c r="R72" s="65">
        <v>5</v>
      </c>
      <c r="S72" s="65">
        <v>5</v>
      </c>
      <c r="T72" s="65">
        <v>7</v>
      </c>
      <c r="U72" s="65">
        <v>7</v>
      </c>
      <c r="V72" s="65">
        <v>9</v>
      </c>
      <c r="W72" s="65">
        <v>10</v>
      </c>
      <c r="X72" s="65">
        <v>11</v>
      </c>
      <c r="Y72" s="65">
        <v>10</v>
      </c>
      <c r="Z72" s="65">
        <v>11</v>
      </c>
      <c r="AA72" s="65">
        <v>12</v>
      </c>
      <c r="AB72" s="65">
        <v>11</v>
      </c>
      <c r="AC72" s="65">
        <v>11</v>
      </c>
      <c r="AD72" s="65">
        <v>10</v>
      </c>
      <c r="AE72" s="147">
        <v>10</v>
      </c>
    </row>
    <row r="73" spans="1:32" ht="15" customHeight="1" x14ac:dyDescent="0.25">
      <c r="A73" s="156">
        <v>91</v>
      </c>
      <c r="B73" s="17" t="s">
        <v>92</v>
      </c>
      <c r="C73" s="70">
        <v>263</v>
      </c>
      <c r="D73" s="70">
        <v>269</v>
      </c>
      <c r="E73" s="70">
        <v>265</v>
      </c>
      <c r="F73" s="70">
        <v>269</v>
      </c>
      <c r="G73" s="70">
        <v>284</v>
      </c>
      <c r="H73" s="70">
        <v>285</v>
      </c>
      <c r="I73" s="70">
        <v>278</v>
      </c>
      <c r="J73" s="70">
        <v>294</v>
      </c>
      <c r="K73" s="70">
        <v>314</v>
      </c>
      <c r="L73" s="70">
        <v>312</v>
      </c>
      <c r="M73" s="70">
        <v>312</v>
      </c>
      <c r="N73" s="70">
        <v>317</v>
      </c>
      <c r="O73" s="70">
        <v>327</v>
      </c>
      <c r="P73" s="70">
        <v>333</v>
      </c>
      <c r="Q73" s="70">
        <v>342</v>
      </c>
      <c r="R73" s="70">
        <v>353</v>
      </c>
      <c r="S73" s="70">
        <v>357</v>
      </c>
      <c r="T73" s="70">
        <v>351</v>
      </c>
      <c r="U73" s="70">
        <v>352</v>
      </c>
      <c r="V73" s="70">
        <v>358</v>
      </c>
      <c r="W73" s="70">
        <v>351</v>
      </c>
      <c r="X73" s="70">
        <v>345</v>
      </c>
      <c r="Y73" s="70">
        <v>340</v>
      </c>
      <c r="Z73" s="70">
        <v>336</v>
      </c>
      <c r="AA73" s="70">
        <v>324</v>
      </c>
      <c r="AB73" s="70">
        <v>316</v>
      </c>
      <c r="AC73" s="70">
        <v>315</v>
      </c>
      <c r="AD73" s="70">
        <v>297</v>
      </c>
      <c r="AE73" s="157">
        <v>295</v>
      </c>
    </row>
    <row r="74" spans="1:32" ht="15" customHeight="1" x14ac:dyDescent="0.25">
      <c r="A74" s="156">
        <v>92</v>
      </c>
      <c r="B74" s="17" t="s">
        <v>93</v>
      </c>
      <c r="C74" s="70">
        <v>107</v>
      </c>
      <c r="D74" s="70">
        <v>106</v>
      </c>
      <c r="E74" s="70">
        <v>105</v>
      </c>
      <c r="F74" s="70">
        <v>101</v>
      </c>
      <c r="G74" s="70">
        <v>105</v>
      </c>
      <c r="H74" s="70">
        <v>103</v>
      </c>
      <c r="I74" s="70">
        <v>96</v>
      </c>
      <c r="J74" s="70">
        <v>111</v>
      </c>
      <c r="K74" s="70">
        <v>119</v>
      </c>
      <c r="L74" s="70">
        <v>135</v>
      </c>
      <c r="M74" s="70">
        <v>148</v>
      </c>
      <c r="N74" s="70">
        <v>191</v>
      </c>
      <c r="O74" s="70">
        <v>226</v>
      </c>
      <c r="P74" s="70">
        <v>216</v>
      </c>
      <c r="Q74" s="70">
        <v>212</v>
      </c>
      <c r="R74" s="70">
        <v>214</v>
      </c>
      <c r="S74" s="70">
        <v>219</v>
      </c>
      <c r="T74" s="70">
        <v>218</v>
      </c>
      <c r="U74" s="70">
        <v>215</v>
      </c>
      <c r="V74" s="70">
        <v>223</v>
      </c>
      <c r="W74" s="70">
        <v>223</v>
      </c>
      <c r="X74" s="70">
        <v>231</v>
      </c>
      <c r="Y74" s="70">
        <v>225</v>
      </c>
      <c r="Z74" s="70">
        <v>215</v>
      </c>
      <c r="AA74" s="70">
        <v>181</v>
      </c>
      <c r="AB74" s="70">
        <v>182</v>
      </c>
      <c r="AC74" s="70">
        <v>195</v>
      </c>
      <c r="AD74" s="70">
        <v>185</v>
      </c>
      <c r="AE74" s="157">
        <v>187</v>
      </c>
    </row>
    <row r="75" spans="1:32" ht="15" customHeight="1" thickBot="1" x14ac:dyDescent="0.3">
      <c r="A75" s="158">
        <v>93</v>
      </c>
      <c r="B75" s="18" t="s">
        <v>94</v>
      </c>
      <c r="C75" s="76">
        <v>238</v>
      </c>
      <c r="D75" s="76">
        <v>259</v>
      </c>
      <c r="E75" s="76">
        <v>261</v>
      </c>
      <c r="F75" s="76">
        <v>277</v>
      </c>
      <c r="G75" s="76">
        <v>294</v>
      </c>
      <c r="H75" s="76">
        <v>295</v>
      </c>
      <c r="I75" s="76">
        <v>298</v>
      </c>
      <c r="J75" s="76">
        <v>318</v>
      </c>
      <c r="K75" s="76">
        <v>377</v>
      </c>
      <c r="L75" s="76">
        <v>409</v>
      </c>
      <c r="M75" s="76">
        <v>445</v>
      </c>
      <c r="N75" s="76">
        <v>512</v>
      </c>
      <c r="O75" s="76">
        <v>534</v>
      </c>
      <c r="P75" s="76">
        <v>545</v>
      </c>
      <c r="Q75" s="76">
        <v>536</v>
      </c>
      <c r="R75" s="76">
        <v>517</v>
      </c>
      <c r="S75" s="76">
        <v>496</v>
      </c>
      <c r="T75" s="76">
        <v>488</v>
      </c>
      <c r="U75" s="76">
        <v>460</v>
      </c>
      <c r="V75" s="76">
        <v>436</v>
      </c>
      <c r="W75" s="76">
        <v>424</v>
      </c>
      <c r="X75" s="76">
        <v>397</v>
      </c>
      <c r="Y75" s="76">
        <v>397</v>
      </c>
      <c r="Z75" s="76">
        <v>362</v>
      </c>
      <c r="AA75" s="76">
        <v>331</v>
      </c>
      <c r="AB75" s="76">
        <v>313</v>
      </c>
      <c r="AC75" s="76">
        <v>311</v>
      </c>
      <c r="AD75" s="76">
        <v>295</v>
      </c>
      <c r="AE75" s="165">
        <v>290</v>
      </c>
    </row>
    <row r="76" spans="1:32" s="23" customFormat="1" ht="15" customHeight="1" thickBot="1" x14ac:dyDescent="0.3">
      <c r="A76" s="166"/>
      <c r="B76" s="167" t="s">
        <v>95</v>
      </c>
      <c r="C76" s="168">
        <v>7443</v>
      </c>
      <c r="D76" s="168">
        <v>7657</v>
      </c>
      <c r="E76" s="168">
        <v>7734</v>
      </c>
      <c r="F76" s="168">
        <v>7839</v>
      </c>
      <c r="G76" s="168">
        <v>8023</v>
      </c>
      <c r="H76" s="168">
        <v>7810</v>
      </c>
      <c r="I76" s="168">
        <v>7496</v>
      </c>
      <c r="J76" s="168">
        <v>8020</v>
      </c>
      <c r="K76" s="168">
        <v>8956</v>
      </c>
      <c r="L76" s="168">
        <v>9496</v>
      </c>
      <c r="M76" s="168">
        <v>10499</v>
      </c>
      <c r="N76" s="168">
        <v>12336</v>
      </c>
      <c r="O76" s="168">
        <v>13776</v>
      </c>
      <c r="P76" s="168">
        <v>13918</v>
      </c>
      <c r="Q76" s="168">
        <v>13753</v>
      </c>
      <c r="R76" s="168">
        <v>13940</v>
      </c>
      <c r="S76" s="168">
        <v>13883</v>
      </c>
      <c r="T76" s="168">
        <v>13854</v>
      </c>
      <c r="U76" s="168">
        <v>13732</v>
      </c>
      <c r="V76" s="168">
        <v>13661</v>
      </c>
      <c r="W76" s="168">
        <v>13628</v>
      </c>
      <c r="X76" s="168">
        <v>13668</v>
      </c>
      <c r="Y76" s="168">
        <v>13298</v>
      </c>
      <c r="Z76" s="168">
        <v>12908</v>
      </c>
      <c r="AA76" s="168">
        <v>12251</v>
      </c>
      <c r="AB76" s="168">
        <v>12098</v>
      </c>
      <c r="AC76" s="168">
        <v>12356</v>
      </c>
      <c r="AD76" s="168">
        <v>12212</v>
      </c>
      <c r="AE76" s="169">
        <v>12230</v>
      </c>
      <c r="AF76" s="22"/>
    </row>
    <row r="77" spans="1:32" ht="12" customHeight="1" x14ac:dyDescent="0.25">
      <c r="A77" s="7"/>
      <c r="B77" s="7"/>
      <c r="C77" s="7"/>
      <c r="D77" s="7"/>
      <c r="E77" s="24"/>
      <c r="F77" s="7"/>
      <c r="G77" s="25"/>
      <c r="H77" s="7"/>
      <c r="I77" s="7"/>
      <c r="J77" s="7"/>
      <c r="K77" s="7"/>
      <c r="L77" s="7"/>
      <c r="M77" s="7"/>
      <c r="N77" s="7"/>
      <c r="O77" s="7"/>
      <c r="P77" s="7"/>
      <c r="Q77" s="7"/>
      <c r="R77" s="7"/>
      <c r="S77" s="7"/>
      <c r="T77" s="7"/>
      <c r="U77" s="7"/>
      <c r="V77" s="7"/>
      <c r="W77" s="7"/>
      <c r="X77" s="7"/>
      <c r="Y77" s="7"/>
      <c r="Z77" s="7"/>
      <c r="AA77" s="7"/>
      <c r="AB77" s="7"/>
      <c r="AC77" s="7"/>
      <c r="AD77" s="7"/>
      <c r="AE77" s="7"/>
    </row>
    <row r="78" spans="1:32" ht="11.25" x14ac:dyDescent="0.25">
      <c r="A78" s="307" t="s">
        <v>96</v>
      </c>
      <c r="B78" s="307"/>
      <c r="C78" s="277"/>
      <c r="D78" s="277"/>
      <c r="E78" s="277"/>
      <c r="F78" s="26"/>
      <c r="G78" s="26"/>
      <c r="H78" s="7"/>
      <c r="I78" s="7"/>
      <c r="J78" s="7"/>
      <c r="K78" s="7"/>
      <c r="L78" s="7"/>
      <c r="M78" s="7"/>
      <c r="N78" s="7"/>
      <c r="O78" s="7"/>
      <c r="P78" s="7"/>
      <c r="Q78" s="7"/>
      <c r="R78" s="7"/>
      <c r="S78" s="7"/>
      <c r="T78" s="7"/>
      <c r="U78" s="7"/>
      <c r="V78" s="7"/>
      <c r="W78" s="7"/>
      <c r="X78" s="7"/>
      <c r="Y78" s="7"/>
      <c r="Z78" s="7"/>
      <c r="AA78" s="7"/>
      <c r="AB78" s="7"/>
      <c r="AC78" s="7"/>
      <c r="AD78" s="7"/>
      <c r="AE78" s="7"/>
    </row>
    <row r="79" spans="1:32" ht="26.45" customHeight="1" x14ac:dyDescent="0.25">
      <c r="A79" s="307" t="s">
        <v>381</v>
      </c>
      <c r="B79" s="307"/>
      <c r="C79" s="307"/>
      <c r="D79" s="277"/>
      <c r="E79" s="277"/>
      <c r="F79" s="277"/>
      <c r="G79" s="277"/>
      <c r="H79" s="27"/>
      <c r="I79" s="27"/>
      <c r="J79" s="27"/>
      <c r="K79" s="27"/>
      <c r="L79" s="7"/>
      <c r="M79" s="7"/>
      <c r="N79" s="7"/>
      <c r="O79" s="7"/>
      <c r="P79" s="7"/>
      <c r="Q79" s="7"/>
      <c r="R79" s="7"/>
      <c r="S79" s="7"/>
      <c r="T79" s="7"/>
      <c r="U79" s="7"/>
      <c r="V79" s="7"/>
      <c r="W79" s="7"/>
      <c r="X79" s="7"/>
      <c r="Y79" s="7"/>
      <c r="Z79" s="7"/>
      <c r="AA79" s="7"/>
      <c r="AB79" s="7"/>
      <c r="AC79" s="7"/>
      <c r="AD79" s="7"/>
      <c r="AE79" s="7"/>
    </row>
    <row r="80" spans="1:32" ht="26.45" customHeight="1" x14ac:dyDescent="0.25">
      <c r="A80" s="307" t="s">
        <v>382</v>
      </c>
      <c r="B80" s="307"/>
      <c r="C80" s="307"/>
      <c r="D80" s="277"/>
      <c r="E80" s="277"/>
      <c r="F80" s="277"/>
      <c r="G80" s="277"/>
      <c r="H80" s="27"/>
      <c r="I80" s="27"/>
      <c r="J80" s="27"/>
      <c r="K80" s="27"/>
      <c r="L80" s="7"/>
      <c r="M80" s="7"/>
      <c r="N80" s="7"/>
      <c r="O80" s="7"/>
      <c r="P80" s="7"/>
      <c r="Q80" s="7"/>
      <c r="R80" s="7"/>
      <c r="S80" s="7"/>
      <c r="T80" s="7"/>
      <c r="U80" s="7"/>
      <c r="V80" s="7"/>
      <c r="W80" s="7"/>
      <c r="X80" s="7"/>
      <c r="Y80" s="7"/>
      <c r="Z80" s="7"/>
      <c r="AA80" s="7"/>
      <c r="AB80" s="7"/>
      <c r="AC80" s="7"/>
      <c r="AD80" s="7"/>
      <c r="AE80" s="7"/>
    </row>
    <row r="81" spans="1:32" ht="26.45" customHeight="1" x14ac:dyDescent="0.25">
      <c r="A81" s="307" t="s">
        <v>151</v>
      </c>
      <c r="B81" s="307"/>
      <c r="C81" s="307"/>
      <c r="D81" s="277"/>
      <c r="E81" s="277"/>
      <c r="F81" s="277"/>
      <c r="G81" s="277"/>
      <c r="H81" s="27"/>
      <c r="I81" s="27"/>
      <c r="J81" s="27"/>
      <c r="K81" s="27"/>
      <c r="L81" s="7"/>
      <c r="M81" s="7"/>
      <c r="N81" s="7"/>
      <c r="O81" s="7"/>
      <c r="P81" s="7"/>
      <c r="Q81" s="7"/>
      <c r="R81" s="7"/>
      <c r="S81" s="7"/>
      <c r="T81" s="7"/>
      <c r="U81" s="7"/>
      <c r="V81" s="7"/>
      <c r="W81" s="7"/>
      <c r="X81" s="7"/>
      <c r="Y81" s="7"/>
      <c r="Z81" s="7"/>
      <c r="AA81" s="7"/>
      <c r="AB81" s="7"/>
      <c r="AC81" s="7"/>
      <c r="AD81" s="7"/>
      <c r="AE81" s="7"/>
    </row>
    <row r="82" spans="1:32" ht="46.5" customHeight="1" x14ac:dyDescent="0.25">
      <c r="A82" s="307" t="s">
        <v>384</v>
      </c>
      <c r="B82" s="307"/>
      <c r="C82" s="307"/>
      <c r="D82" s="307"/>
      <c r="E82" s="307"/>
      <c r="F82" s="307"/>
      <c r="G82" s="307"/>
      <c r="H82" s="28"/>
      <c r="I82" s="28"/>
      <c r="J82" s="28"/>
      <c r="K82" s="29"/>
      <c r="L82" s="29"/>
      <c r="M82" s="29"/>
      <c r="N82" s="29"/>
      <c r="O82" s="29"/>
      <c r="P82" s="29"/>
      <c r="Q82" s="29"/>
      <c r="R82" s="29"/>
      <c r="S82" s="29"/>
      <c r="T82" s="29"/>
      <c r="U82" s="29"/>
      <c r="V82" s="29"/>
      <c r="W82" s="29"/>
      <c r="X82" s="29"/>
      <c r="Y82" s="29"/>
      <c r="Z82" s="29"/>
      <c r="AA82" s="29"/>
      <c r="AB82" s="29"/>
      <c r="AC82" s="29"/>
      <c r="AD82" s="29"/>
      <c r="AE82" s="29"/>
      <c r="AF82" s="29"/>
    </row>
    <row r="83" spans="1:32" ht="19.899999999999999" customHeight="1" x14ac:dyDescent="0.25">
      <c r="A83" s="276"/>
      <c r="B83" s="276"/>
      <c r="C83" s="276"/>
      <c r="D83" s="276"/>
      <c r="E83" s="276"/>
      <c r="F83" s="276"/>
      <c r="G83" s="276"/>
      <c r="H83" s="28"/>
      <c r="I83" s="28"/>
      <c r="J83" s="28"/>
      <c r="K83" s="7"/>
      <c r="L83" s="7"/>
      <c r="M83" s="7"/>
      <c r="N83" s="7"/>
      <c r="O83" s="7"/>
      <c r="P83" s="7"/>
      <c r="Q83" s="7"/>
      <c r="R83" s="7"/>
      <c r="S83" s="7"/>
      <c r="T83" s="7"/>
      <c r="U83" s="7"/>
      <c r="V83" s="7"/>
      <c r="W83" s="7"/>
      <c r="X83" s="7"/>
      <c r="Y83" s="7"/>
      <c r="Z83" s="7"/>
      <c r="AA83" s="7"/>
      <c r="AB83" s="7"/>
      <c r="AC83" s="7"/>
      <c r="AD83" s="7"/>
      <c r="AE83" s="7"/>
    </row>
    <row r="84" spans="1:32" ht="6.75" customHeight="1" x14ac:dyDescent="0.25">
      <c r="A84" s="7"/>
      <c r="B84" s="7"/>
      <c r="C84" s="7"/>
      <c r="D84" s="7"/>
      <c r="E84" s="7"/>
      <c r="F84" s="7"/>
      <c r="G84" s="7"/>
      <c r="H84" s="7"/>
      <c r="I84" s="7"/>
      <c r="J84" s="7"/>
      <c r="K84" s="7"/>
      <c r="L84" s="7"/>
      <c r="M84" s="7"/>
      <c r="N84" s="7"/>
      <c r="O84" s="7"/>
      <c r="P84" s="7"/>
      <c r="Q84" s="7"/>
      <c r="R84" s="7"/>
      <c r="S84" s="7"/>
      <c r="T84" s="7"/>
      <c r="U84" s="7"/>
      <c r="V84" s="7"/>
      <c r="W84" s="7"/>
      <c r="X84" s="7"/>
      <c r="Y84" s="7"/>
      <c r="Z84" s="7"/>
      <c r="AA84" s="7"/>
      <c r="AB84" s="7"/>
      <c r="AC84" s="7"/>
      <c r="AD84" s="7"/>
      <c r="AE84" s="7"/>
    </row>
    <row r="85" spans="1:32" ht="0" hidden="1" customHeight="1" x14ac:dyDescent="0.25"/>
    <row r="86" spans="1:32" ht="0" hidden="1" customHeight="1" x14ac:dyDescent="0.25"/>
    <row r="87" spans="1:32" ht="0" hidden="1" customHeight="1" x14ac:dyDescent="0.25"/>
    <row r="88" spans="1:32" ht="0" hidden="1" customHeight="1" x14ac:dyDescent="0.25"/>
    <row r="89" spans="1:32" ht="0" hidden="1" customHeight="1" x14ac:dyDescent="0.25"/>
    <row r="90" spans="1:32" ht="0" hidden="1" customHeight="1" x14ac:dyDescent="0.25"/>
    <row r="91" spans="1:32" ht="0" hidden="1" customHeight="1" x14ac:dyDescent="0.25"/>
    <row r="92" spans="1:32" ht="0" hidden="1" customHeight="1" x14ac:dyDescent="0.25"/>
    <row r="93" spans="1:32" ht="0" hidden="1" customHeight="1" x14ac:dyDescent="0.25"/>
    <row r="94" spans="1:32" ht="0" hidden="1" customHeight="1" x14ac:dyDescent="0.25"/>
  </sheetData>
  <mergeCells count="37">
    <mergeCell ref="Q4:Q5"/>
    <mergeCell ref="F4:F5"/>
    <mergeCell ref="G4:G5"/>
    <mergeCell ref="A82:G82"/>
    <mergeCell ref="W4:W5"/>
    <mergeCell ref="A79:C79"/>
    <mergeCell ref="A80:C80"/>
    <mergeCell ref="A81:C81"/>
    <mergeCell ref="A78:B78"/>
    <mergeCell ref="H4:H5"/>
    <mergeCell ref="X4:X5"/>
    <mergeCell ref="S4:S5"/>
    <mergeCell ref="T4:T5"/>
    <mergeCell ref="U4:U5"/>
    <mergeCell ref="V4:V5"/>
    <mergeCell ref="A2:C2"/>
    <mergeCell ref="B4:B5"/>
    <mergeCell ref="C4:C5"/>
    <mergeCell ref="D4:D5"/>
    <mergeCell ref="E4:E5"/>
    <mergeCell ref="A4:A5"/>
    <mergeCell ref="AB4:AB5"/>
    <mergeCell ref="I4:I5"/>
    <mergeCell ref="O4:O5"/>
    <mergeCell ref="AE4:AE5"/>
    <mergeCell ref="J4:J5"/>
    <mergeCell ref="AA4:AA5"/>
    <mergeCell ref="Z4:Z5"/>
    <mergeCell ref="Y4:Y5"/>
    <mergeCell ref="R4:R5"/>
    <mergeCell ref="K4:K5"/>
    <mergeCell ref="L4:L5"/>
    <mergeCell ref="M4:M5"/>
    <mergeCell ref="N4:N5"/>
    <mergeCell ref="AC4:AC5"/>
    <mergeCell ref="P4:P5"/>
    <mergeCell ref="AD4:AD5"/>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38"/>
  <dimension ref="A1:DX87"/>
  <sheetViews>
    <sheetView zoomScale="115" zoomScaleNormal="115" workbookViewId="0">
      <pane xSplit="2" ySplit="5" topLeftCell="C6" activePane="bottomRight" state="frozen"/>
      <selection activeCell="C6" sqref="C6"/>
      <selection pane="topRight" activeCell="C6" sqref="C6"/>
      <selection pane="bottomLeft" activeCell="C6" sqref="C6"/>
      <selection pane="bottomRight" activeCell="C6" sqref="C6"/>
    </sheetView>
  </sheetViews>
  <sheetFormatPr baseColWidth="10" defaultColWidth="0" defaultRowHeight="0" customHeight="1" zeroHeight="1" x14ac:dyDescent="0.25"/>
  <cols>
    <col min="1" max="1" width="5.7109375" style="8" customWidth="1"/>
    <col min="2" max="2" width="62.7109375" style="8" customWidth="1"/>
    <col min="3" max="4" width="11.140625" style="30" customWidth="1"/>
    <col min="5" max="6" width="11.140625" style="8" customWidth="1"/>
    <col min="7" max="7" width="11.140625" style="31" customWidth="1"/>
    <col min="8" max="32" width="11.140625" style="8" customWidth="1"/>
    <col min="33" max="33" width="12.140625" style="7" customWidth="1"/>
    <col min="34" max="128" width="0" style="8" hidden="1" customWidth="1"/>
    <col min="129" max="16384" width="5.42578125" style="8" hidden="1"/>
  </cols>
  <sheetData>
    <row r="1" spans="1:33" s="5" customFormat="1" ht="25.5" customHeight="1" thickBot="1" x14ac:dyDescent="0.25">
      <c r="A1" s="1"/>
      <c r="B1" s="2"/>
      <c r="C1" s="3"/>
      <c r="D1" s="172" t="s">
        <v>0</v>
      </c>
      <c r="E1" s="171"/>
      <c r="F1" s="171"/>
      <c r="G1" s="173"/>
      <c r="H1" s="171"/>
      <c r="I1" s="171"/>
      <c r="J1" s="171"/>
      <c r="K1" s="171"/>
      <c r="L1" s="171"/>
      <c r="M1" s="171"/>
      <c r="N1" s="171"/>
      <c r="O1" s="171"/>
      <c r="P1" s="171"/>
      <c r="Q1" s="171"/>
      <c r="R1" s="171"/>
      <c r="S1" s="171"/>
      <c r="T1" s="171"/>
      <c r="U1" s="171"/>
      <c r="V1" s="171"/>
      <c r="W1" s="171"/>
      <c r="X1" s="171"/>
      <c r="Y1" s="171"/>
      <c r="Z1" s="171"/>
      <c r="AA1" s="171"/>
      <c r="AB1" s="171"/>
      <c r="AC1" s="171"/>
      <c r="AD1" s="171"/>
      <c r="AE1" s="171"/>
      <c r="AG1" s="2"/>
    </row>
    <row r="2" spans="1:33" ht="22.5" customHeight="1" thickBot="1" x14ac:dyDescent="0.3">
      <c r="A2" s="303" t="s">
        <v>126</v>
      </c>
      <c r="B2" s="304"/>
      <c r="C2" s="304"/>
      <c r="D2" s="140"/>
      <c r="E2" s="140"/>
      <c r="F2" s="140"/>
      <c r="G2" s="140"/>
      <c r="H2" s="140"/>
      <c r="I2" s="140"/>
      <c r="J2" s="140"/>
      <c r="K2" s="140"/>
      <c r="L2" s="140"/>
      <c r="M2" s="140"/>
      <c r="N2" s="140"/>
      <c r="O2" s="140"/>
      <c r="P2" s="140"/>
      <c r="Q2" s="140"/>
      <c r="R2" s="140"/>
      <c r="S2" s="140"/>
      <c r="T2" s="140"/>
      <c r="U2" s="140"/>
      <c r="V2" s="140"/>
      <c r="W2" s="140"/>
      <c r="X2" s="140"/>
      <c r="Y2" s="140"/>
      <c r="Z2" s="140"/>
      <c r="AA2" s="140"/>
      <c r="AB2" s="140"/>
      <c r="AC2" s="140"/>
      <c r="AD2" s="140"/>
      <c r="AE2" s="141"/>
      <c r="AF2" s="111"/>
    </row>
    <row r="3" spans="1:33" ht="16.5" customHeight="1" thickBot="1" x14ac:dyDescent="0.25">
      <c r="A3" s="142" t="s">
        <v>299</v>
      </c>
      <c r="B3" s="57"/>
      <c r="C3" s="57"/>
      <c r="D3" s="58"/>
      <c r="E3" s="58"/>
      <c r="F3" s="58"/>
      <c r="G3" s="58"/>
      <c r="H3" s="59"/>
      <c r="I3" s="59"/>
      <c r="J3" s="59"/>
      <c r="K3" s="59"/>
      <c r="L3" s="59"/>
      <c r="M3" s="59"/>
      <c r="N3" s="59"/>
      <c r="O3" s="59"/>
      <c r="P3" s="59"/>
      <c r="Q3" s="59"/>
      <c r="R3" s="59"/>
      <c r="S3" s="59"/>
      <c r="T3" s="59"/>
      <c r="U3" s="59"/>
      <c r="V3" s="59"/>
      <c r="W3" s="59"/>
      <c r="X3" s="59"/>
      <c r="Y3" s="59"/>
      <c r="Z3" s="59"/>
      <c r="AA3" s="59"/>
      <c r="AB3" s="59"/>
      <c r="AC3" s="59"/>
      <c r="AD3" s="59"/>
      <c r="AE3" s="143"/>
      <c r="AF3" s="113"/>
    </row>
    <row r="4" spans="1:33" ht="15.75" customHeight="1" x14ac:dyDescent="0.25">
      <c r="A4" s="310"/>
      <c r="B4" s="308" t="s">
        <v>2</v>
      </c>
      <c r="C4" s="301">
        <v>1996</v>
      </c>
      <c r="D4" s="301">
        <v>1997</v>
      </c>
      <c r="E4" s="301">
        <v>1998</v>
      </c>
      <c r="F4" s="301">
        <v>1999</v>
      </c>
      <c r="G4" s="301">
        <v>2000</v>
      </c>
      <c r="H4" s="301">
        <v>2001</v>
      </c>
      <c r="I4" s="301">
        <v>2002</v>
      </c>
      <c r="J4" s="301">
        <v>2003</v>
      </c>
      <c r="K4" s="301">
        <v>2004</v>
      </c>
      <c r="L4" s="301">
        <v>2005</v>
      </c>
      <c r="M4" s="301">
        <v>2006</v>
      </c>
      <c r="N4" s="301">
        <v>2007</v>
      </c>
      <c r="O4" s="301">
        <v>2008</v>
      </c>
      <c r="P4" s="301">
        <v>2009</v>
      </c>
      <c r="Q4" s="301">
        <v>2010</v>
      </c>
      <c r="R4" s="301">
        <v>2011</v>
      </c>
      <c r="S4" s="301">
        <v>2012</v>
      </c>
      <c r="T4" s="301">
        <v>2013</v>
      </c>
      <c r="U4" s="301">
        <v>2014</v>
      </c>
      <c r="V4" s="301">
        <v>2015</v>
      </c>
      <c r="W4" s="301">
        <v>2016</v>
      </c>
      <c r="X4" s="301">
        <v>2017</v>
      </c>
      <c r="Y4" s="301">
        <v>2018</v>
      </c>
      <c r="Z4" s="301">
        <v>2019</v>
      </c>
      <c r="AA4" s="301">
        <v>2020</v>
      </c>
      <c r="AB4" s="301">
        <v>2021</v>
      </c>
      <c r="AC4" s="301">
        <v>2022</v>
      </c>
      <c r="AD4" s="301">
        <v>2023</v>
      </c>
      <c r="AE4" s="299">
        <v>2024</v>
      </c>
      <c r="AF4" s="108"/>
    </row>
    <row r="5" spans="1:33" ht="15.75" customHeight="1" thickBot="1" x14ac:dyDescent="0.3">
      <c r="A5" s="311"/>
      <c r="B5" s="309"/>
      <c r="C5" s="302"/>
      <c r="D5" s="302" t="s">
        <v>3</v>
      </c>
      <c r="E5" s="302"/>
      <c r="F5" s="302" t="s">
        <v>4</v>
      </c>
      <c r="G5" s="302"/>
      <c r="H5" s="302" t="s">
        <v>5</v>
      </c>
      <c r="I5" s="302"/>
      <c r="J5" s="302" t="s">
        <v>6</v>
      </c>
      <c r="K5" s="302"/>
      <c r="L5" s="302" t="s">
        <v>7</v>
      </c>
      <c r="M5" s="302"/>
      <c r="N5" s="302" t="s">
        <v>8</v>
      </c>
      <c r="O5" s="302"/>
      <c r="P5" s="302" t="s">
        <v>9</v>
      </c>
      <c r="Q5" s="302"/>
      <c r="R5" s="302" t="s">
        <v>10</v>
      </c>
      <c r="S5" s="302"/>
      <c r="T5" s="302"/>
      <c r="U5" s="302"/>
      <c r="V5" s="302"/>
      <c r="W5" s="302"/>
      <c r="X5" s="302"/>
      <c r="Y5" s="302"/>
      <c r="Z5" s="302"/>
      <c r="AA5" s="302"/>
      <c r="AB5" s="302"/>
      <c r="AC5" s="302"/>
      <c r="AD5" s="302"/>
      <c r="AE5" s="300"/>
      <c r="AF5" s="108"/>
    </row>
    <row r="6" spans="1:33" s="11" customFormat="1" ht="15" customHeight="1" thickBot="1" x14ac:dyDescent="0.3">
      <c r="A6" s="144" t="s">
        <v>11</v>
      </c>
      <c r="B6" s="9" t="s">
        <v>12</v>
      </c>
      <c r="C6" s="64">
        <v>62</v>
      </c>
      <c r="D6" s="64">
        <v>63</v>
      </c>
      <c r="E6" s="64">
        <v>53</v>
      </c>
      <c r="F6" s="64">
        <v>54</v>
      </c>
      <c r="G6" s="64">
        <v>58</v>
      </c>
      <c r="H6" s="64">
        <v>57</v>
      </c>
      <c r="I6" s="64">
        <v>57</v>
      </c>
      <c r="J6" s="64">
        <v>64</v>
      </c>
      <c r="K6" s="64">
        <v>65</v>
      </c>
      <c r="L6" s="64">
        <v>65</v>
      </c>
      <c r="M6" s="64">
        <v>69</v>
      </c>
      <c r="N6" s="64">
        <v>72</v>
      </c>
      <c r="O6" s="64">
        <v>71</v>
      </c>
      <c r="P6" s="64">
        <v>69</v>
      </c>
      <c r="Q6" s="64">
        <v>71</v>
      </c>
      <c r="R6" s="64">
        <v>67</v>
      </c>
      <c r="S6" s="64">
        <v>70</v>
      </c>
      <c r="T6" s="64">
        <v>64</v>
      </c>
      <c r="U6" s="64">
        <v>72</v>
      </c>
      <c r="V6" s="64">
        <v>72</v>
      </c>
      <c r="W6" s="64">
        <v>71</v>
      </c>
      <c r="X6" s="64">
        <v>68</v>
      </c>
      <c r="Y6" s="64">
        <v>62</v>
      </c>
      <c r="Z6" s="64">
        <v>62</v>
      </c>
      <c r="AA6" s="64">
        <v>59</v>
      </c>
      <c r="AB6" s="64">
        <v>67</v>
      </c>
      <c r="AC6" s="64">
        <v>64</v>
      </c>
      <c r="AD6" s="64">
        <v>62</v>
      </c>
      <c r="AE6" s="145">
        <v>62</v>
      </c>
      <c r="AF6" s="72"/>
      <c r="AG6" s="10"/>
    </row>
    <row r="7" spans="1:33" ht="15" customHeight="1" x14ac:dyDescent="0.25">
      <c r="A7" s="146">
        <v>1</v>
      </c>
      <c r="B7" s="12" t="s">
        <v>13</v>
      </c>
      <c r="C7" s="68">
        <v>58</v>
      </c>
      <c r="D7" s="68">
        <v>56</v>
      </c>
      <c r="E7" s="68">
        <v>49</v>
      </c>
      <c r="F7" s="68">
        <v>46</v>
      </c>
      <c r="G7" s="68">
        <v>49</v>
      </c>
      <c r="H7" s="68">
        <v>50</v>
      </c>
      <c r="I7" s="68">
        <v>49</v>
      </c>
      <c r="J7" s="68">
        <v>52</v>
      </c>
      <c r="K7" s="68">
        <v>53</v>
      </c>
      <c r="L7" s="68">
        <v>53</v>
      </c>
      <c r="M7" s="68">
        <v>55</v>
      </c>
      <c r="N7" s="68">
        <v>54</v>
      </c>
      <c r="O7" s="68">
        <v>51</v>
      </c>
      <c r="P7" s="68">
        <v>53</v>
      </c>
      <c r="Q7" s="68">
        <v>55</v>
      </c>
      <c r="R7" s="68">
        <v>51</v>
      </c>
      <c r="S7" s="68">
        <v>55</v>
      </c>
      <c r="T7" s="68">
        <v>52</v>
      </c>
      <c r="U7" s="68">
        <v>56</v>
      </c>
      <c r="V7" s="68">
        <v>57</v>
      </c>
      <c r="W7" s="68">
        <v>59</v>
      </c>
      <c r="X7" s="68">
        <v>55</v>
      </c>
      <c r="Y7" s="68">
        <v>51</v>
      </c>
      <c r="Z7" s="68">
        <v>52</v>
      </c>
      <c r="AA7" s="68">
        <v>47</v>
      </c>
      <c r="AB7" s="68">
        <v>54</v>
      </c>
      <c r="AC7" s="68">
        <v>53</v>
      </c>
      <c r="AD7" s="68">
        <v>51</v>
      </c>
      <c r="AE7" s="147">
        <v>52</v>
      </c>
      <c r="AF7" s="72"/>
    </row>
    <row r="8" spans="1:33" ht="15" customHeight="1" thickBot="1" x14ac:dyDescent="0.3">
      <c r="A8" s="148">
        <v>2</v>
      </c>
      <c r="B8" s="13" t="s">
        <v>14</v>
      </c>
      <c r="C8" s="69">
        <v>4</v>
      </c>
      <c r="D8" s="69">
        <v>7</v>
      </c>
      <c r="E8" s="69">
        <v>4</v>
      </c>
      <c r="F8" s="69">
        <v>8</v>
      </c>
      <c r="G8" s="69">
        <v>9</v>
      </c>
      <c r="H8" s="69">
        <v>7</v>
      </c>
      <c r="I8" s="69">
        <v>8</v>
      </c>
      <c r="J8" s="69">
        <v>12</v>
      </c>
      <c r="K8" s="69">
        <v>12</v>
      </c>
      <c r="L8" s="69">
        <v>12</v>
      </c>
      <c r="M8" s="69">
        <v>14</v>
      </c>
      <c r="N8" s="69">
        <v>18</v>
      </c>
      <c r="O8" s="69">
        <v>20</v>
      </c>
      <c r="P8" s="69">
        <v>16</v>
      </c>
      <c r="Q8" s="69">
        <v>16</v>
      </c>
      <c r="R8" s="69">
        <v>16</v>
      </c>
      <c r="S8" s="69">
        <v>15</v>
      </c>
      <c r="T8" s="69">
        <v>12</v>
      </c>
      <c r="U8" s="69">
        <v>16</v>
      </c>
      <c r="V8" s="69">
        <v>15</v>
      </c>
      <c r="W8" s="69">
        <v>12</v>
      </c>
      <c r="X8" s="69">
        <v>13</v>
      </c>
      <c r="Y8" s="69">
        <v>11</v>
      </c>
      <c r="Z8" s="69">
        <v>10</v>
      </c>
      <c r="AA8" s="69">
        <v>12</v>
      </c>
      <c r="AB8" s="69">
        <v>13</v>
      </c>
      <c r="AC8" s="69">
        <v>11</v>
      </c>
      <c r="AD8" s="69">
        <v>11</v>
      </c>
      <c r="AE8" s="149">
        <v>10</v>
      </c>
      <c r="AF8" s="72"/>
    </row>
    <row r="9" spans="1:33" s="11" customFormat="1" ht="15" customHeight="1" thickBot="1" x14ac:dyDescent="0.3">
      <c r="A9" s="144" t="s">
        <v>15</v>
      </c>
      <c r="B9" s="9" t="s">
        <v>16</v>
      </c>
      <c r="C9" s="64">
        <v>12</v>
      </c>
      <c r="D9" s="64">
        <v>8</v>
      </c>
      <c r="E9" s="64">
        <v>10</v>
      </c>
      <c r="F9" s="64">
        <v>10</v>
      </c>
      <c r="G9" s="64">
        <v>9</v>
      </c>
      <c r="H9" s="64">
        <v>9</v>
      </c>
      <c r="I9" s="64">
        <v>13</v>
      </c>
      <c r="J9" s="64">
        <v>10</v>
      </c>
      <c r="K9" s="64">
        <v>11</v>
      </c>
      <c r="L9" s="64">
        <v>11</v>
      </c>
      <c r="M9" s="64">
        <v>9</v>
      </c>
      <c r="N9" s="64">
        <v>11</v>
      </c>
      <c r="O9" s="64">
        <v>14</v>
      </c>
      <c r="P9" s="64">
        <v>12</v>
      </c>
      <c r="Q9" s="64">
        <v>13</v>
      </c>
      <c r="R9" s="64">
        <v>13</v>
      </c>
      <c r="S9" s="64">
        <v>12</v>
      </c>
      <c r="T9" s="64">
        <v>10</v>
      </c>
      <c r="U9" s="64">
        <v>8</v>
      </c>
      <c r="V9" s="64">
        <v>9</v>
      </c>
      <c r="W9" s="64">
        <v>9</v>
      </c>
      <c r="X9" s="64">
        <v>9</v>
      </c>
      <c r="Y9" s="64">
        <v>7</v>
      </c>
      <c r="Z9" s="64">
        <v>5</v>
      </c>
      <c r="AA9" s="64">
        <v>4</v>
      </c>
      <c r="AB9" s="64">
        <v>5</v>
      </c>
      <c r="AC9" s="64">
        <v>6</v>
      </c>
      <c r="AD9" s="64">
        <v>7</v>
      </c>
      <c r="AE9" s="145">
        <v>8</v>
      </c>
      <c r="AF9" s="72"/>
      <c r="AG9" s="10"/>
    </row>
    <row r="10" spans="1:33" ht="15" customHeight="1" thickBot="1" x14ac:dyDescent="0.3">
      <c r="A10" s="150">
        <v>5</v>
      </c>
      <c r="B10" s="14" t="s">
        <v>17</v>
      </c>
      <c r="C10" s="67">
        <v>12</v>
      </c>
      <c r="D10" s="67">
        <v>8</v>
      </c>
      <c r="E10" s="67">
        <v>10</v>
      </c>
      <c r="F10" s="67">
        <v>10</v>
      </c>
      <c r="G10" s="67">
        <v>9</v>
      </c>
      <c r="H10" s="67">
        <v>9</v>
      </c>
      <c r="I10" s="67">
        <v>13</v>
      </c>
      <c r="J10" s="67">
        <v>10</v>
      </c>
      <c r="K10" s="67">
        <v>11</v>
      </c>
      <c r="L10" s="67">
        <v>11</v>
      </c>
      <c r="M10" s="67">
        <v>9</v>
      </c>
      <c r="N10" s="67">
        <v>11</v>
      </c>
      <c r="O10" s="67">
        <v>14</v>
      </c>
      <c r="P10" s="67">
        <v>12</v>
      </c>
      <c r="Q10" s="67">
        <v>13</v>
      </c>
      <c r="R10" s="67">
        <v>13</v>
      </c>
      <c r="S10" s="67">
        <v>12</v>
      </c>
      <c r="T10" s="67">
        <v>10</v>
      </c>
      <c r="U10" s="67">
        <v>8</v>
      </c>
      <c r="V10" s="67">
        <v>9</v>
      </c>
      <c r="W10" s="67">
        <v>9</v>
      </c>
      <c r="X10" s="67">
        <v>9</v>
      </c>
      <c r="Y10" s="67">
        <v>7</v>
      </c>
      <c r="Z10" s="67">
        <v>5</v>
      </c>
      <c r="AA10" s="67">
        <v>4</v>
      </c>
      <c r="AB10" s="67">
        <v>5</v>
      </c>
      <c r="AC10" s="67">
        <v>6</v>
      </c>
      <c r="AD10" s="67">
        <v>7</v>
      </c>
      <c r="AE10" s="151">
        <v>8</v>
      </c>
      <c r="AF10" s="72"/>
    </row>
    <row r="11" spans="1:33" s="11" customFormat="1" ht="15" customHeight="1" thickBot="1" x14ac:dyDescent="0.3">
      <c r="A11" s="144" t="s">
        <v>18</v>
      </c>
      <c r="B11" s="9" t="s">
        <v>19</v>
      </c>
      <c r="C11" s="64">
        <v>23</v>
      </c>
      <c r="D11" s="64">
        <v>16</v>
      </c>
      <c r="E11" s="64">
        <v>24</v>
      </c>
      <c r="F11" s="64">
        <v>24</v>
      </c>
      <c r="G11" s="64">
        <v>22</v>
      </c>
      <c r="H11" s="64">
        <v>21</v>
      </c>
      <c r="I11" s="64">
        <v>20</v>
      </c>
      <c r="J11" s="64">
        <v>24</v>
      </c>
      <c r="K11" s="64">
        <v>32</v>
      </c>
      <c r="L11" s="64">
        <v>35</v>
      </c>
      <c r="M11" s="64">
        <v>26</v>
      </c>
      <c r="N11" s="64">
        <v>36</v>
      </c>
      <c r="O11" s="64">
        <v>36</v>
      </c>
      <c r="P11" s="64">
        <v>35</v>
      </c>
      <c r="Q11" s="64">
        <v>41</v>
      </c>
      <c r="R11" s="64">
        <v>33</v>
      </c>
      <c r="S11" s="64">
        <v>32</v>
      </c>
      <c r="T11" s="64">
        <v>33</v>
      </c>
      <c r="U11" s="64">
        <v>33</v>
      </c>
      <c r="V11" s="64">
        <v>33</v>
      </c>
      <c r="W11" s="64">
        <v>37</v>
      </c>
      <c r="X11" s="64">
        <v>33</v>
      </c>
      <c r="Y11" s="64">
        <v>36</v>
      </c>
      <c r="Z11" s="64">
        <v>30</v>
      </c>
      <c r="AA11" s="64">
        <v>27</v>
      </c>
      <c r="AB11" s="64">
        <v>30</v>
      </c>
      <c r="AC11" s="64">
        <v>31</v>
      </c>
      <c r="AD11" s="64">
        <v>33</v>
      </c>
      <c r="AE11" s="145">
        <v>35</v>
      </c>
      <c r="AF11" s="72"/>
      <c r="AG11" s="10"/>
    </row>
    <row r="12" spans="1:33" ht="15" customHeight="1" x14ac:dyDescent="0.25">
      <c r="A12" s="152">
        <v>11</v>
      </c>
      <c r="B12" s="15" t="s">
        <v>20</v>
      </c>
      <c r="C12" s="68">
        <v>18</v>
      </c>
      <c r="D12" s="68">
        <v>14</v>
      </c>
      <c r="E12" s="68">
        <v>17</v>
      </c>
      <c r="F12" s="68">
        <v>17</v>
      </c>
      <c r="G12" s="68">
        <v>15</v>
      </c>
      <c r="H12" s="68">
        <v>17</v>
      </c>
      <c r="I12" s="68">
        <v>14</v>
      </c>
      <c r="J12" s="68">
        <v>17</v>
      </c>
      <c r="K12" s="68">
        <v>21</v>
      </c>
      <c r="L12" s="68">
        <v>23</v>
      </c>
      <c r="M12" s="68">
        <v>18</v>
      </c>
      <c r="N12" s="68">
        <v>28</v>
      </c>
      <c r="O12" s="68">
        <v>26</v>
      </c>
      <c r="P12" s="68">
        <v>25</v>
      </c>
      <c r="Q12" s="68">
        <v>27</v>
      </c>
      <c r="R12" s="68">
        <v>23</v>
      </c>
      <c r="S12" s="68">
        <v>21</v>
      </c>
      <c r="T12" s="68">
        <v>20</v>
      </c>
      <c r="U12" s="68">
        <v>24</v>
      </c>
      <c r="V12" s="68">
        <v>24</v>
      </c>
      <c r="W12" s="68">
        <v>27</v>
      </c>
      <c r="X12" s="68">
        <v>24</v>
      </c>
      <c r="Y12" s="68">
        <v>25</v>
      </c>
      <c r="Z12" s="68">
        <v>21</v>
      </c>
      <c r="AA12" s="68">
        <v>19</v>
      </c>
      <c r="AB12" s="68">
        <v>20</v>
      </c>
      <c r="AC12" s="68">
        <v>18</v>
      </c>
      <c r="AD12" s="68">
        <v>22</v>
      </c>
      <c r="AE12" s="153">
        <v>21</v>
      </c>
      <c r="AF12" s="72"/>
    </row>
    <row r="13" spans="1:33" ht="15" customHeight="1" x14ac:dyDescent="0.25">
      <c r="A13" s="154">
        <v>13</v>
      </c>
      <c r="B13" s="16" t="s">
        <v>21</v>
      </c>
      <c r="C13" s="69" t="s">
        <v>383</v>
      </c>
      <c r="D13" s="69" t="s">
        <v>383</v>
      </c>
      <c r="E13" s="69" t="s">
        <v>383</v>
      </c>
      <c r="F13" s="69" t="s">
        <v>383</v>
      </c>
      <c r="G13" s="69" t="s">
        <v>383</v>
      </c>
      <c r="H13" s="69" t="s">
        <v>383</v>
      </c>
      <c r="I13" s="69" t="s">
        <v>383</v>
      </c>
      <c r="J13" s="69" t="s">
        <v>383</v>
      </c>
      <c r="K13" s="69" t="s">
        <v>383</v>
      </c>
      <c r="L13" s="69" t="s">
        <v>383</v>
      </c>
      <c r="M13" s="69" t="s">
        <v>383</v>
      </c>
      <c r="N13" s="69" t="s">
        <v>383</v>
      </c>
      <c r="O13" s="69" t="s">
        <v>383</v>
      </c>
      <c r="P13" s="69" t="s">
        <v>383</v>
      </c>
      <c r="Q13" s="69" t="s">
        <v>383</v>
      </c>
      <c r="R13" s="69" t="s">
        <v>383</v>
      </c>
      <c r="S13" s="69" t="s">
        <v>383</v>
      </c>
      <c r="T13" s="69" t="s">
        <v>383</v>
      </c>
      <c r="U13" s="69" t="s">
        <v>383</v>
      </c>
      <c r="V13" s="69" t="s">
        <v>383</v>
      </c>
      <c r="W13" s="69" t="s">
        <v>383</v>
      </c>
      <c r="X13" s="69" t="s">
        <v>383</v>
      </c>
      <c r="Y13" s="69" t="s">
        <v>383</v>
      </c>
      <c r="Z13" s="69" t="s">
        <v>383</v>
      </c>
      <c r="AA13" s="69" t="s">
        <v>383</v>
      </c>
      <c r="AB13" s="69" t="s">
        <v>383</v>
      </c>
      <c r="AC13" s="69" t="s">
        <v>383</v>
      </c>
      <c r="AD13" s="69" t="s">
        <v>383</v>
      </c>
      <c r="AE13" s="155" t="s">
        <v>383</v>
      </c>
      <c r="AF13" s="72"/>
    </row>
    <row r="14" spans="1:33" ht="15" customHeight="1" thickBot="1" x14ac:dyDescent="0.3">
      <c r="A14" s="152">
        <v>14</v>
      </c>
      <c r="B14" s="15" t="s">
        <v>22</v>
      </c>
      <c r="C14" s="68" t="s">
        <v>383</v>
      </c>
      <c r="D14" s="68" t="s">
        <v>383</v>
      </c>
      <c r="E14" s="68" t="s">
        <v>383</v>
      </c>
      <c r="F14" s="68" t="s">
        <v>383</v>
      </c>
      <c r="G14" s="68" t="s">
        <v>383</v>
      </c>
      <c r="H14" s="68" t="s">
        <v>383</v>
      </c>
      <c r="I14" s="68" t="s">
        <v>383</v>
      </c>
      <c r="J14" s="68" t="s">
        <v>383</v>
      </c>
      <c r="K14" s="68" t="s">
        <v>383</v>
      </c>
      <c r="L14" s="68" t="s">
        <v>383</v>
      </c>
      <c r="M14" s="68" t="s">
        <v>383</v>
      </c>
      <c r="N14" s="68" t="s">
        <v>383</v>
      </c>
      <c r="O14" s="68" t="s">
        <v>383</v>
      </c>
      <c r="P14" s="68" t="s">
        <v>383</v>
      </c>
      <c r="Q14" s="68" t="s">
        <v>383</v>
      </c>
      <c r="R14" s="68" t="s">
        <v>383</v>
      </c>
      <c r="S14" s="68" t="s">
        <v>383</v>
      </c>
      <c r="T14" s="68" t="s">
        <v>383</v>
      </c>
      <c r="U14" s="68" t="s">
        <v>383</v>
      </c>
      <c r="V14" s="68" t="s">
        <v>383</v>
      </c>
      <c r="W14" s="68" t="s">
        <v>383</v>
      </c>
      <c r="X14" s="68" t="s">
        <v>383</v>
      </c>
      <c r="Y14" s="68" t="s">
        <v>383</v>
      </c>
      <c r="Z14" s="68" t="s">
        <v>383</v>
      </c>
      <c r="AA14" s="68" t="s">
        <v>383</v>
      </c>
      <c r="AB14" s="68" t="s">
        <v>383</v>
      </c>
      <c r="AC14" s="68" t="s">
        <v>383</v>
      </c>
      <c r="AD14" s="68" t="s">
        <v>383</v>
      </c>
      <c r="AE14" s="153" t="s">
        <v>383</v>
      </c>
      <c r="AF14" s="72"/>
    </row>
    <row r="15" spans="1:33" s="11" customFormat="1" ht="15" customHeight="1" thickBot="1" x14ac:dyDescent="0.3">
      <c r="A15" s="144" t="s">
        <v>23</v>
      </c>
      <c r="B15" s="9" t="s">
        <v>24</v>
      </c>
      <c r="C15" s="64">
        <v>136</v>
      </c>
      <c r="D15" s="64">
        <v>128</v>
      </c>
      <c r="E15" s="64">
        <v>138</v>
      </c>
      <c r="F15" s="64">
        <v>152</v>
      </c>
      <c r="G15" s="64">
        <v>160</v>
      </c>
      <c r="H15" s="64">
        <v>174</v>
      </c>
      <c r="I15" s="64">
        <v>150</v>
      </c>
      <c r="J15" s="64">
        <v>157</v>
      </c>
      <c r="K15" s="64">
        <v>165</v>
      </c>
      <c r="L15" s="64">
        <v>168</v>
      </c>
      <c r="M15" s="64">
        <v>189</v>
      </c>
      <c r="N15" s="64">
        <v>197</v>
      </c>
      <c r="O15" s="64">
        <v>196</v>
      </c>
      <c r="P15" s="64">
        <v>206</v>
      </c>
      <c r="Q15" s="64">
        <v>202</v>
      </c>
      <c r="R15" s="64">
        <v>213</v>
      </c>
      <c r="S15" s="64">
        <v>220</v>
      </c>
      <c r="T15" s="64">
        <v>224</v>
      </c>
      <c r="U15" s="64">
        <v>225</v>
      </c>
      <c r="V15" s="64">
        <v>226</v>
      </c>
      <c r="W15" s="64">
        <v>216</v>
      </c>
      <c r="X15" s="64">
        <v>210</v>
      </c>
      <c r="Y15" s="64">
        <v>199</v>
      </c>
      <c r="Z15" s="64">
        <v>198</v>
      </c>
      <c r="AA15" s="64">
        <v>187</v>
      </c>
      <c r="AB15" s="64">
        <v>202</v>
      </c>
      <c r="AC15" s="64">
        <v>216</v>
      </c>
      <c r="AD15" s="64">
        <v>212</v>
      </c>
      <c r="AE15" s="145">
        <v>198</v>
      </c>
      <c r="AF15" s="72"/>
      <c r="AG15" s="10"/>
    </row>
    <row r="16" spans="1:33" ht="15" customHeight="1" x14ac:dyDescent="0.25">
      <c r="A16" s="152">
        <v>15</v>
      </c>
      <c r="B16" s="15" t="s">
        <v>25</v>
      </c>
      <c r="C16" s="68">
        <v>38</v>
      </c>
      <c r="D16" s="68">
        <v>34</v>
      </c>
      <c r="E16" s="68">
        <v>37</v>
      </c>
      <c r="F16" s="68">
        <v>37</v>
      </c>
      <c r="G16" s="68">
        <v>40</v>
      </c>
      <c r="H16" s="68">
        <v>50</v>
      </c>
      <c r="I16" s="68">
        <v>34</v>
      </c>
      <c r="J16" s="68">
        <v>41</v>
      </c>
      <c r="K16" s="68">
        <v>40</v>
      </c>
      <c r="L16" s="68">
        <v>41</v>
      </c>
      <c r="M16" s="68">
        <v>45</v>
      </c>
      <c r="N16" s="68">
        <v>46</v>
      </c>
      <c r="O16" s="68">
        <v>43</v>
      </c>
      <c r="P16" s="68">
        <v>51</v>
      </c>
      <c r="Q16" s="68">
        <v>51</v>
      </c>
      <c r="R16" s="68">
        <v>55</v>
      </c>
      <c r="S16" s="68">
        <v>62</v>
      </c>
      <c r="T16" s="68">
        <v>56</v>
      </c>
      <c r="U16" s="68">
        <v>63</v>
      </c>
      <c r="V16" s="68">
        <v>67</v>
      </c>
      <c r="W16" s="68">
        <v>66</v>
      </c>
      <c r="X16" s="68">
        <v>70</v>
      </c>
      <c r="Y16" s="68">
        <v>64</v>
      </c>
      <c r="Z16" s="68">
        <v>67</v>
      </c>
      <c r="AA16" s="68">
        <v>61</v>
      </c>
      <c r="AB16" s="68">
        <v>70</v>
      </c>
      <c r="AC16" s="68">
        <v>75</v>
      </c>
      <c r="AD16" s="68">
        <v>79</v>
      </c>
      <c r="AE16" s="153">
        <v>79</v>
      </c>
      <c r="AF16" s="72"/>
    </row>
    <row r="17" spans="1:32" ht="15" customHeight="1" x14ac:dyDescent="0.25">
      <c r="A17" s="156">
        <v>16</v>
      </c>
      <c r="B17" s="17" t="s">
        <v>26</v>
      </c>
      <c r="C17" s="70" t="s">
        <v>383</v>
      </c>
      <c r="D17" s="70" t="s">
        <v>383</v>
      </c>
      <c r="E17" s="70" t="s">
        <v>383</v>
      </c>
      <c r="F17" s="70" t="s">
        <v>383</v>
      </c>
      <c r="G17" s="70" t="s">
        <v>383</v>
      </c>
      <c r="H17" s="70" t="s">
        <v>383</v>
      </c>
      <c r="I17" s="70" t="s">
        <v>383</v>
      </c>
      <c r="J17" s="70" t="s">
        <v>383</v>
      </c>
      <c r="K17" s="70" t="s">
        <v>383</v>
      </c>
      <c r="L17" s="70" t="s">
        <v>383</v>
      </c>
      <c r="M17" s="70" t="s">
        <v>383</v>
      </c>
      <c r="N17" s="70" t="s">
        <v>383</v>
      </c>
      <c r="O17" s="70" t="s">
        <v>383</v>
      </c>
      <c r="P17" s="70" t="s">
        <v>383</v>
      </c>
      <c r="Q17" s="70" t="s">
        <v>383</v>
      </c>
      <c r="R17" s="70" t="s">
        <v>383</v>
      </c>
      <c r="S17" s="70" t="s">
        <v>383</v>
      </c>
      <c r="T17" s="70" t="s">
        <v>383</v>
      </c>
      <c r="U17" s="70" t="s">
        <v>383</v>
      </c>
      <c r="V17" s="70" t="s">
        <v>383</v>
      </c>
      <c r="W17" s="70" t="s">
        <v>383</v>
      </c>
      <c r="X17" s="70" t="s">
        <v>383</v>
      </c>
      <c r="Y17" s="70" t="s">
        <v>383</v>
      </c>
      <c r="Z17" s="70" t="s">
        <v>383</v>
      </c>
      <c r="AA17" s="70" t="s">
        <v>383</v>
      </c>
      <c r="AB17" s="70" t="s">
        <v>383</v>
      </c>
      <c r="AC17" s="70" t="s">
        <v>383</v>
      </c>
      <c r="AD17" s="70" t="s">
        <v>383</v>
      </c>
      <c r="AE17" s="157" t="s">
        <v>383</v>
      </c>
      <c r="AF17" s="72"/>
    </row>
    <row r="18" spans="1:32" ht="15" customHeight="1" x14ac:dyDescent="0.25">
      <c r="A18" s="156">
        <v>17</v>
      </c>
      <c r="B18" s="17" t="s">
        <v>27</v>
      </c>
      <c r="C18" s="70">
        <v>11</v>
      </c>
      <c r="D18" s="70">
        <v>12</v>
      </c>
      <c r="E18" s="70">
        <v>14</v>
      </c>
      <c r="F18" s="70">
        <v>13</v>
      </c>
      <c r="G18" s="70">
        <v>16</v>
      </c>
      <c r="H18" s="70">
        <v>16</v>
      </c>
      <c r="I18" s="70">
        <v>16</v>
      </c>
      <c r="J18" s="70">
        <v>16</v>
      </c>
      <c r="K18" s="70">
        <v>17</v>
      </c>
      <c r="L18" s="70">
        <v>17</v>
      </c>
      <c r="M18" s="70">
        <v>17</v>
      </c>
      <c r="N18" s="70">
        <v>17</v>
      </c>
      <c r="O18" s="70">
        <v>15</v>
      </c>
      <c r="P18" s="70">
        <v>15</v>
      </c>
      <c r="Q18" s="70">
        <v>15</v>
      </c>
      <c r="R18" s="70">
        <v>14</v>
      </c>
      <c r="S18" s="70">
        <v>14</v>
      </c>
      <c r="T18" s="70">
        <v>14</v>
      </c>
      <c r="U18" s="70">
        <v>14</v>
      </c>
      <c r="V18" s="70">
        <v>15</v>
      </c>
      <c r="W18" s="70">
        <v>13</v>
      </c>
      <c r="X18" s="70">
        <v>14</v>
      </c>
      <c r="Y18" s="70">
        <v>14</v>
      </c>
      <c r="Z18" s="70">
        <v>14</v>
      </c>
      <c r="AA18" s="70">
        <v>14</v>
      </c>
      <c r="AB18" s="70">
        <v>13</v>
      </c>
      <c r="AC18" s="70">
        <v>13</v>
      </c>
      <c r="AD18" s="70">
        <v>14</v>
      </c>
      <c r="AE18" s="157">
        <v>14</v>
      </c>
      <c r="AF18" s="72"/>
    </row>
    <row r="19" spans="1:32" ht="15" customHeight="1" x14ac:dyDescent="0.25">
      <c r="A19" s="156">
        <v>18</v>
      </c>
      <c r="B19" s="17" t="s">
        <v>28</v>
      </c>
      <c r="C19" s="70">
        <v>4</v>
      </c>
      <c r="D19" s="70">
        <v>4</v>
      </c>
      <c r="E19" s="70">
        <v>4</v>
      </c>
      <c r="F19" s="70">
        <v>4</v>
      </c>
      <c r="G19" s="70">
        <v>5</v>
      </c>
      <c r="H19" s="70" t="s">
        <v>383</v>
      </c>
      <c r="I19" s="70" t="s">
        <v>383</v>
      </c>
      <c r="J19" s="70" t="s">
        <v>383</v>
      </c>
      <c r="K19" s="70" t="s">
        <v>383</v>
      </c>
      <c r="L19" s="70" t="s">
        <v>383</v>
      </c>
      <c r="M19" s="70" t="s">
        <v>383</v>
      </c>
      <c r="N19" s="70" t="s">
        <v>383</v>
      </c>
      <c r="O19" s="70">
        <v>4</v>
      </c>
      <c r="P19" s="70">
        <v>5</v>
      </c>
      <c r="Q19" s="70">
        <v>6</v>
      </c>
      <c r="R19" s="70">
        <v>6</v>
      </c>
      <c r="S19" s="70">
        <v>5</v>
      </c>
      <c r="T19" s="70">
        <v>9</v>
      </c>
      <c r="U19" s="70">
        <v>6</v>
      </c>
      <c r="V19" s="70">
        <v>4</v>
      </c>
      <c r="W19" s="70" t="s">
        <v>383</v>
      </c>
      <c r="X19" s="70" t="s">
        <v>383</v>
      </c>
      <c r="Y19" s="70" t="s">
        <v>383</v>
      </c>
      <c r="Z19" s="70" t="s">
        <v>383</v>
      </c>
      <c r="AA19" s="70" t="s">
        <v>383</v>
      </c>
      <c r="AB19" s="70" t="s">
        <v>383</v>
      </c>
      <c r="AC19" s="70" t="s">
        <v>383</v>
      </c>
      <c r="AD19" s="70" t="s">
        <v>383</v>
      </c>
      <c r="AE19" s="157" t="s">
        <v>383</v>
      </c>
      <c r="AF19" s="72"/>
    </row>
    <row r="20" spans="1:32" ht="15" customHeight="1" x14ac:dyDescent="0.25">
      <c r="A20" s="156">
        <v>19</v>
      </c>
      <c r="B20" s="17" t="s">
        <v>108</v>
      </c>
      <c r="C20" s="70" t="s">
        <v>383</v>
      </c>
      <c r="D20" s="70" t="s">
        <v>383</v>
      </c>
      <c r="E20" s="70" t="s">
        <v>383</v>
      </c>
      <c r="F20" s="70" t="s">
        <v>383</v>
      </c>
      <c r="G20" s="70" t="s">
        <v>383</v>
      </c>
      <c r="H20" s="70" t="s">
        <v>383</v>
      </c>
      <c r="I20" s="70" t="s">
        <v>383</v>
      </c>
      <c r="J20" s="70" t="s">
        <v>383</v>
      </c>
      <c r="K20" s="70" t="s">
        <v>383</v>
      </c>
      <c r="L20" s="70" t="s">
        <v>383</v>
      </c>
      <c r="M20" s="70" t="s">
        <v>383</v>
      </c>
      <c r="N20" s="70" t="s">
        <v>383</v>
      </c>
      <c r="O20" s="70" t="s">
        <v>383</v>
      </c>
      <c r="P20" s="70" t="s">
        <v>383</v>
      </c>
      <c r="Q20" s="70" t="s">
        <v>383</v>
      </c>
      <c r="R20" s="70" t="s">
        <v>383</v>
      </c>
      <c r="S20" s="70" t="s">
        <v>383</v>
      </c>
      <c r="T20" s="70" t="s">
        <v>383</v>
      </c>
      <c r="U20" s="70" t="s">
        <v>383</v>
      </c>
      <c r="V20" s="70" t="s">
        <v>383</v>
      </c>
      <c r="W20" s="70" t="s">
        <v>383</v>
      </c>
      <c r="X20" s="70" t="s">
        <v>383</v>
      </c>
      <c r="Y20" s="70" t="s">
        <v>383</v>
      </c>
      <c r="Z20" s="70" t="s">
        <v>383</v>
      </c>
      <c r="AA20" s="70" t="s">
        <v>383</v>
      </c>
      <c r="AB20" s="70" t="s">
        <v>383</v>
      </c>
      <c r="AC20" s="70" t="s">
        <v>383</v>
      </c>
      <c r="AD20" s="70" t="s">
        <v>383</v>
      </c>
      <c r="AE20" s="157" t="s">
        <v>383</v>
      </c>
      <c r="AF20" s="72"/>
    </row>
    <row r="21" spans="1:32" ht="15" customHeight="1" x14ac:dyDescent="0.25">
      <c r="A21" s="156">
        <v>20</v>
      </c>
      <c r="B21" s="17" t="s">
        <v>30</v>
      </c>
      <c r="C21" s="70">
        <v>14</v>
      </c>
      <c r="D21" s="70">
        <v>11</v>
      </c>
      <c r="E21" s="70">
        <v>11</v>
      </c>
      <c r="F21" s="70">
        <v>13</v>
      </c>
      <c r="G21" s="70">
        <v>12</v>
      </c>
      <c r="H21" s="70">
        <v>10</v>
      </c>
      <c r="I21" s="70">
        <v>9</v>
      </c>
      <c r="J21" s="70">
        <v>11</v>
      </c>
      <c r="K21" s="70">
        <v>13</v>
      </c>
      <c r="L21" s="70">
        <v>14</v>
      </c>
      <c r="M21" s="70">
        <v>17</v>
      </c>
      <c r="N21" s="70">
        <v>20</v>
      </c>
      <c r="O21" s="70">
        <v>22</v>
      </c>
      <c r="P21" s="70">
        <v>20</v>
      </c>
      <c r="Q21" s="70">
        <v>18</v>
      </c>
      <c r="R21" s="70">
        <v>20</v>
      </c>
      <c r="S21" s="70">
        <v>20</v>
      </c>
      <c r="T21" s="70">
        <v>21</v>
      </c>
      <c r="U21" s="70">
        <v>19</v>
      </c>
      <c r="V21" s="70">
        <v>20</v>
      </c>
      <c r="W21" s="70">
        <v>17</v>
      </c>
      <c r="X21" s="70">
        <v>15</v>
      </c>
      <c r="Y21" s="70">
        <v>13</v>
      </c>
      <c r="Z21" s="70">
        <v>13</v>
      </c>
      <c r="AA21" s="70">
        <v>11</v>
      </c>
      <c r="AB21" s="70">
        <v>11</v>
      </c>
      <c r="AC21" s="70">
        <v>11</v>
      </c>
      <c r="AD21" s="70">
        <v>9</v>
      </c>
      <c r="AE21" s="157">
        <v>7</v>
      </c>
      <c r="AF21" s="72"/>
    </row>
    <row r="22" spans="1:32" ht="15" customHeight="1" x14ac:dyDescent="0.25">
      <c r="A22" s="156">
        <v>21</v>
      </c>
      <c r="B22" s="17" t="s">
        <v>31</v>
      </c>
      <c r="C22" s="70" t="s">
        <v>383</v>
      </c>
      <c r="D22" s="70" t="s">
        <v>383</v>
      </c>
      <c r="E22" s="70" t="s">
        <v>383</v>
      </c>
      <c r="F22" s="70" t="s">
        <v>383</v>
      </c>
      <c r="G22" s="70" t="s">
        <v>383</v>
      </c>
      <c r="H22" s="70" t="s">
        <v>383</v>
      </c>
      <c r="I22" s="70" t="s">
        <v>383</v>
      </c>
      <c r="J22" s="70" t="s">
        <v>383</v>
      </c>
      <c r="K22" s="70" t="s">
        <v>383</v>
      </c>
      <c r="L22" s="70" t="s">
        <v>383</v>
      </c>
      <c r="M22" s="70" t="s">
        <v>383</v>
      </c>
      <c r="N22" s="70" t="s">
        <v>383</v>
      </c>
      <c r="O22" s="70" t="s">
        <v>383</v>
      </c>
      <c r="P22" s="70" t="s">
        <v>383</v>
      </c>
      <c r="Q22" s="70" t="s">
        <v>383</v>
      </c>
      <c r="R22" s="70" t="s">
        <v>383</v>
      </c>
      <c r="S22" s="70" t="s">
        <v>383</v>
      </c>
      <c r="T22" s="70" t="s">
        <v>383</v>
      </c>
      <c r="U22" s="70" t="s">
        <v>383</v>
      </c>
      <c r="V22" s="70">
        <v>4</v>
      </c>
      <c r="W22" s="70">
        <v>4</v>
      </c>
      <c r="X22" s="70">
        <v>4</v>
      </c>
      <c r="Y22" s="70">
        <v>4</v>
      </c>
      <c r="Z22" s="70" t="s">
        <v>383</v>
      </c>
      <c r="AA22" s="70" t="s">
        <v>383</v>
      </c>
      <c r="AB22" s="70" t="s">
        <v>383</v>
      </c>
      <c r="AC22" s="70" t="s">
        <v>383</v>
      </c>
      <c r="AD22" s="70" t="s">
        <v>383</v>
      </c>
      <c r="AE22" s="157" t="s">
        <v>383</v>
      </c>
      <c r="AF22" s="72"/>
    </row>
    <row r="23" spans="1:32" ht="15" customHeight="1" x14ac:dyDescent="0.25">
      <c r="A23" s="156">
        <v>22</v>
      </c>
      <c r="B23" s="17" t="s">
        <v>98</v>
      </c>
      <c r="C23" s="70">
        <v>10</v>
      </c>
      <c r="D23" s="70">
        <v>12</v>
      </c>
      <c r="E23" s="70">
        <v>10</v>
      </c>
      <c r="F23" s="70">
        <v>14</v>
      </c>
      <c r="G23" s="70">
        <v>16</v>
      </c>
      <c r="H23" s="70">
        <v>20</v>
      </c>
      <c r="I23" s="70">
        <v>18</v>
      </c>
      <c r="J23" s="70">
        <v>19</v>
      </c>
      <c r="K23" s="70">
        <v>15</v>
      </c>
      <c r="L23" s="70">
        <v>14</v>
      </c>
      <c r="M23" s="70">
        <v>17</v>
      </c>
      <c r="N23" s="70">
        <v>14</v>
      </c>
      <c r="O23" s="70">
        <v>14</v>
      </c>
      <c r="P23" s="70">
        <v>14</v>
      </c>
      <c r="Q23" s="70">
        <v>14</v>
      </c>
      <c r="R23" s="70">
        <v>14</v>
      </c>
      <c r="S23" s="70">
        <v>13</v>
      </c>
      <c r="T23" s="70">
        <v>18</v>
      </c>
      <c r="U23" s="70">
        <v>20</v>
      </c>
      <c r="V23" s="70">
        <v>19</v>
      </c>
      <c r="W23" s="70">
        <v>18</v>
      </c>
      <c r="X23" s="70">
        <v>16</v>
      </c>
      <c r="Y23" s="70">
        <v>15</v>
      </c>
      <c r="Z23" s="70">
        <v>16</v>
      </c>
      <c r="AA23" s="70">
        <v>16</v>
      </c>
      <c r="AB23" s="70">
        <v>16</v>
      </c>
      <c r="AC23" s="70">
        <v>17</v>
      </c>
      <c r="AD23" s="70">
        <v>15</v>
      </c>
      <c r="AE23" s="157">
        <v>13</v>
      </c>
      <c r="AF23" s="72"/>
    </row>
    <row r="24" spans="1:32" ht="15" customHeight="1" x14ac:dyDescent="0.25">
      <c r="A24" s="156">
        <v>23</v>
      </c>
      <c r="B24" s="17" t="s">
        <v>33</v>
      </c>
      <c r="C24" s="70" t="s">
        <v>383</v>
      </c>
      <c r="D24" s="70" t="s">
        <v>383</v>
      </c>
      <c r="E24" s="70" t="s">
        <v>383</v>
      </c>
      <c r="F24" s="70" t="s">
        <v>383</v>
      </c>
      <c r="G24" s="70" t="s">
        <v>383</v>
      </c>
      <c r="H24" s="70" t="s">
        <v>383</v>
      </c>
      <c r="I24" s="70" t="s">
        <v>383</v>
      </c>
      <c r="J24" s="70" t="s">
        <v>383</v>
      </c>
      <c r="K24" s="70" t="s">
        <v>383</v>
      </c>
      <c r="L24" s="70" t="s">
        <v>383</v>
      </c>
      <c r="M24" s="70" t="s">
        <v>383</v>
      </c>
      <c r="N24" s="70" t="s">
        <v>383</v>
      </c>
      <c r="O24" s="70" t="s">
        <v>383</v>
      </c>
      <c r="P24" s="70" t="s">
        <v>383</v>
      </c>
      <c r="Q24" s="70" t="s">
        <v>383</v>
      </c>
      <c r="R24" s="70" t="s">
        <v>383</v>
      </c>
      <c r="S24" s="70" t="s">
        <v>383</v>
      </c>
      <c r="T24" s="70" t="s">
        <v>383</v>
      </c>
      <c r="U24" s="70" t="s">
        <v>383</v>
      </c>
      <c r="V24" s="70" t="s">
        <v>383</v>
      </c>
      <c r="W24" s="70" t="s">
        <v>383</v>
      </c>
      <c r="X24" s="70" t="s">
        <v>383</v>
      </c>
      <c r="Y24" s="70" t="s">
        <v>383</v>
      </c>
      <c r="Z24" s="70" t="s">
        <v>383</v>
      </c>
      <c r="AA24" s="70" t="s">
        <v>383</v>
      </c>
      <c r="AB24" s="70" t="s">
        <v>383</v>
      </c>
      <c r="AC24" s="70" t="s">
        <v>383</v>
      </c>
      <c r="AD24" s="70" t="s">
        <v>383</v>
      </c>
      <c r="AE24" s="157" t="s">
        <v>383</v>
      </c>
      <c r="AF24" s="72"/>
    </row>
    <row r="25" spans="1:32" ht="15" customHeight="1" x14ac:dyDescent="0.25">
      <c r="A25" s="156">
        <v>24</v>
      </c>
      <c r="B25" s="17" t="s">
        <v>34</v>
      </c>
      <c r="C25" s="70">
        <v>7</v>
      </c>
      <c r="D25" s="70">
        <v>4</v>
      </c>
      <c r="E25" s="70">
        <v>4</v>
      </c>
      <c r="F25" s="70">
        <v>8</v>
      </c>
      <c r="G25" s="70">
        <v>7</v>
      </c>
      <c r="H25" s="70">
        <v>16</v>
      </c>
      <c r="I25" s="70">
        <v>12</v>
      </c>
      <c r="J25" s="70">
        <v>12</v>
      </c>
      <c r="K25" s="70">
        <v>16</v>
      </c>
      <c r="L25" s="70">
        <v>17</v>
      </c>
      <c r="M25" s="70">
        <v>19</v>
      </c>
      <c r="N25" s="70">
        <v>18</v>
      </c>
      <c r="O25" s="70">
        <v>20</v>
      </c>
      <c r="P25" s="70">
        <v>17</v>
      </c>
      <c r="Q25" s="70">
        <v>15</v>
      </c>
      <c r="R25" s="70">
        <v>18</v>
      </c>
      <c r="S25" s="70">
        <v>13</v>
      </c>
      <c r="T25" s="70">
        <v>15</v>
      </c>
      <c r="U25" s="70">
        <v>13</v>
      </c>
      <c r="V25" s="70">
        <v>14</v>
      </c>
      <c r="W25" s="70">
        <v>13</v>
      </c>
      <c r="X25" s="70">
        <v>12</v>
      </c>
      <c r="Y25" s="70">
        <v>15</v>
      </c>
      <c r="Z25" s="70">
        <v>14</v>
      </c>
      <c r="AA25" s="70">
        <v>16</v>
      </c>
      <c r="AB25" s="70">
        <v>18</v>
      </c>
      <c r="AC25" s="70">
        <v>17</v>
      </c>
      <c r="AD25" s="70">
        <v>16</v>
      </c>
      <c r="AE25" s="157">
        <v>15</v>
      </c>
      <c r="AF25" s="72"/>
    </row>
    <row r="26" spans="1:32" ht="15" customHeight="1" x14ac:dyDescent="0.25">
      <c r="A26" s="156">
        <v>25</v>
      </c>
      <c r="B26" s="17" t="s">
        <v>35</v>
      </c>
      <c r="C26" s="70">
        <v>9</v>
      </c>
      <c r="D26" s="70">
        <v>9</v>
      </c>
      <c r="E26" s="70">
        <v>11</v>
      </c>
      <c r="F26" s="70">
        <v>13</v>
      </c>
      <c r="G26" s="70">
        <v>13</v>
      </c>
      <c r="H26" s="70">
        <v>13</v>
      </c>
      <c r="I26" s="70">
        <v>13</v>
      </c>
      <c r="J26" s="70">
        <v>11</v>
      </c>
      <c r="K26" s="70">
        <v>12</v>
      </c>
      <c r="L26" s="70">
        <v>13</v>
      </c>
      <c r="M26" s="70">
        <v>14</v>
      </c>
      <c r="N26" s="70">
        <v>15</v>
      </c>
      <c r="O26" s="70">
        <v>15</v>
      </c>
      <c r="P26" s="70">
        <v>15</v>
      </c>
      <c r="Q26" s="70">
        <v>14</v>
      </c>
      <c r="R26" s="70">
        <v>15</v>
      </c>
      <c r="S26" s="70">
        <v>15</v>
      </c>
      <c r="T26" s="70">
        <v>14</v>
      </c>
      <c r="U26" s="70">
        <v>13</v>
      </c>
      <c r="V26" s="70">
        <v>13</v>
      </c>
      <c r="W26" s="70">
        <v>13</v>
      </c>
      <c r="X26" s="70">
        <v>11</v>
      </c>
      <c r="Y26" s="70">
        <v>11</v>
      </c>
      <c r="Z26" s="70">
        <v>11</v>
      </c>
      <c r="AA26" s="70">
        <v>11</v>
      </c>
      <c r="AB26" s="70">
        <v>12</v>
      </c>
      <c r="AC26" s="70">
        <v>14</v>
      </c>
      <c r="AD26" s="70">
        <v>16</v>
      </c>
      <c r="AE26" s="157">
        <v>12</v>
      </c>
      <c r="AF26" s="72"/>
    </row>
    <row r="27" spans="1:32" ht="15" customHeight="1" x14ac:dyDescent="0.25">
      <c r="A27" s="156">
        <v>26</v>
      </c>
      <c r="B27" s="17" t="s">
        <v>36</v>
      </c>
      <c r="C27" s="70" t="s">
        <v>383</v>
      </c>
      <c r="D27" s="70" t="s">
        <v>383</v>
      </c>
      <c r="E27" s="70" t="s">
        <v>383</v>
      </c>
      <c r="F27" s="70">
        <v>4</v>
      </c>
      <c r="G27" s="70">
        <v>5</v>
      </c>
      <c r="H27" s="70" t="s">
        <v>383</v>
      </c>
      <c r="I27" s="70" t="s">
        <v>383</v>
      </c>
      <c r="J27" s="70" t="s">
        <v>383</v>
      </c>
      <c r="K27" s="70">
        <v>5</v>
      </c>
      <c r="L27" s="70">
        <v>5</v>
      </c>
      <c r="M27" s="70">
        <v>6</v>
      </c>
      <c r="N27" s="70">
        <v>5</v>
      </c>
      <c r="O27" s="70">
        <v>6</v>
      </c>
      <c r="P27" s="70">
        <v>5</v>
      </c>
      <c r="Q27" s="70">
        <v>7</v>
      </c>
      <c r="R27" s="70">
        <v>5</v>
      </c>
      <c r="S27" s="70">
        <v>9</v>
      </c>
      <c r="T27" s="70">
        <v>8</v>
      </c>
      <c r="U27" s="70">
        <v>7</v>
      </c>
      <c r="V27" s="70">
        <v>5</v>
      </c>
      <c r="W27" s="70">
        <v>7</v>
      </c>
      <c r="X27" s="70">
        <v>4</v>
      </c>
      <c r="Y27" s="70" t="s">
        <v>383</v>
      </c>
      <c r="Z27" s="70" t="s">
        <v>383</v>
      </c>
      <c r="AA27" s="70" t="s">
        <v>383</v>
      </c>
      <c r="AB27" s="70" t="s">
        <v>383</v>
      </c>
      <c r="AC27" s="70">
        <v>5</v>
      </c>
      <c r="AD27" s="70">
        <v>5</v>
      </c>
      <c r="AE27" s="157" t="s">
        <v>383</v>
      </c>
      <c r="AF27" s="72"/>
    </row>
    <row r="28" spans="1:32" ht="15" customHeight="1" x14ac:dyDescent="0.25">
      <c r="A28" s="156">
        <v>27</v>
      </c>
      <c r="B28" s="17" t="s">
        <v>37</v>
      </c>
      <c r="C28" s="70" t="s">
        <v>383</v>
      </c>
      <c r="D28" s="70" t="s">
        <v>383</v>
      </c>
      <c r="E28" s="70" t="s">
        <v>383</v>
      </c>
      <c r="F28" s="70" t="s">
        <v>383</v>
      </c>
      <c r="G28" s="70" t="s">
        <v>383</v>
      </c>
      <c r="H28" s="70" t="s">
        <v>383</v>
      </c>
      <c r="I28" s="70" t="s">
        <v>383</v>
      </c>
      <c r="J28" s="70" t="s">
        <v>383</v>
      </c>
      <c r="K28" s="70" t="s">
        <v>383</v>
      </c>
      <c r="L28" s="70" t="s">
        <v>383</v>
      </c>
      <c r="M28" s="70" t="s">
        <v>383</v>
      </c>
      <c r="N28" s="70" t="s">
        <v>383</v>
      </c>
      <c r="O28" s="70" t="s">
        <v>383</v>
      </c>
      <c r="P28" s="70" t="s">
        <v>383</v>
      </c>
      <c r="Q28" s="70" t="s">
        <v>383</v>
      </c>
      <c r="R28" s="70" t="s">
        <v>383</v>
      </c>
      <c r="S28" s="70" t="s">
        <v>383</v>
      </c>
      <c r="T28" s="70" t="s">
        <v>383</v>
      </c>
      <c r="U28" s="70" t="s">
        <v>383</v>
      </c>
      <c r="V28" s="70" t="s">
        <v>383</v>
      </c>
      <c r="W28" s="70" t="s">
        <v>383</v>
      </c>
      <c r="X28" s="70" t="s">
        <v>383</v>
      </c>
      <c r="Y28" s="70" t="s">
        <v>383</v>
      </c>
      <c r="Z28" s="70" t="s">
        <v>383</v>
      </c>
      <c r="AA28" s="70" t="s">
        <v>383</v>
      </c>
      <c r="AB28" s="70" t="s">
        <v>383</v>
      </c>
      <c r="AC28" s="70" t="s">
        <v>383</v>
      </c>
      <c r="AD28" s="70">
        <v>4</v>
      </c>
      <c r="AE28" s="157" t="s">
        <v>383</v>
      </c>
      <c r="AF28" s="72"/>
    </row>
    <row r="29" spans="1:32" ht="15" customHeight="1" x14ac:dyDescent="0.25">
      <c r="A29" s="156">
        <v>28</v>
      </c>
      <c r="B29" s="17" t="s">
        <v>38</v>
      </c>
      <c r="C29" s="70">
        <v>8</v>
      </c>
      <c r="D29" s="70">
        <v>8</v>
      </c>
      <c r="E29" s="70">
        <v>7</v>
      </c>
      <c r="F29" s="70">
        <v>7</v>
      </c>
      <c r="G29" s="70">
        <v>7</v>
      </c>
      <c r="H29" s="70">
        <v>7</v>
      </c>
      <c r="I29" s="70">
        <v>8</v>
      </c>
      <c r="J29" s="70">
        <v>7</v>
      </c>
      <c r="K29" s="70">
        <v>6</v>
      </c>
      <c r="L29" s="70">
        <v>7</v>
      </c>
      <c r="M29" s="70">
        <v>14</v>
      </c>
      <c r="N29" s="70">
        <v>16</v>
      </c>
      <c r="O29" s="70">
        <v>14</v>
      </c>
      <c r="P29" s="70">
        <v>18</v>
      </c>
      <c r="Q29" s="70">
        <v>17</v>
      </c>
      <c r="R29" s="70">
        <v>18</v>
      </c>
      <c r="S29" s="70">
        <v>14</v>
      </c>
      <c r="T29" s="70">
        <v>14</v>
      </c>
      <c r="U29" s="70">
        <v>13</v>
      </c>
      <c r="V29" s="70">
        <v>10</v>
      </c>
      <c r="W29" s="70">
        <v>10</v>
      </c>
      <c r="X29" s="70">
        <v>12</v>
      </c>
      <c r="Y29" s="70">
        <v>12</v>
      </c>
      <c r="Z29" s="70">
        <v>11</v>
      </c>
      <c r="AA29" s="70">
        <v>10</v>
      </c>
      <c r="AB29" s="70">
        <v>11</v>
      </c>
      <c r="AC29" s="70">
        <v>13</v>
      </c>
      <c r="AD29" s="70">
        <v>10</v>
      </c>
      <c r="AE29" s="157">
        <v>9</v>
      </c>
      <c r="AF29" s="72"/>
    </row>
    <row r="30" spans="1:32" ht="15" customHeight="1" x14ac:dyDescent="0.25">
      <c r="A30" s="156">
        <v>29</v>
      </c>
      <c r="B30" s="17" t="s">
        <v>39</v>
      </c>
      <c r="C30" s="70">
        <v>5</v>
      </c>
      <c r="D30" s="70">
        <v>4</v>
      </c>
      <c r="E30" s="70">
        <v>6</v>
      </c>
      <c r="F30" s="70">
        <v>4</v>
      </c>
      <c r="G30" s="70" t="s">
        <v>383</v>
      </c>
      <c r="H30" s="70">
        <v>4</v>
      </c>
      <c r="I30" s="70" t="s">
        <v>383</v>
      </c>
      <c r="J30" s="70" t="s">
        <v>383</v>
      </c>
      <c r="K30" s="70" t="s">
        <v>383</v>
      </c>
      <c r="L30" s="70" t="s">
        <v>383</v>
      </c>
      <c r="M30" s="70" t="s">
        <v>383</v>
      </c>
      <c r="N30" s="70" t="s">
        <v>383</v>
      </c>
      <c r="O30" s="70">
        <v>5</v>
      </c>
      <c r="P30" s="70">
        <v>5</v>
      </c>
      <c r="Q30" s="70">
        <v>5</v>
      </c>
      <c r="R30" s="70">
        <v>6</v>
      </c>
      <c r="S30" s="70">
        <v>7</v>
      </c>
      <c r="T30" s="70">
        <v>6</v>
      </c>
      <c r="U30" s="70">
        <v>6</v>
      </c>
      <c r="V30" s="70">
        <v>5</v>
      </c>
      <c r="W30" s="70">
        <v>4</v>
      </c>
      <c r="X30" s="70">
        <v>4</v>
      </c>
      <c r="Y30" s="70">
        <v>4</v>
      </c>
      <c r="Z30" s="70">
        <v>4</v>
      </c>
      <c r="AA30" s="70">
        <v>4</v>
      </c>
      <c r="AB30" s="70">
        <v>5</v>
      </c>
      <c r="AC30" s="70">
        <v>4</v>
      </c>
      <c r="AD30" s="70">
        <v>4</v>
      </c>
      <c r="AE30" s="157">
        <v>4</v>
      </c>
      <c r="AF30" s="72"/>
    </row>
    <row r="31" spans="1:32" ht="15" customHeight="1" x14ac:dyDescent="0.25">
      <c r="A31" s="156">
        <v>30</v>
      </c>
      <c r="B31" s="17" t="s">
        <v>40</v>
      </c>
      <c r="C31" s="70" t="s">
        <v>383</v>
      </c>
      <c r="D31" s="70" t="s">
        <v>383</v>
      </c>
      <c r="E31" s="70" t="s">
        <v>383</v>
      </c>
      <c r="F31" s="70" t="s">
        <v>383</v>
      </c>
      <c r="G31" s="70" t="s">
        <v>383</v>
      </c>
      <c r="H31" s="70" t="s">
        <v>383</v>
      </c>
      <c r="I31" s="70" t="s">
        <v>383</v>
      </c>
      <c r="J31" s="70" t="s">
        <v>383</v>
      </c>
      <c r="K31" s="70" t="s">
        <v>383</v>
      </c>
      <c r="L31" s="70" t="s">
        <v>383</v>
      </c>
      <c r="M31" s="70" t="s">
        <v>383</v>
      </c>
      <c r="N31" s="70" t="s">
        <v>383</v>
      </c>
      <c r="O31" s="70" t="s">
        <v>383</v>
      </c>
      <c r="P31" s="70" t="s">
        <v>383</v>
      </c>
      <c r="Q31" s="70" t="s">
        <v>383</v>
      </c>
      <c r="R31" s="70" t="s">
        <v>383</v>
      </c>
      <c r="S31" s="70">
        <v>4</v>
      </c>
      <c r="T31" s="70" t="s">
        <v>383</v>
      </c>
      <c r="U31" s="70" t="s">
        <v>383</v>
      </c>
      <c r="V31" s="70" t="s">
        <v>383</v>
      </c>
      <c r="W31" s="70" t="s">
        <v>383</v>
      </c>
      <c r="X31" s="70" t="s">
        <v>383</v>
      </c>
      <c r="Y31" s="70" t="s">
        <v>383</v>
      </c>
      <c r="Z31" s="70" t="s">
        <v>383</v>
      </c>
      <c r="AA31" s="70" t="s">
        <v>383</v>
      </c>
      <c r="AB31" s="70" t="s">
        <v>383</v>
      </c>
      <c r="AC31" s="70" t="s">
        <v>383</v>
      </c>
      <c r="AD31" s="70" t="s">
        <v>383</v>
      </c>
      <c r="AE31" s="157" t="s">
        <v>383</v>
      </c>
      <c r="AF31" s="72"/>
    </row>
    <row r="32" spans="1:32" ht="15" customHeight="1" x14ac:dyDescent="0.25">
      <c r="A32" s="156">
        <v>31</v>
      </c>
      <c r="B32" s="17" t="s">
        <v>41</v>
      </c>
      <c r="C32" s="70" t="s">
        <v>383</v>
      </c>
      <c r="D32" s="70" t="s">
        <v>383</v>
      </c>
      <c r="E32" s="70" t="s">
        <v>383</v>
      </c>
      <c r="F32" s="70" t="s">
        <v>383</v>
      </c>
      <c r="G32" s="70" t="s">
        <v>383</v>
      </c>
      <c r="H32" s="70" t="s">
        <v>383</v>
      </c>
      <c r="I32" s="70" t="s">
        <v>383</v>
      </c>
      <c r="J32" s="70" t="s">
        <v>383</v>
      </c>
      <c r="K32" s="70" t="s">
        <v>383</v>
      </c>
      <c r="L32" s="70" t="s">
        <v>383</v>
      </c>
      <c r="M32" s="70" t="s">
        <v>383</v>
      </c>
      <c r="N32" s="70" t="s">
        <v>383</v>
      </c>
      <c r="O32" s="70" t="s">
        <v>383</v>
      </c>
      <c r="P32" s="70" t="s">
        <v>383</v>
      </c>
      <c r="Q32" s="70" t="s">
        <v>383</v>
      </c>
      <c r="R32" s="70" t="s">
        <v>383</v>
      </c>
      <c r="S32" s="70" t="s">
        <v>383</v>
      </c>
      <c r="T32" s="70" t="s">
        <v>383</v>
      </c>
      <c r="U32" s="70" t="s">
        <v>383</v>
      </c>
      <c r="V32" s="70" t="s">
        <v>383</v>
      </c>
      <c r="W32" s="70" t="s">
        <v>383</v>
      </c>
      <c r="X32" s="70" t="s">
        <v>383</v>
      </c>
      <c r="Y32" s="70" t="s">
        <v>383</v>
      </c>
      <c r="Z32" s="70" t="s">
        <v>383</v>
      </c>
      <c r="AA32" s="70" t="s">
        <v>383</v>
      </c>
      <c r="AB32" s="70" t="s">
        <v>383</v>
      </c>
      <c r="AC32" s="70" t="s">
        <v>383</v>
      </c>
      <c r="AD32" s="70" t="s">
        <v>383</v>
      </c>
      <c r="AE32" s="157" t="s">
        <v>383</v>
      </c>
      <c r="AF32" s="72"/>
    </row>
    <row r="33" spans="1:33" ht="15" customHeight="1" x14ac:dyDescent="0.25">
      <c r="A33" s="156">
        <v>32</v>
      </c>
      <c r="B33" s="17" t="s">
        <v>42</v>
      </c>
      <c r="C33" s="70">
        <v>15</v>
      </c>
      <c r="D33" s="70">
        <v>15</v>
      </c>
      <c r="E33" s="70">
        <v>16</v>
      </c>
      <c r="F33" s="70">
        <v>16</v>
      </c>
      <c r="G33" s="70">
        <v>17</v>
      </c>
      <c r="H33" s="70">
        <v>16</v>
      </c>
      <c r="I33" s="70">
        <v>14</v>
      </c>
      <c r="J33" s="70">
        <v>14</v>
      </c>
      <c r="K33" s="70">
        <v>15</v>
      </c>
      <c r="L33" s="70">
        <v>14</v>
      </c>
      <c r="M33" s="70">
        <v>14</v>
      </c>
      <c r="N33" s="70">
        <v>16</v>
      </c>
      <c r="O33" s="70">
        <v>16</v>
      </c>
      <c r="P33" s="70">
        <v>17</v>
      </c>
      <c r="Q33" s="70">
        <v>18</v>
      </c>
      <c r="R33" s="70">
        <v>18</v>
      </c>
      <c r="S33" s="70">
        <v>20</v>
      </c>
      <c r="T33" s="70">
        <v>21</v>
      </c>
      <c r="U33" s="70">
        <v>21</v>
      </c>
      <c r="V33" s="70">
        <v>22</v>
      </c>
      <c r="W33" s="70">
        <v>21</v>
      </c>
      <c r="X33" s="70">
        <v>21</v>
      </c>
      <c r="Y33" s="70">
        <v>20</v>
      </c>
      <c r="Z33" s="70">
        <v>17</v>
      </c>
      <c r="AA33" s="70">
        <v>16</v>
      </c>
      <c r="AB33" s="70">
        <v>15</v>
      </c>
      <c r="AC33" s="70">
        <v>15</v>
      </c>
      <c r="AD33" s="70">
        <v>13</v>
      </c>
      <c r="AE33" s="157">
        <v>13</v>
      </c>
      <c r="AF33" s="72"/>
    </row>
    <row r="34" spans="1:33" ht="15" customHeight="1" x14ac:dyDescent="0.25">
      <c r="A34" s="156">
        <v>33</v>
      </c>
      <c r="B34" s="17" t="s">
        <v>43</v>
      </c>
      <c r="C34" s="70" t="s">
        <v>383</v>
      </c>
      <c r="D34" s="70" t="s">
        <v>383</v>
      </c>
      <c r="E34" s="70" t="s">
        <v>383</v>
      </c>
      <c r="F34" s="70" t="s">
        <v>383</v>
      </c>
      <c r="G34" s="70" t="s">
        <v>383</v>
      </c>
      <c r="H34" s="70" t="s">
        <v>383</v>
      </c>
      <c r="I34" s="70" t="s">
        <v>383</v>
      </c>
      <c r="J34" s="70" t="s">
        <v>383</v>
      </c>
      <c r="K34" s="70" t="s">
        <v>383</v>
      </c>
      <c r="L34" s="70" t="s">
        <v>383</v>
      </c>
      <c r="M34" s="70" t="s">
        <v>383</v>
      </c>
      <c r="N34" s="70" t="s">
        <v>383</v>
      </c>
      <c r="O34" s="70" t="s">
        <v>383</v>
      </c>
      <c r="P34" s="70" t="s">
        <v>383</v>
      </c>
      <c r="Q34" s="70" t="s">
        <v>383</v>
      </c>
      <c r="R34" s="70" t="s">
        <v>383</v>
      </c>
      <c r="S34" s="70" t="s">
        <v>383</v>
      </c>
      <c r="T34" s="70" t="s">
        <v>383</v>
      </c>
      <c r="U34" s="70" t="s">
        <v>383</v>
      </c>
      <c r="V34" s="70" t="s">
        <v>383</v>
      </c>
      <c r="W34" s="70" t="s">
        <v>383</v>
      </c>
      <c r="X34" s="70" t="s">
        <v>383</v>
      </c>
      <c r="Y34" s="70" t="s">
        <v>383</v>
      </c>
      <c r="Z34" s="70" t="s">
        <v>383</v>
      </c>
      <c r="AA34" s="70" t="s">
        <v>383</v>
      </c>
      <c r="AB34" s="70" t="s">
        <v>383</v>
      </c>
      <c r="AC34" s="70" t="s">
        <v>383</v>
      </c>
      <c r="AD34" s="70" t="s">
        <v>383</v>
      </c>
      <c r="AE34" s="157" t="s">
        <v>383</v>
      </c>
      <c r="AF34" s="72"/>
    </row>
    <row r="35" spans="1:33" ht="15" customHeight="1" x14ac:dyDescent="0.25">
      <c r="A35" s="156">
        <v>34</v>
      </c>
      <c r="B35" s="17" t="s">
        <v>44</v>
      </c>
      <c r="C35" s="70">
        <v>5</v>
      </c>
      <c r="D35" s="70">
        <v>4</v>
      </c>
      <c r="E35" s="70">
        <v>4</v>
      </c>
      <c r="F35" s="70">
        <v>5</v>
      </c>
      <c r="G35" s="70">
        <v>5</v>
      </c>
      <c r="H35" s="70">
        <v>5</v>
      </c>
      <c r="I35" s="70">
        <v>5</v>
      </c>
      <c r="J35" s="70">
        <v>5</v>
      </c>
      <c r="K35" s="70">
        <v>6</v>
      </c>
      <c r="L35" s="70">
        <v>6</v>
      </c>
      <c r="M35" s="70">
        <v>6</v>
      </c>
      <c r="N35" s="70">
        <v>6</v>
      </c>
      <c r="O35" s="70">
        <v>5</v>
      </c>
      <c r="P35" s="70">
        <v>5</v>
      </c>
      <c r="Q35" s="70">
        <v>5</v>
      </c>
      <c r="R35" s="70">
        <v>5</v>
      </c>
      <c r="S35" s="70">
        <v>5</v>
      </c>
      <c r="T35" s="70">
        <v>5</v>
      </c>
      <c r="U35" s="70">
        <v>5</v>
      </c>
      <c r="V35" s="70">
        <v>5</v>
      </c>
      <c r="W35" s="70">
        <v>5</v>
      </c>
      <c r="X35" s="70">
        <v>4</v>
      </c>
      <c r="Y35" s="70">
        <v>5</v>
      </c>
      <c r="Z35" s="70">
        <v>6</v>
      </c>
      <c r="AA35" s="70">
        <v>5</v>
      </c>
      <c r="AB35" s="70">
        <v>4</v>
      </c>
      <c r="AC35" s="70">
        <v>5</v>
      </c>
      <c r="AD35" s="70">
        <v>5</v>
      </c>
      <c r="AE35" s="157">
        <v>5</v>
      </c>
      <c r="AF35" s="72"/>
    </row>
    <row r="36" spans="1:33" ht="15" customHeight="1" x14ac:dyDescent="0.25">
      <c r="A36" s="156">
        <v>35</v>
      </c>
      <c r="B36" s="17" t="s">
        <v>45</v>
      </c>
      <c r="C36" s="70" t="s">
        <v>383</v>
      </c>
      <c r="D36" s="70" t="s">
        <v>383</v>
      </c>
      <c r="E36" s="70" t="s">
        <v>383</v>
      </c>
      <c r="F36" s="70" t="s">
        <v>383</v>
      </c>
      <c r="G36" s="70" t="s">
        <v>383</v>
      </c>
      <c r="H36" s="70" t="s">
        <v>383</v>
      </c>
      <c r="I36" s="70" t="s">
        <v>383</v>
      </c>
      <c r="J36" s="70" t="s">
        <v>383</v>
      </c>
      <c r="K36" s="70" t="s">
        <v>383</v>
      </c>
      <c r="L36" s="70" t="s">
        <v>383</v>
      </c>
      <c r="M36" s="70" t="s">
        <v>383</v>
      </c>
      <c r="N36" s="70" t="s">
        <v>383</v>
      </c>
      <c r="O36" s="70" t="s">
        <v>383</v>
      </c>
      <c r="P36" s="70" t="s">
        <v>383</v>
      </c>
      <c r="Q36" s="70">
        <v>4</v>
      </c>
      <c r="R36" s="70" t="s">
        <v>383</v>
      </c>
      <c r="S36" s="70" t="s">
        <v>383</v>
      </c>
      <c r="T36" s="70" t="s">
        <v>383</v>
      </c>
      <c r="U36" s="70" t="s">
        <v>383</v>
      </c>
      <c r="V36" s="70" t="s">
        <v>383</v>
      </c>
      <c r="W36" s="70" t="s">
        <v>383</v>
      </c>
      <c r="X36" s="70" t="s">
        <v>383</v>
      </c>
      <c r="Y36" s="70" t="s">
        <v>383</v>
      </c>
      <c r="Z36" s="70" t="s">
        <v>383</v>
      </c>
      <c r="AA36" s="70" t="s">
        <v>383</v>
      </c>
      <c r="AB36" s="70" t="s">
        <v>383</v>
      </c>
      <c r="AC36" s="70" t="s">
        <v>383</v>
      </c>
      <c r="AD36" s="70" t="s">
        <v>383</v>
      </c>
      <c r="AE36" s="157" t="s">
        <v>383</v>
      </c>
      <c r="AF36" s="72"/>
    </row>
    <row r="37" spans="1:33" ht="15" customHeight="1" x14ac:dyDescent="0.25">
      <c r="A37" s="156">
        <v>36</v>
      </c>
      <c r="B37" s="17" t="s">
        <v>46</v>
      </c>
      <c r="C37" s="70">
        <v>4</v>
      </c>
      <c r="D37" s="70" t="s">
        <v>383</v>
      </c>
      <c r="E37" s="70" t="s">
        <v>383</v>
      </c>
      <c r="F37" s="70">
        <v>4</v>
      </c>
      <c r="G37" s="70">
        <v>6</v>
      </c>
      <c r="H37" s="70">
        <v>4</v>
      </c>
      <c r="I37" s="70" t="s">
        <v>383</v>
      </c>
      <c r="J37" s="70">
        <v>5</v>
      </c>
      <c r="K37" s="70">
        <v>5</v>
      </c>
      <c r="L37" s="70">
        <v>4</v>
      </c>
      <c r="M37" s="70">
        <v>5</v>
      </c>
      <c r="N37" s="70">
        <v>7</v>
      </c>
      <c r="O37" s="70">
        <v>6</v>
      </c>
      <c r="P37" s="70">
        <v>7</v>
      </c>
      <c r="Q37" s="70">
        <v>6</v>
      </c>
      <c r="R37" s="70">
        <v>6</v>
      </c>
      <c r="S37" s="70">
        <v>6</v>
      </c>
      <c r="T37" s="70">
        <v>7</v>
      </c>
      <c r="U37" s="70">
        <v>7</v>
      </c>
      <c r="V37" s="70">
        <v>7</v>
      </c>
      <c r="W37" s="70">
        <v>8</v>
      </c>
      <c r="X37" s="70">
        <v>7</v>
      </c>
      <c r="Y37" s="70">
        <v>7</v>
      </c>
      <c r="Z37" s="70">
        <v>7</v>
      </c>
      <c r="AA37" s="70">
        <v>6</v>
      </c>
      <c r="AB37" s="70">
        <v>5</v>
      </c>
      <c r="AC37" s="70">
        <v>6</v>
      </c>
      <c r="AD37" s="70">
        <v>6</v>
      </c>
      <c r="AE37" s="157">
        <v>5</v>
      </c>
      <c r="AF37" s="72"/>
    </row>
    <row r="38" spans="1:33" ht="15" customHeight="1" thickBot="1" x14ac:dyDescent="0.3">
      <c r="A38" s="152">
        <v>37</v>
      </c>
      <c r="B38" s="15" t="s">
        <v>47</v>
      </c>
      <c r="C38" s="68" t="s">
        <v>383</v>
      </c>
      <c r="D38" s="68" t="s">
        <v>383</v>
      </c>
      <c r="E38" s="68" t="s">
        <v>383</v>
      </c>
      <c r="F38" s="68" t="s">
        <v>383</v>
      </c>
      <c r="G38" s="68">
        <v>4</v>
      </c>
      <c r="H38" s="68" t="s">
        <v>383</v>
      </c>
      <c r="I38" s="68" t="s">
        <v>383</v>
      </c>
      <c r="J38" s="68" t="s">
        <v>383</v>
      </c>
      <c r="K38" s="68">
        <v>4</v>
      </c>
      <c r="L38" s="68">
        <v>4</v>
      </c>
      <c r="M38" s="68" t="s">
        <v>383</v>
      </c>
      <c r="N38" s="68">
        <v>4</v>
      </c>
      <c r="O38" s="68">
        <v>5</v>
      </c>
      <c r="P38" s="68" t="s">
        <v>383</v>
      </c>
      <c r="Q38" s="68" t="s">
        <v>383</v>
      </c>
      <c r="R38" s="68">
        <v>4</v>
      </c>
      <c r="S38" s="68">
        <v>4</v>
      </c>
      <c r="T38" s="68">
        <v>4</v>
      </c>
      <c r="U38" s="68">
        <v>5</v>
      </c>
      <c r="V38" s="68">
        <v>5</v>
      </c>
      <c r="W38" s="68">
        <v>4</v>
      </c>
      <c r="X38" s="68" t="s">
        <v>383</v>
      </c>
      <c r="Y38" s="68">
        <v>4</v>
      </c>
      <c r="Z38" s="68">
        <v>5</v>
      </c>
      <c r="AA38" s="68">
        <v>5</v>
      </c>
      <c r="AB38" s="68">
        <v>7</v>
      </c>
      <c r="AC38" s="68">
        <v>7</v>
      </c>
      <c r="AD38" s="68">
        <v>6</v>
      </c>
      <c r="AE38" s="153">
        <v>6</v>
      </c>
      <c r="AF38" s="72"/>
    </row>
    <row r="39" spans="1:33" s="11" customFormat="1" ht="15" customHeight="1" thickBot="1" x14ac:dyDescent="0.3">
      <c r="A39" s="144" t="s">
        <v>48</v>
      </c>
      <c r="B39" s="9" t="s">
        <v>49</v>
      </c>
      <c r="C39" s="64" t="s">
        <v>383</v>
      </c>
      <c r="D39" s="64" t="s">
        <v>383</v>
      </c>
      <c r="E39" s="64">
        <v>4</v>
      </c>
      <c r="F39" s="64" t="s">
        <v>383</v>
      </c>
      <c r="G39" s="64" t="s">
        <v>383</v>
      </c>
      <c r="H39" s="64" t="s">
        <v>383</v>
      </c>
      <c r="I39" s="64" t="s">
        <v>383</v>
      </c>
      <c r="J39" s="64" t="s">
        <v>383</v>
      </c>
      <c r="K39" s="64" t="s">
        <v>383</v>
      </c>
      <c r="L39" s="64" t="s">
        <v>383</v>
      </c>
      <c r="M39" s="64" t="s">
        <v>383</v>
      </c>
      <c r="N39" s="64" t="s">
        <v>383</v>
      </c>
      <c r="O39" s="64" t="s">
        <v>383</v>
      </c>
      <c r="P39" s="64">
        <v>4</v>
      </c>
      <c r="Q39" s="64">
        <v>4</v>
      </c>
      <c r="R39" s="64">
        <v>5</v>
      </c>
      <c r="S39" s="64">
        <v>6</v>
      </c>
      <c r="T39" s="64">
        <v>4</v>
      </c>
      <c r="U39" s="64" t="s">
        <v>383</v>
      </c>
      <c r="V39" s="64" t="s">
        <v>383</v>
      </c>
      <c r="W39" s="64">
        <v>5</v>
      </c>
      <c r="X39" s="64">
        <v>5</v>
      </c>
      <c r="Y39" s="64">
        <v>4</v>
      </c>
      <c r="Z39" s="64">
        <v>4</v>
      </c>
      <c r="AA39" s="64">
        <v>4</v>
      </c>
      <c r="AB39" s="64">
        <v>4</v>
      </c>
      <c r="AC39" s="64">
        <v>4</v>
      </c>
      <c r="AD39" s="64">
        <v>4</v>
      </c>
      <c r="AE39" s="145">
        <v>4</v>
      </c>
      <c r="AF39" s="72"/>
      <c r="AG39" s="10"/>
    </row>
    <row r="40" spans="1:33" ht="15" customHeight="1" x14ac:dyDescent="0.25">
      <c r="A40" s="146">
        <v>40</v>
      </c>
      <c r="B40" s="12" t="s">
        <v>50</v>
      </c>
      <c r="C40" s="65" t="s">
        <v>383</v>
      </c>
      <c r="D40" s="65" t="s">
        <v>383</v>
      </c>
      <c r="E40" s="65" t="s">
        <v>383</v>
      </c>
      <c r="F40" s="65" t="s">
        <v>383</v>
      </c>
      <c r="G40" s="65" t="s">
        <v>383</v>
      </c>
      <c r="H40" s="65" t="s">
        <v>383</v>
      </c>
      <c r="I40" s="65" t="s">
        <v>383</v>
      </c>
      <c r="J40" s="65" t="s">
        <v>383</v>
      </c>
      <c r="K40" s="65" t="s">
        <v>383</v>
      </c>
      <c r="L40" s="65" t="s">
        <v>383</v>
      </c>
      <c r="M40" s="65" t="s">
        <v>383</v>
      </c>
      <c r="N40" s="65" t="s">
        <v>383</v>
      </c>
      <c r="O40" s="65" t="s">
        <v>383</v>
      </c>
      <c r="P40" s="65" t="s">
        <v>383</v>
      </c>
      <c r="Q40" s="65" t="s">
        <v>383</v>
      </c>
      <c r="R40" s="65" t="s">
        <v>383</v>
      </c>
      <c r="S40" s="65" t="s">
        <v>383</v>
      </c>
      <c r="T40" s="65" t="s">
        <v>383</v>
      </c>
      <c r="U40" s="65" t="s">
        <v>383</v>
      </c>
      <c r="V40" s="65" t="s">
        <v>383</v>
      </c>
      <c r="W40" s="65" t="s">
        <v>383</v>
      </c>
      <c r="X40" s="65" t="s">
        <v>383</v>
      </c>
      <c r="Y40" s="65" t="s">
        <v>383</v>
      </c>
      <c r="Z40" s="65" t="s">
        <v>383</v>
      </c>
      <c r="AA40" s="65" t="s">
        <v>383</v>
      </c>
      <c r="AB40" s="65" t="s">
        <v>383</v>
      </c>
      <c r="AC40" s="65" t="s">
        <v>383</v>
      </c>
      <c r="AD40" s="65" t="s">
        <v>383</v>
      </c>
      <c r="AE40" s="147" t="s">
        <v>383</v>
      </c>
      <c r="AF40" s="72"/>
    </row>
    <row r="41" spans="1:33" ht="15" customHeight="1" thickBot="1" x14ac:dyDescent="0.3">
      <c r="A41" s="158">
        <v>41</v>
      </c>
      <c r="B41" s="18" t="s">
        <v>51</v>
      </c>
      <c r="C41" s="71" t="s">
        <v>383</v>
      </c>
      <c r="D41" s="71" t="s">
        <v>383</v>
      </c>
      <c r="E41" s="71" t="s">
        <v>383</v>
      </c>
      <c r="F41" s="71" t="s">
        <v>383</v>
      </c>
      <c r="G41" s="71" t="s">
        <v>383</v>
      </c>
      <c r="H41" s="71" t="s">
        <v>383</v>
      </c>
      <c r="I41" s="71" t="s">
        <v>383</v>
      </c>
      <c r="J41" s="71" t="s">
        <v>383</v>
      </c>
      <c r="K41" s="71" t="s">
        <v>383</v>
      </c>
      <c r="L41" s="71" t="s">
        <v>383</v>
      </c>
      <c r="M41" s="71" t="s">
        <v>383</v>
      </c>
      <c r="N41" s="71" t="s">
        <v>383</v>
      </c>
      <c r="O41" s="71" t="s">
        <v>383</v>
      </c>
      <c r="P41" s="71" t="s">
        <v>383</v>
      </c>
      <c r="Q41" s="71" t="s">
        <v>383</v>
      </c>
      <c r="R41" s="71" t="s">
        <v>383</v>
      </c>
      <c r="S41" s="71" t="s">
        <v>383</v>
      </c>
      <c r="T41" s="71" t="s">
        <v>383</v>
      </c>
      <c r="U41" s="71" t="s">
        <v>383</v>
      </c>
      <c r="V41" s="71" t="s">
        <v>383</v>
      </c>
      <c r="W41" s="71" t="s">
        <v>383</v>
      </c>
      <c r="X41" s="71" t="s">
        <v>383</v>
      </c>
      <c r="Y41" s="71" t="s">
        <v>383</v>
      </c>
      <c r="Z41" s="71" t="s">
        <v>383</v>
      </c>
      <c r="AA41" s="71" t="s">
        <v>383</v>
      </c>
      <c r="AB41" s="71" t="s">
        <v>383</v>
      </c>
      <c r="AC41" s="71" t="s">
        <v>383</v>
      </c>
      <c r="AD41" s="71" t="s">
        <v>383</v>
      </c>
      <c r="AE41" s="159" t="s">
        <v>383</v>
      </c>
      <c r="AF41" s="72"/>
    </row>
    <row r="42" spans="1:33" s="11" customFormat="1" ht="15" customHeight="1" thickBot="1" x14ac:dyDescent="0.3">
      <c r="A42" s="160" t="s">
        <v>52</v>
      </c>
      <c r="B42" s="19" t="s">
        <v>53</v>
      </c>
      <c r="C42" s="64">
        <v>97</v>
      </c>
      <c r="D42" s="64">
        <v>84</v>
      </c>
      <c r="E42" s="64">
        <v>97</v>
      </c>
      <c r="F42" s="64">
        <v>117</v>
      </c>
      <c r="G42" s="64">
        <v>141</v>
      </c>
      <c r="H42" s="64">
        <v>125</v>
      </c>
      <c r="I42" s="64">
        <v>94</v>
      </c>
      <c r="J42" s="64">
        <v>120</v>
      </c>
      <c r="K42" s="64">
        <v>142</v>
      </c>
      <c r="L42" s="64">
        <v>178</v>
      </c>
      <c r="M42" s="64">
        <v>204</v>
      </c>
      <c r="N42" s="64">
        <v>202</v>
      </c>
      <c r="O42" s="64">
        <v>199</v>
      </c>
      <c r="P42" s="64">
        <v>187</v>
      </c>
      <c r="Q42" s="64">
        <v>187</v>
      </c>
      <c r="R42" s="64">
        <v>207</v>
      </c>
      <c r="S42" s="64">
        <v>217</v>
      </c>
      <c r="T42" s="64">
        <v>235</v>
      </c>
      <c r="U42" s="64">
        <v>234</v>
      </c>
      <c r="V42" s="64">
        <v>244</v>
      </c>
      <c r="W42" s="64">
        <v>238</v>
      </c>
      <c r="X42" s="64">
        <v>242</v>
      </c>
      <c r="Y42" s="64">
        <v>244</v>
      </c>
      <c r="Z42" s="64">
        <v>230</v>
      </c>
      <c r="AA42" s="64">
        <v>212</v>
      </c>
      <c r="AB42" s="64">
        <v>223</v>
      </c>
      <c r="AC42" s="64">
        <v>239</v>
      </c>
      <c r="AD42" s="64">
        <v>214</v>
      </c>
      <c r="AE42" s="145">
        <v>175</v>
      </c>
      <c r="AF42" s="72"/>
      <c r="AG42" s="10"/>
    </row>
    <row r="43" spans="1:33" ht="15" customHeight="1" thickBot="1" x14ac:dyDescent="0.3">
      <c r="A43" s="150">
        <v>45</v>
      </c>
      <c r="B43" s="14" t="s">
        <v>54</v>
      </c>
      <c r="C43" s="67">
        <v>97</v>
      </c>
      <c r="D43" s="67">
        <v>84</v>
      </c>
      <c r="E43" s="67">
        <v>97</v>
      </c>
      <c r="F43" s="67">
        <v>117</v>
      </c>
      <c r="G43" s="67">
        <v>141</v>
      </c>
      <c r="H43" s="67">
        <v>125</v>
      </c>
      <c r="I43" s="67">
        <v>94</v>
      </c>
      <c r="J43" s="67">
        <v>120</v>
      </c>
      <c r="K43" s="67">
        <v>142</v>
      </c>
      <c r="L43" s="67">
        <v>178</v>
      </c>
      <c r="M43" s="67">
        <v>204</v>
      </c>
      <c r="N43" s="67">
        <v>202</v>
      </c>
      <c r="O43" s="67">
        <v>199</v>
      </c>
      <c r="P43" s="67">
        <v>187</v>
      </c>
      <c r="Q43" s="67">
        <v>187</v>
      </c>
      <c r="R43" s="67">
        <v>207</v>
      </c>
      <c r="S43" s="67">
        <v>217</v>
      </c>
      <c r="T43" s="67">
        <v>235</v>
      </c>
      <c r="U43" s="67">
        <v>234</v>
      </c>
      <c r="V43" s="67">
        <v>244</v>
      </c>
      <c r="W43" s="67">
        <v>238</v>
      </c>
      <c r="X43" s="67">
        <v>242</v>
      </c>
      <c r="Y43" s="67">
        <v>244</v>
      </c>
      <c r="Z43" s="67">
        <v>230</v>
      </c>
      <c r="AA43" s="67">
        <v>212</v>
      </c>
      <c r="AB43" s="67">
        <v>223</v>
      </c>
      <c r="AC43" s="67">
        <v>239</v>
      </c>
      <c r="AD43" s="67">
        <v>214</v>
      </c>
      <c r="AE43" s="151">
        <v>175</v>
      </c>
      <c r="AF43" s="72"/>
    </row>
    <row r="44" spans="1:33" s="11" customFormat="1" ht="15" customHeight="1" thickBot="1" x14ac:dyDescent="0.3">
      <c r="A44" s="144" t="s">
        <v>55</v>
      </c>
      <c r="B44" s="9" t="s">
        <v>56</v>
      </c>
      <c r="C44" s="64">
        <v>308</v>
      </c>
      <c r="D44" s="64">
        <v>320</v>
      </c>
      <c r="E44" s="64">
        <v>338</v>
      </c>
      <c r="F44" s="64">
        <v>383</v>
      </c>
      <c r="G44" s="64">
        <v>425</v>
      </c>
      <c r="H44" s="64">
        <v>422</v>
      </c>
      <c r="I44" s="64">
        <v>386</v>
      </c>
      <c r="J44" s="64">
        <v>430</v>
      </c>
      <c r="K44" s="64">
        <v>456</v>
      </c>
      <c r="L44" s="64">
        <v>488</v>
      </c>
      <c r="M44" s="64">
        <v>512</v>
      </c>
      <c r="N44" s="64">
        <v>538</v>
      </c>
      <c r="O44" s="64">
        <v>574</v>
      </c>
      <c r="P44" s="64">
        <v>571</v>
      </c>
      <c r="Q44" s="64">
        <v>603</v>
      </c>
      <c r="R44" s="64">
        <v>649</v>
      </c>
      <c r="S44" s="64">
        <v>705</v>
      </c>
      <c r="T44" s="64">
        <v>723</v>
      </c>
      <c r="U44" s="64">
        <v>732</v>
      </c>
      <c r="V44" s="64">
        <v>761</v>
      </c>
      <c r="W44" s="64">
        <v>747</v>
      </c>
      <c r="X44" s="64">
        <v>763</v>
      </c>
      <c r="Y44" s="64">
        <v>747</v>
      </c>
      <c r="Z44" s="64">
        <v>713</v>
      </c>
      <c r="AA44" s="64">
        <v>687</v>
      </c>
      <c r="AB44" s="64">
        <v>743</v>
      </c>
      <c r="AC44" s="64">
        <v>776</v>
      </c>
      <c r="AD44" s="64">
        <v>808</v>
      </c>
      <c r="AE44" s="145">
        <v>802</v>
      </c>
      <c r="AF44" s="72"/>
      <c r="AG44" s="10"/>
    </row>
    <row r="45" spans="1:33" ht="15" customHeight="1" x14ac:dyDescent="0.25">
      <c r="A45" s="146">
        <v>50</v>
      </c>
      <c r="B45" s="12" t="s">
        <v>57</v>
      </c>
      <c r="C45" s="65">
        <v>61</v>
      </c>
      <c r="D45" s="65">
        <v>58</v>
      </c>
      <c r="E45" s="65">
        <v>59</v>
      </c>
      <c r="F45" s="65">
        <v>69</v>
      </c>
      <c r="G45" s="65">
        <v>86</v>
      </c>
      <c r="H45" s="65">
        <v>79</v>
      </c>
      <c r="I45" s="65">
        <v>69</v>
      </c>
      <c r="J45" s="65">
        <v>80</v>
      </c>
      <c r="K45" s="65">
        <v>82</v>
      </c>
      <c r="L45" s="65">
        <v>83</v>
      </c>
      <c r="M45" s="65">
        <v>89</v>
      </c>
      <c r="N45" s="65">
        <v>97</v>
      </c>
      <c r="O45" s="65">
        <v>107</v>
      </c>
      <c r="P45" s="65">
        <v>109</v>
      </c>
      <c r="Q45" s="65">
        <v>114</v>
      </c>
      <c r="R45" s="65">
        <v>117</v>
      </c>
      <c r="S45" s="65">
        <v>124</v>
      </c>
      <c r="T45" s="65">
        <v>124</v>
      </c>
      <c r="U45" s="65">
        <v>134</v>
      </c>
      <c r="V45" s="65">
        <v>143</v>
      </c>
      <c r="W45" s="65">
        <v>131</v>
      </c>
      <c r="X45" s="65">
        <v>135</v>
      </c>
      <c r="Y45" s="65">
        <v>145</v>
      </c>
      <c r="Z45" s="65">
        <v>133</v>
      </c>
      <c r="AA45" s="65">
        <v>131</v>
      </c>
      <c r="AB45" s="65">
        <v>131</v>
      </c>
      <c r="AC45" s="65">
        <v>131</v>
      </c>
      <c r="AD45" s="65">
        <v>136</v>
      </c>
      <c r="AE45" s="147">
        <v>131</v>
      </c>
      <c r="AF45" s="72"/>
    </row>
    <row r="46" spans="1:33" ht="15" customHeight="1" x14ac:dyDescent="0.25">
      <c r="A46" s="156">
        <v>51</v>
      </c>
      <c r="B46" s="17" t="s">
        <v>58</v>
      </c>
      <c r="C46" s="70">
        <v>45</v>
      </c>
      <c r="D46" s="70">
        <v>47</v>
      </c>
      <c r="E46" s="70">
        <v>50</v>
      </c>
      <c r="F46" s="70">
        <v>59</v>
      </c>
      <c r="G46" s="70">
        <v>61</v>
      </c>
      <c r="H46" s="70">
        <v>70</v>
      </c>
      <c r="I46" s="70">
        <v>69</v>
      </c>
      <c r="J46" s="70">
        <v>72</v>
      </c>
      <c r="K46" s="70">
        <v>71</v>
      </c>
      <c r="L46" s="70">
        <v>71</v>
      </c>
      <c r="M46" s="70">
        <v>69</v>
      </c>
      <c r="N46" s="70">
        <v>67</v>
      </c>
      <c r="O46" s="70">
        <v>73</v>
      </c>
      <c r="P46" s="70">
        <v>69</v>
      </c>
      <c r="Q46" s="70">
        <v>72</v>
      </c>
      <c r="R46" s="70">
        <v>81</v>
      </c>
      <c r="S46" s="70">
        <v>86</v>
      </c>
      <c r="T46" s="70">
        <v>94</v>
      </c>
      <c r="U46" s="70">
        <v>94</v>
      </c>
      <c r="V46" s="70">
        <v>95</v>
      </c>
      <c r="W46" s="70">
        <v>87</v>
      </c>
      <c r="X46" s="70">
        <v>95</v>
      </c>
      <c r="Y46" s="70">
        <v>92</v>
      </c>
      <c r="Z46" s="70">
        <v>93</v>
      </c>
      <c r="AA46" s="70">
        <v>89</v>
      </c>
      <c r="AB46" s="70">
        <v>95</v>
      </c>
      <c r="AC46" s="70">
        <v>94</v>
      </c>
      <c r="AD46" s="70">
        <v>92</v>
      </c>
      <c r="AE46" s="157">
        <v>101</v>
      </c>
      <c r="AF46" s="72"/>
    </row>
    <row r="47" spans="1:33" ht="15" customHeight="1" thickBot="1" x14ac:dyDescent="0.3">
      <c r="A47" s="158">
        <v>52</v>
      </c>
      <c r="B47" s="18" t="s">
        <v>59</v>
      </c>
      <c r="C47" s="71">
        <v>202</v>
      </c>
      <c r="D47" s="71">
        <v>215</v>
      </c>
      <c r="E47" s="71">
        <v>229</v>
      </c>
      <c r="F47" s="71">
        <v>255</v>
      </c>
      <c r="G47" s="71">
        <v>278</v>
      </c>
      <c r="H47" s="71">
        <v>273</v>
      </c>
      <c r="I47" s="71">
        <v>248</v>
      </c>
      <c r="J47" s="71">
        <v>278</v>
      </c>
      <c r="K47" s="71">
        <v>303</v>
      </c>
      <c r="L47" s="71">
        <v>334</v>
      </c>
      <c r="M47" s="71">
        <v>354</v>
      </c>
      <c r="N47" s="71">
        <v>374</v>
      </c>
      <c r="O47" s="71">
        <v>394</v>
      </c>
      <c r="P47" s="71">
        <v>393</v>
      </c>
      <c r="Q47" s="71">
        <v>417</v>
      </c>
      <c r="R47" s="71">
        <v>451</v>
      </c>
      <c r="S47" s="71">
        <v>495</v>
      </c>
      <c r="T47" s="71">
        <v>505</v>
      </c>
      <c r="U47" s="71">
        <v>504</v>
      </c>
      <c r="V47" s="71">
        <v>523</v>
      </c>
      <c r="W47" s="71">
        <v>529</v>
      </c>
      <c r="X47" s="71">
        <v>533</v>
      </c>
      <c r="Y47" s="71">
        <v>510</v>
      </c>
      <c r="Z47" s="71">
        <v>487</v>
      </c>
      <c r="AA47" s="71">
        <v>467</v>
      </c>
      <c r="AB47" s="71">
        <v>517</v>
      </c>
      <c r="AC47" s="71">
        <v>551</v>
      </c>
      <c r="AD47" s="71">
        <v>580</v>
      </c>
      <c r="AE47" s="159">
        <v>570</v>
      </c>
      <c r="AF47" s="72"/>
    </row>
    <row r="48" spans="1:33" s="11" customFormat="1" ht="15" customHeight="1" thickBot="1" x14ac:dyDescent="0.3">
      <c r="A48" s="160" t="s">
        <v>60</v>
      </c>
      <c r="B48" s="19" t="s">
        <v>61</v>
      </c>
      <c r="C48" s="64">
        <v>70</v>
      </c>
      <c r="D48" s="64">
        <v>74</v>
      </c>
      <c r="E48" s="64">
        <v>89</v>
      </c>
      <c r="F48" s="64">
        <v>95</v>
      </c>
      <c r="G48" s="64">
        <v>102</v>
      </c>
      <c r="H48" s="64">
        <v>102</v>
      </c>
      <c r="I48" s="64">
        <v>93</v>
      </c>
      <c r="J48" s="64">
        <v>97</v>
      </c>
      <c r="K48" s="64">
        <v>125</v>
      </c>
      <c r="L48" s="64">
        <v>145</v>
      </c>
      <c r="M48" s="64">
        <v>170</v>
      </c>
      <c r="N48" s="64">
        <v>188</v>
      </c>
      <c r="O48" s="64">
        <v>197</v>
      </c>
      <c r="P48" s="64">
        <v>198</v>
      </c>
      <c r="Q48" s="64">
        <v>200</v>
      </c>
      <c r="R48" s="64">
        <v>210</v>
      </c>
      <c r="S48" s="64">
        <v>230</v>
      </c>
      <c r="T48" s="64">
        <v>228</v>
      </c>
      <c r="U48" s="64">
        <v>241</v>
      </c>
      <c r="V48" s="64">
        <v>235</v>
      </c>
      <c r="W48" s="64">
        <v>252</v>
      </c>
      <c r="X48" s="64">
        <v>244</v>
      </c>
      <c r="Y48" s="64">
        <v>237</v>
      </c>
      <c r="Z48" s="64">
        <v>245</v>
      </c>
      <c r="AA48" s="64">
        <v>217</v>
      </c>
      <c r="AB48" s="64">
        <v>229</v>
      </c>
      <c r="AC48" s="64">
        <v>243</v>
      </c>
      <c r="AD48" s="64">
        <v>253</v>
      </c>
      <c r="AE48" s="145">
        <v>247</v>
      </c>
      <c r="AF48" s="72"/>
      <c r="AG48" s="10"/>
    </row>
    <row r="49" spans="1:33" ht="15" customHeight="1" thickBot="1" x14ac:dyDescent="0.3">
      <c r="A49" s="150">
        <v>55</v>
      </c>
      <c r="B49" s="14" t="s">
        <v>62</v>
      </c>
      <c r="C49" s="67">
        <v>70</v>
      </c>
      <c r="D49" s="67">
        <v>74</v>
      </c>
      <c r="E49" s="67">
        <v>89</v>
      </c>
      <c r="F49" s="67">
        <v>95</v>
      </c>
      <c r="G49" s="67">
        <v>102</v>
      </c>
      <c r="H49" s="67">
        <v>102</v>
      </c>
      <c r="I49" s="67">
        <v>93</v>
      </c>
      <c r="J49" s="67">
        <v>97</v>
      </c>
      <c r="K49" s="67">
        <v>125</v>
      </c>
      <c r="L49" s="67">
        <v>145</v>
      </c>
      <c r="M49" s="67">
        <v>170</v>
      </c>
      <c r="N49" s="67">
        <v>188</v>
      </c>
      <c r="O49" s="67">
        <v>197</v>
      </c>
      <c r="P49" s="67">
        <v>198</v>
      </c>
      <c r="Q49" s="67">
        <v>200</v>
      </c>
      <c r="R49" s="67">
        <v>210</v>
      </c>
      <c r="S49" s="67">
        <v>230</v>
      </c>
      <c r="T49" s="67">
        <v>228</v>
      </c>
      <c r="U49" s="67">
        <v>241</v>
      </c>
      <c r="V49" s="67">
        <v>235</v>
      </c>
      <c r="W49" s="67">
        <v>252</v>
      </c>
      <c r="X49" s="67">
        <v>244</v>
      </c>
      <c r="Y49" s="67">
        <v>237</v>
      </c>
      <c r="Z49" s="67">
        <v>245</v>
      </c>
      <c r="AA49" s="67">
        <v>217</v>
      </c>
      <c r="AB49" s="67">
        <v>229</v>
      </c>
      <c r="AC49" s="67">
        <v>243</v>
      </c>
      <c r="AD49" s="67">
        <v>253</v>
      </c>
      <c r="AE49" s="151">
        <v>247</v>
      </c>
      <c r="AF49" s="72"/>
    </row>
    <row r="50" spans="1:33" s="11" customFormat="1" ht="15" customHeight="1" thickBot="1" x14ac:dyDescent="0.3">
      <c r="A50" s="144" t="s">
        <v>63</v>
      </c>
      <c r="B50" s="9" t="s">
        <v>64</v>
      </c>
      <c r="C50" s="64">
        <v>106</v>
      </c>
      <c r="D50" s="64">
        <v>115</v>
      </c>
      <c r="E50" s="64">
        <v>131</v>
      </c>
      <c r="F50" s="64">
        <v>166</v>
      </c>
      <c r="G50" s="64">
        <v>200</v>
      </c>
      <c r="H50" s="64">
        <v>191</v>
      </c>
      <c r="I50" s="64">
        <v>161</v>
      </c>
      <c r="J50" s="64">
        <v>185</v>
      </c>
      <c r="K50" s="64">
        <v>207</v>
      </c>
      <c r="L50" s="64">
        <v>246</v>
      </c>
      <c r="M50" s="64">
        <v>286</v>
      </c>
      <c r="N50" s="64">
        <v>288</v>
      </c>
      <c r="O50" s="64">
        <v>313</v>
      </c>
      <c r="P50" s="64">
        <v>322</v>
      </c>
      <c r="Q50" s="64">
        <v>459</v>
      </c>
      <c r="R50" s="64">
        <v>470</v>
      </c>
      <c r="S50" s="64">
        <v>506</v>
      </c>
      <c r="T50" s="64">
        <v>531</v>
      </c>
      <c r="U50" s="64">
        <v>545</v>
      </c>
      <c r="V50" s="64">
        <v>540</v>
      </c>
      <c r="W50" s="64">
        <v>527</v>
      </c>
      <c r="X50" s="64">
        <v>528</v>
      </c>
      <c r="Y50" s="64">
        <v>480</v>
      </c>
      <c r="Z50" s="64">
        <v>463</v>
      </c>
      <c r="AA50" s="64">
        <v>409</v>
      </c>
      <c r="AB50" s="64">
        <v>401</v>
      </c>
      <c r="AC50" s="64">
        <v>425</v>
      </c>
      <c r="AD50" s="64">
        <v>414</v>
      </c>
      <c r="AE50" s="145">
        <v>380</v>
      </c>
      <c r="AF50" s="72"/>
      <c r="AG50" s="10"/>
    </row>
    <row r="51" spans="1:33" ht="15" customHeight="1" x14ac:dyDescent="0.25">
      <c r="A51" s="152">
        <v>60</v>
      </c>
      <c r="B51" s="15" t="s">
        <v>65</v>
      </c>
      <c r="C51" s="68">
        <v>57</v>
      </c>
      <c r="D51" s="68">
        <v>58</v>
      </c>
      <c r="E51" s="68">
        <v>65</v>
      </c>
      <c r="F51" s="68">
        <v>79</v>
      </c>
      <c r="G51" s="68">
        <v>113</v>
      </c>
      <c r="H51" s="68">
        <v>95</v>
      </c>
      <c r="I51" s="68">
        <v>74</v>
      </c>
      <c r="J51" s="68">
        <v>79</v>
      </c>
      <c r="K51" s="68">
        <v>91</v>
      </c>
      <c r="L51" s="68">
        <v>121</v>
      </c>
      <c r="M51" s="68">
        <v>152</v>
      </c>
      <c r="N51" s="68">
        <v>159</v>
      </c>
      <c r="O51" s="68">
        <v>173</v>
      </c>
      <c r="P51" s="68">
        <v>189</v>
      </c>
      <c r="Q51" s="68">
        <v>322</v>
      </c>
      <c r="R51" s="68">
        <v>317</v>
      </c>
      <c r="S51" s="68">
        <v>349</v>
      </c>
      <c r="T51" s="68">
        <v>372</v>
      </c>
      <c r="U51" s="68">
        <v>390</v>
      </c>
      <c r="V51" s="68">
        <v>379</v>
      </c>
      <c r="W51" s="68">
        <v>373</v>
      </c>
      <c r="X51" s="68">
        <v>371</v>
      </c>
      <c r="Y51" s="68">
        <v>332</v>
      </c>
      <c r="Z51" s="68">
        <v>313</v>
      </c>
      <c r="AA51" s="68">
        <v>266</v>
      </c>
      <c r="AB51" s="68">
        <v>254</v>
      </c>
      <c r="AC51" s="68">
        <v>263</v>
      </c>
      <c r="AD51" s="68">
        <v>251</v>
      </c>
      <c r="AE51" s="153">
        <v>216</v>
      </c>
      <c r="AF51" s="72"/>
    </row>
    <row r="52" spans="1:33" ht="15" customHeight="1" x14ac:dyDescent="0.25">
      <c r="A52" s="161">
        <v>61</v>
      </c>
      <c r="B52" s="20" t="s">
        <v>66</v>
      </c>
      <c r="C52" s="73" t="s">
        <v>383</v>
      </c>
      <c r="D52" s="73" t="s">
        <v>383</v>
      </c>
      <c r="E52" s="73">
        <v>7</v>
      </c>
      <c r="F52" s="73" t="s">
        <v>383</v>
      </c>
      <c r="G52" s="73" t="s">
        <v>383</v>
      </c>
      <c r="H52" s="73" t="s">
        <v>383</v>
      </c>
      <c r="I52" s="73" t="s">
        <v>383</v>
      </c>
      <c r="J52" s="73" t="s">
        <v>383</v>
      </c>
      <c r="K52" s="73" t="s">
        <v>383</v>
      </c>
      <c r="L52" s="73" t="s">
        <v>383</v>
      </c>
      <c r="M52" s="73" t="s">
        <v>383</v>
      </c>
      <c r="N52" s="73" t="s">
        <v>383</v>
      </c>
      <c r="O52" s="73">
        <v>10</v>
      </c>
      <c r="P52" s="73">
        <v>10</v>
      </c>
      <c r="Q52" s="73">
        <v>11</v>
      </c>
      <c r="R52" s="73">
        <v>12</v>
      </c>
      <c r="S52" s="73">
        <v>11</v>
      </c>
      <c r="T52" s="73">
        <v>12</v>
      </c>
      <c r="U52" s="73">
        <v>9</v>
      </c>
      <c r="V52" s="73">
        <v>10</v>
      </c>
      <c r="W52" s="73">
        <v>11</v>
      </c>
      <c r="X52" s="73">
        <v>10</v>
      </c>
      <c r="Y52" s="73">
        <v>12</v>
      </c>
      <c r="Z52" s="73">
        <v>13</v>
      </c>
      <c r="AA52" s="73">
        <v>11</v>
      </c>
      <c r="AB52" s="73">
        <v>13</v>
      </c>
      <c r="AC52" s="73">
        <v>15</v>
      </c>
      <c r="AD52" s="73">
        <v>14</v>
      </c>
      <c r="AE52" s="162">
        <v>14</v>
      </c>
      <c r="AF52" s="72"/>
    </row>
    <row r="53" spans="1:33" ht="15" customHeight="1" x14ac:dyDescent="0.25">
      <c r="A53" s="152">
        <v>62</v>
      </c>
      <c r="B53" s="15" t="s">
        <v>67</v>
      </c>
      <c r="C53" s="68" t="s">
        <v>383</v>
      </c>
      <c r="D53" s="68" t="s">
        <v>383</v>
      </c>
      <c r="E53" s="68" t="s">
        <v>383</v>
      </c>
      <c r="F53" s="68" t="s">
        <v>383</v>
      </c>
      <c r="G53" s="68" t="s">
        <v>383</v>
      </c>
      <c r="H53" s="68" t="s">
        <v>383</v>
      </c>
      <c r="I53" s="68" t="s">
        <v>383</v>
      </c>
      <c r="J53" s="68" t="s">
        <v>383</v>
      </c>
      <c r="K53" s="68" t="s">
        <v>383</v>
      </c>
      <c r="L53" s="68" t="s">
        <v>383</v>
      </c>
      <c r="M53" s="68" t="s">
        <v>383</v>
      </c>
      <c r="N53" s="68" t="s">
        <v>383</v>
      </c>
      <c r="O53" s="68">
        <v>4</v>
      </c>
      <c r="P53" s="68">
        <v>4</v>
      </c>
      <c r="Q53" s="68">
        <v>4</v>
      </c>
      <c r="R53" s="68">
        <v>6</v>
      </c>
      <c r="S53" s="68">
        <v>5</v>
      </c>
      <c r="T53" s="68">
        <v>8</v>
      </c>
      <c r="U53" s="68">
        <v>8</v>
      </c>
      <c r="V53" s="68">
        <v>8</v>
      </c>
      <c r="W53" s="68">
        <v>8</v>
      </c>
      <c r="X53" s="68">
        <v>7</v>
      </c>
      <c r="Y53" s="68">
        <v>7</v>
      </c>
      <c r="Z53" s="68">
        <v>7</v>
      </c>
      <c r="AA53" s="68">
        <v>7</v>
      </c>
      <c r="AB53" s="68">
        <v>6</v>
      </c>
      <c r="AC53" s="68">
        <v>6</v>
      </c>
      <c r="AD53" s="68">
        <v>6</v>
      </c>
      <c r="AE53" s="153">
        <v>6</v>
      </c>
      <c r="AF53" s="72"/>
    </row>
    <row r="54" spans="1:33" ht="15" customHeight="1" x14ac:dyDescent="0.25">
      <c r="A54" s="163">
        <v>63</v>
      </c>
      <c r="B54" s="21" t="s">
        <v>68</v>
      </c>
      <c r="C54" s="74">
        <v>33</v>
      </c>
      <c r="D54" s="74">
        <v>38</v>
      </c>
      <c r="E54" s="74">
        <v>44</v>
      </c>
      <c r="F54" s="74">
        <v>54</v>
      </c>
      <c r="G54" s="74">
        <v>51</v>
      </c>
      <c r="H54" s="74">
        <v>63</v>
      </c>
      <c r="I54" s="74">
        <v>60</v>
      </c>
      <c r="J54" s="74">
        <v>78</v>
      </c>
      <c r="K54" s="74">
        <v>83</v>
      </c>
      <c r="L54" s="74">
        <v>91</v>
      </c>
      <c r="M54" s="74">
        <v>99</v>
      </c>
      <c r="N54" s="74">
        <v>92</v>
      </c>
      <c r="O54" s="74">
        <v>99</v>
      </c>
      <c r="P54" s="74">
        <v>95</v>
      </c>
      <c r="Q54" s="74">
        <v>101</v>
      </c>
      <c r="R54" s="74">
        <v>111</v>
      </c>
      <c r="S54" s="74">
        <v>115</v>
      </c>
      <c r="T54" s="74">
        <v>115</v>
      </c>
      <c r="U54" s="74">
        <v>115</v>
      </c>
      <c r="V54" s="74">
        <v>119</v>
      </c>
      <c r="W54" s="74">
        <v>112</v>
      </c>
      <c r="X54" s="74">
        <v>115</v>
      </c>
      <c r="Y54" s="74">
        <v>107</v>
      </c>
      <c r="Z54" s="74">
        <v>106</v>
      </c>
      <c r="AA54" s="74">
        <v>99</v>
      </c>
      <c r="AB54" s="74">
        <v>105</v>
      </c>
      <c r="AC54" s="74">
        <v>119</v>
      </c>
      <c r="AD54" s="74">
        <v>125</v>
      </c>
      <c r="AE54" s="164">
        <v>129</v>
      </c>
      <c r="AF54" s="72"/>
    </row>
    <row r="55" spans="1:33" ht="15" customHeight="1" thickBot="1" x14ac:dyDescent="0.3">
      <c r="A55" s="152">
        <v>64</v>
      </c>
      <c r="B55" s="15" t="s">
        <v>99</v>
      </c>
      <c r="C55" s="68">
        <v>9</v>
      </c>
      <c r="D55" s="68">
        <v>11</v>
      </c>
      <c r="E55" s="68" t="s">
        <v>383</v>
      </c>
      <c r="F55" s="68">
        <v>24</v>
      </c>
      <c r="G55" s="68">
        <v>27</v>
      </c>
      <c r="H55" s="68">
        <v>25</v>
      </c>
      <c r="I55" s="68">
        <v>19</v>
      </c>
      <c r="J55" s="68">
        <v>17</v>
      </c>
      <c r="K55" s="68">
        <v>20</v>
      </c>
      <c r="L55" s="68">
        <v>20</v>
      </c>
      <c r="M55" s="68">
        <v>21</v>
      </c>
      <c r="N55" s="68">
        <v>24</v>
      </c>
      <c r="O55" s="68">
        <v>27</v>
      </c>
      <c r="P55" s="68">
        <v>24</v>
      </c>
      <c r="Q55" s="68">
        <v>21</v>
      </c>
      <c r="R55" s="68">
        <v>24</v>
      </c>
      <c r="S55" s="68">
        <v>26</v>
      </c>
      <c r="T55" s="68">
        <v>24</v>
      </c>
      <c r="U55" s="68">
        <v>23</v>
      </c>
      <c r="V55" s="68">
        <v>24</v>
      </c>
      <c r="W55" s="68">
        <v>23</v>
      </c>
      <c r="X55" s="68">
        <v>25</v>
      </c>
      <c r="Y55" s="68">
        <v>22</v>
      </c>
      <c r="Z55" s="68">
        <v>24</v>
      </c>
      <c r="AA55" s="68">
        <v>26</v>
      </c>
      <c r="AB55" s="68">
        <v>23</v>
      </c>
      <c r="AC55" s="68">
        <v>22</v>
      </c>
      <c r="AD55" s="68">
        <v>18</v>
      </c>
      <c r="AE55" s="153">
        <v>15</v>
      </c>
      <c r="AF55" s="72"/>
    </row>
    <row r="56" spans="1:33" s="11" customFormat="1" ht="15" customHeight="1" thickBot="1" x14ac:dyDescent="0.3">
      <c r="A56" s="144" t="s">
        <v>70</v>
      </c>
      <c r="B56" s="9" t="s">
        <v>71</v>
      </c>
      <c r="C56" s="64">
        <v>30</v>
      </c>
      <c r="D56" s="64">
        <v>29</v>
      </c>
      <c r="E56" s="64">
        <v>46</v>
      </c>
      <c r="F56" s="64">
        <v>45</v>
      </c>
      <c r="G56" s="64">
        <v>49</v>
      </c>
      <c r="H56" s="64">
        <v>45</v>
      </c>
      <c r="I56" s="64">
        <v>41</v>
      </c>
      <c r="J56" s="64">
        <v>48</v>
      </c>
      <c r="K56" s="64">
        <v>46</v>
      </c>
      <c r="L56" s="64">
        <v>47</v>
      </c>
      <c r="M56" s="64">
        <v>47</v>
      </c>
      <c r="N56" s="64">
        <v>50</v>
      </c>
      <c r="O56" s="64">
        <v>58</v>
      </c>
      <c r="P56" s="64">
        <v>48</v>
      </c>
      <c r="Q56" s="64">
        <v>53</v>
      </c>
      <c r="R56" s="64">
        <v>57</v>
      </c>
      <c r="S56" s="64">
        <v>57</v>
      </c>
      <c r="T56" s="64">
        <v>56</v>
      </c>
      <c r="U56" s="64">
        <v>58</v>
      </c>
      <c r="V56" s="64">
        <v>58</v>
      </c>
      <c r="W56" s="64">
        <v>57</v>
      </c>
      <c r="X56" s="64">
        <v>57</v>
      </c>
      <c r="Y56" s="64">
        <v>58</v>
      </c>
      <c r="Z56" s="64">
        <v>57</v>
      </c>
      <c r="AA56" s="64">
        <v>60</v>
      </c>
      <c r="AB56" s="64">
        <v>57</v>
      </c>
      <c r="AC56" s="64">
        <v>53</v>
      </c>
      <c r="AD56" s="64">
        <v>55</v>
      </c>
      <c r="AE56" s="145">
        <v>51</v>
      </c>
      <c r="AF56" s="72"/>
      <c r="AG56" s="10"/>
    </row>
    <row r="57" spans="1:33" ht="15" customHeight="1" x14ac:dyDescent="0.25">
      <c r="A57" s="152">
        <v>65</v>
      </c>
      <c r="B57" s="15" t="s">
        <v>72</v>
      </c>
      <c r="C57" s="68">
        <v>9</v>
      </c>
      <c r="D57" s="68">
        <v>8</v>
      </c>
      <c r="E57" s="68">
        <v>14</v>
      </c>
      <c r="F57" s="68">
        <v>10</v>
      </c>
      <c r="G57" s="68">
        <v>14</v>
      </c>
      <c r="H57" s="68">
        <v>12</v>
      </c>
      <c r="I57" s="68">
        <v>10</v>
      </c>
      <c r="J57" s="68">
        <v>14</v>
      </c>
      <c r="K57" s="68">
        <v>14</v>
      </c>
      <c r="L57" s="68">
        <v>15</v>
      </c>
      <c r="M57" s="68">
        <v>14</v>
      </c>
      <c r="N57" s="68">
        <v>16</v>
      </c>
      <c r="O57" s="68">
        <v>20</v>
      </c>
      <c r="P57" s="68">
        <v>20</v>
      </c>
      <c r="Q57" s="68">
        <v>24</v>
      </c>
      <c r="R57" s="68">
        <v>25</v>
      </c>
      <c r="S57" s="68">
        <v>26</v>
      </c>
      <c r="T57" s="68">
        <v>28</v>
      </c>
      <c r="U57" s="68">
        <v>29</v>
      </c>
      <c r="V57" s="68">
        <v>30</v>
      </c>
      <c r="W57" s="68">
        <v>27</v>
      </c>
      <c r="X57" s="68">
        <v>27</v>
      </c>
      <c r="Y57" s="68">
        <v>27</v>
      </c>
      <c r="Z57" s="68">
        <v>26</v>
      </c>
      <c r="AA57" s="68">
        <v>26</v>
      </c>
      <c r="AB57" s="68">
        <v>26</v>
      </c>
      <c r="AC57" s="68">
        <v>24</v>
      </c>
      <c r="AD57" s="68">
        <v>25</v>
      </c>
      <c r="AE57" s="153">
        <v>21</v>
      </c>
      <c r="AF57" s="72"/>
    </row>
    <row r="58" spans="1:33" ht="15" customHeight="1" x14ac:dyDescent="0.25">
      <c r="A58" s="156">
        <v>66</v>
      </c>
      <c r="B58" s="17" t="s">
        <v>100</v>
      </c>
      <c r="C58" s="70">
        <v>13</v>
      </c>
      <c r="D58" s="70">
        <v>15</v>
      </c>
      <c r="E58" s="70">
        <v>22</v>
      </c>
      <c r="F58" s="70">
        <v>25</v>
      </c>
      <c r="G58" s="70">
        <v>26</v>
      </c>
      <c r="H58" s="70">
        <v>25</v>
      </c>
      <c r="I58" s="70">
        <v>24</v>
      </c>
      <c r="J58" s="70">
        <v>25</v>
      </c>
      <c r="K58" s="70">
        <v>24</v>
      </c>
      <c r="L58" s="70">
        <v>24</v>
      </c>
      <c r="M58" s="70">
        <v>25</v>
      </c>
      <c r="N58" s="70">
        <v>26</v>
      </c>
      <c r="O58" s="70">
        <v>29</v>
      </c>
      <c r="P58" s="70">
        <v>20</v>
      </c>
      <c r="Q58" s="70">
        <v>22</v>
      </c>
      <c r="R58" s="70">
        <v>22</v>
      </c>
      <c r="S58" s="70">
        <v>21</v>
      </c>
      <c r="T58" s="70">
        <v>21</v>
      </c>
      <c r="U58" s="70">
        <v>21</v>
      </c>
      <c r="V58" s="70">
        <v>21</v>
      </c>
      <c r="W58" s="70">
        <v>22</v>
      </c>
      <c r="X58" s="70">
        <v>21</v>
      </c>
      <c r="Y58" s="70">
        <v>21</v>
      </c>
      <c r="Z58" s="70">
        <v>20</v>
      </c>
      <c r="AA58" s="70">
        <v>22</v>
      </c>
      <c r="AB58" s="70">
        <v>21</v>
      </c>
      <c r="AC58" s="70">
        <v>20</v>
      </c>
      <c r="AD58" s="70">
        <v>19</v>
      </c>
      <c r="AE58" s="157">
        <v>19</v>
      </c>
      <c r="AF58" s="72"/>
    </row>
    <row r="59" spans="1:33" ht="15" customHeight="1" thickBot="1" x14ac:dyDescent="0.3">
      <c r="A59" s="152">
        <v>67</v>
      </c>
      <c r="B59" s="15" t="s">
        <v>74</v>
      </c>
      <c r="C59" s="68">
        <v>8</v>
      </c>
      <c r="D59" s="68">
        <v>6</v>
      </c>
      <c r="E59" s="68">
        <v>10</v>
      </c>
      <c r="F59" s="68">
        <v>10</v>
      </c>
      <c r="G59" s="68">
        <v>9</v>
      </c>
      <c r="H59" s="68">
        <v>8</v>
      </c>
      <c r="I59" s="68">
        <v>7</v>
      </c>
      <c r="J59" s="68">
        <v>9</v>
      </c>
      <c r="K59" s="68">
        <v>8</v>
      </c>
      <c r="L59" s="68">
        <v>8</v>
      </c>
      <c r="M59" s="68">
        <v>8</v>
      </c>
      <c r="N59" s="68">
        <v>8</v>
      </c>
      <c r="O59" s="68">
        <v>9</v>
      </c>
      <c r="P59" s="68">
        <v>8</v>
      </c>
      <c r="Q59" s="68">
        <v>7</v>
      </c>
      <c r="R59" s="68">
        <v>10</v>
      </c>
      <c r="S59" s="68">
        <v>10</v>
      </c>
      <c r="T59" s="68">
        <v>7</v>
      </c>
      <c r="U59" s="68">
        <v>8</v>
      </c>
      <c r="V59" s="68">
        <v>7</v>
      </c>
      <c r="W59" s="68">
        <v>8</v>
      </c>
      <c r="X59" s="68">
        <v>9</v>
      </c>
      <c r="Y59" s="68">
        <v>10</v>
      </c>
      <c r="Z59" s="68">
        <v>11</v>
      </c>
      <c r="AA59" s="68">
        <v>12</v>
      </c>
      <c r="AB59" s="68">
        <v>10</v>
      </c>
      <c r="AC59" s="68">
        <v>9</v>
      </c>
      <c r="AD59" s="68">
        <v>11</v>
      </c>
      <c r="AE59" s="153">
        <v>11</v>
      </c>
      <c r="AF59" s="72"/>
    </row>
    <row r="60" spans="1:33" s="11" customFormat="1" ht="15" customHeight="1" thickBot="1" x14ac:dyDescent="0.3">
      <c r="A60" s="144" t="s">
        <v>75</v>
      </c>
      <c r="B60" s="9" t="s">
        <v>76</v>
      </c>
      <c r="C60" s="64">
        <v>238</v>
      </c>
      <c r="D60" s="64">
        <v>273</v>
      </c>
      <c r="E60" s="64">
        <v>277</v>
      </c>
      <c r="F60" s="64">
        <v>330</v>
      </c>
      <c r="G60" s="64">
        <v>362</v>
      </c>
      <c r="H60" s="64">
        <v>357</v>
      </c>
      <c r="I60" s="64">
        <v>327</v>
      </c>
      <c r="J60" s="64">
        <v>358</v>
      </c>
      <c r="K60" s="64">
        <v>380</v>
      </c>
      <c r="L60" s="64">
        <v>408</v>
      </c>
      <c r="M60" s="64">
        <v>437</v>
      </c>
      <c r="N60" s="64">
        <v>456</v>
      </c>
      <c r="O60" s="64">
        <v>471</v>
      </c>
      <c r="P60" s="64">
        <v>448</v>
      </c>
      <c r="Q60" s="64">
        <v>455</v>
      </c>
      <c r="R60" s="64">
        <v>459</v>
      </c>
      <c r="S60" s="64">
        <v>477</v>
      </c>
      <c r="T60" s="64">
        <v>477</v>
      </c>
      <c r="U60" s="64">
        <v>476</v>
      </c>
      <c r="V60" s="64">
        <v>492</v>
      </c>
      <c r="W60" s="64">
        <v>468</v>
      </c>
      <c r="X60" s="64">
        <v>442</v>
      </c>
      <c r="Y60" s="64">
        <v>427</v>
      </c>
      <c r="Z60" s="64">
        <v>389</v>
      </c>
      <c r="AA60" s="64">
        <v>359</v>
      </c>
      <c r="AB60" s="64">
        <v>368</v>
      </c>
      <c r="AC60" s="64">
        <v>405</v>
      </c>
      <c r="AD60" s="64">
        <v>411</v>
      </c>
      <c r="AE60" s="145">
        <v>388</v>
      </c>
      <c r="AF60" s="72"/>
      <c r="AG60" s="10"/>
    </row>
    <row r="61" spans="1:33" ht="15" customHeight="1" x14ac:dyDescent="0.25">
      <c r="A61" s="146">
        <v>70</v>
      </c>
      <c r="B61" s="12" t="s">
        <v>77</v>
      </c>
      <c r="C61" s="65">
        <v>89</v>
      </c>
      <c r="D61" s="65">
        <v>103</v>
      </c>
      <c r="E61" s="65">
        <v>101</v>
      </c>
      <c r="F61" s="65">
        <v>118</v>
      </c>
      <c r="G61" s="65">
        <v>129</v>
      </c>
      <c r="H61" s="65">
        <v>126</v>
      </c>
      <c r="I61" s="65">
        <v>112</v>
      </c>
      <c r="J61" s="65">
        <v>111</v>
      </c>
      <c r="K61" s="65">
        <v>124</v>
      </c>
      <c r="L61" s="65">
        <v>133</v>
      </c>
      <c r="M61" s="65">
        <v>145</v>
      </c>
      <c r="N61" s="65">
        <v>148</v>
      </c>
      <c r="O61" s="65">
        <v>147</v>
      </c>
      <c r="P61" s="65">
        <v>150</v>
      </c>
      <c r="Q61" s="65">
        <v>148</v>
      </c>
      <c r="R61" s="65">
        <v>145</v>
      </c>
      <c r="S61" s="65">
        <v>146</v>
      </c>
      <c r="T61" s="65">
        <v>138</v>
      </c>
      <c r="U61" s="65">
        <v>139</v>
      </c>
      <c r="V61" s="65">
        <v>146</v>
      </c>
      <c r="W61" s="65">
        <v>130</v>
      </c>
      <c r="X61" s="65">
        <v>124</v>
      </c>
      <c r="Y61" s="65">
        <v>109</v>
      </c>
      <c r="Z61" s="65">
        <v>90</v>
      </c>
      <c r="AA61" s="65">
        <v>80</v>
      </c>
      <c r="AB61" s="65">
        <v>73</v>
      </c>
      <c r="AC61" s="65">
        <v>77</v>
      </c>
      <c r="AD61" s="65">
        <v>71</v>
      </c>
      <c r="AE61" s="147">
        <v>64</v>
      </c>
      <c r="AF61" s="72"/>
    </row>
    <row r="62" spans="1:33" ht="15" customHeight="1" x14ac:dyDescent="0.25">
      <c r="A62" s="156">
        <v>71</v>
      </c>
      <c r="B62" s="17" t="s">
        <v>78</v>
      </c>
      <c r="C62" s="70">
        <v>9</v>
      </c>
      <c r="D62" s="70">
        <v>8</v>
      </c>
      <c r="E62" s="70">
        <v>7</v>
      </c>
      <c r="F62" s="70">
        <v>8</v>
      </c>
      <c r="G62" s="70">
        <v>7</v>
      </c>
      <c r="H62" s="70">
        <v>7</v>
      </c>
      <c r="I62" s="70">
        <v>7</v>
      </c>
      <c r="J62" s="70">
        <v>8</v>
      </c>
      <c r="K62" s="70">
        <v>11</v>
      </c>
      <c r="L62" s="70">
        <v>12</v>
      </c>
      <c r="M62" s="70">
        <v>15</v>
      </c>
      <c r="N62" s="70">
        <v>18</v>
      </c>
      <c r="O62" s="70" t="s">
        <v>383</v>
      </c>
      <c r="P62" s="70">
        <v>18</v>
      </c>
      <c r="Q62" s="70">
        <v>16</v>
      </c>
      <c r="R62" s="70">
        <v>19</v>
      </c>
      <c r="S62" s="70">
        <v>20</v>
      </c>
      <c r="T62" s="70">
        <v>25</v>
      </c>
      <c r="U62" s="70">
        <v>23</v>
      </c>
      <c r="V62" s="70">
        <v>23</v>
      </c>
      <c r="W62" s="70">
        <v>22</v>
      </c>
      <c r="X62" s="70">
        <v>18</v>
      </c>
      <c r="Y62" s="70">
        <v>14</v>
      </c>
      <c r="Z62" s="70">
        <v>15</v>
      </c>
      <c r="AA62" s="70">
        <v>16</v>
      </c>
      <c r="AB62" s="70">
        <v>17</v>
      </c>
      <c r="AC62" s="70">
        <v>21</v>
      </c>
      <c r="AD62" s="70">
        <v>29</v>
      </c>
      <c r="AE62" s="157">
        <v>27</v>
      </c>
      <c r="AF62" s="72"/>
    </row>
    <row r="63" spans="1:33" ht="15" customHeight="1" x14ac:dyDescent="0.25">
      <c r="A63" s="156">
        <v>72</v>
      </c>
      <c r="B63" s="17" t="s">
        <v>79</v>
      </c>
      <c r="C63" s="70" t="s">
        <v>383</v>
      </c>
      <c r="D63" s="70">
        <v>4</v>
      </c>
      <c r="E63" s="70">
        <v>4</v>
      </c>
      <c r="F63" s="70">
        <v>5</v>
      </c>
      <c r="G63" s="70">
        <v>8</v>
      </c>
      <c r="H63" s="70">
        <v>9</v>
      </c>
      <c r="I63" s="70" t="s">
        <v>383</v>
      </c>
      <c r="J63" s="70" t="s">
        <v>383</v>
      </c>
      <c r="K63" s="70" t="s">
        <v>383</v>
      </c>
      <c r="L63" s="70" t="s">
        <v>383</v>
      </c>
      <c r="M63" s="70" t="s">
        <v>383</v>
      </c>
      <c r="N63" s="70" t="s">
        <v>383</v>
      </c>
      <c r="O63" s="70">
        <v>17</v>
      </c>
      <c r="P63" s="70" t="s">
        <v>383</v>
      </c>
      <c r="Q63" s="70" t="s">
        <v>383</v>
      </c>
      <c r="R63" s="70" t="s">
        <v>383</v>
      </c>
      <c r="S63" s="70" t="s">
        <v>383</v>
      </c>
      <c r="T63" s="70" t="s">
        <v>383</v>
      </c>
      <c r="U63" s="70" t="s">
        <v>383</v>
      </c>
      <c r="V63" s="70" t="s">
        <v>383</v>
      </c>
      <c r="W63" s="70">
        <v>22</v>
      </c>
      <c r="X63" s="70">
        <v>21</v>
      </c>
      <c r="Y63" s="70">
        <v>25</v>
      </c>
      <c r="Z63" s="70">
        <v>24</v>
      </c>
      <c r="AA63" s="70">
        <v>25</v>
      </c>
      <c r="AB63" s="70">
        <v>32</v>
      </c>
      <c r="AC63" s="70">
        <v>42</v>
      </c>
      <c r="AD63" s="70">
        <v>45</v>
      </c>
      <c r="AE63" s="157">
        <v>48</v>
      </c>
      <c r="AF63" s="72"/>
    </row>
    <row r="64" spans="1:33" ht="15" customHeight="1" x14ac:dyDescent="0.25">
      <c r="A64" s="156">
        <v>73</v>
      </c>
      <c r="B64" s="17" t="s">
        <v>80</v>
      </c>
      <c r="C64" s="70" t="s">
        <v>383</v>
      </c>
      <c r="D64" s="70" t="s">
        <v>383</v>
      </c>
      <c r="E64" s="70" t="s">
        <v>383</v>
      </c>
      <c r="F64" s="70" t="s">
        <v>383</v>
      </c>
      <c r="G64" s="70" t="s">
        <v>383</v>
      </c>
      <c r="H64" s="70" t="s">
        <v>383</v>
      </c>
      <c r="I64" s="70" t="s">
        <v>383</v>
      </c>
      <c r="J64" s="70" t="s">
        <v>383</v>
      </c>
      <c r="K64" s="70" t="s">
        <v>383</v>
      </c>
      <c r="L64" s="70" t="s">
        <v>383</v>
      </c>
      <c r="M64" s="70" t="s">
        <v>383</v>
      </c>
      <c r="N64" s="70" t="s">
        <v>383</v>
      </c>
      <c r="O64" s="70" t="s">
        <v>383</v>
      </c>
      <c r="P64" s="70" t="s">
        <v>383</v>
      </c>
      <c r="Q64" s="70" t="s">
        <v>383</v>
      </c>
      <c r="R64" s="70" t="s">
        <v>383</v>
      </c>
      <c r="S64" s="70" t="s">
        <v>383</v>
      </c>
      <c r="T64" s="70" t="s">
        <v>383</v>
      </c>
      <c r="U64" s="70" t="s">
        <v>383</v>
      </c>
      <c r="V64" s="70" t="s">
        <v>383</v>
      </c>
      <c r="W64" s="70" t="s">
        <v>383</v>
      </c>
      <c r="X64" s="70" t="s">
        <v>383</v>
      </c>
      <c r="Y64" s="70" t="s">
        <v>383</v>
      </c>
      <c r="Z64" s="70" t="s">
        <v>383</v>
      </c>
      <c r="AA64" s="70" t="s">
        <v>383</v>
      </c>
      <c r="AB64" s="70" t="s">
        <v>383</v>
      </c>
      <c r="AC64" s="70" t="s">
        <v>383</v>
      </c>
      <c r="AD64" s="70" t="s">
        <v>383</v>
      </c>
      <c r="AE64" s="157" t="s">
        <v>383</v>
      </c>
      <c r="AF64" s="72"/>
    </row>
    <row r="65" spans="1:33" ht="15" customHeight="1" x14ac:dyDescent="0.25">
      <c r="A65" s="156">
        <v>74</v>
      </c>
      <c r="B65" s="17" t="s">
        <v>81</v>
      </c>
      <c r="C65" s="70">
        <v>135</v>
      </c>
      <c r="D65" s="70">
        <v>154</v>
      </c>
      <c r="E65" s="70">
        <v>160</v>
      </c>
      <c r="F65" s="70">
        <v>195</v>
      </c>
      <c r="G65" s="70">
        <v>214</v>
      </c>
      <c r="H65" s="70">
        <v>208</v>
      </c>
      <c r="I65" s="70">
        <v>194</v>
      </c>
      <c r="J65" s="70">
        <v>222</v>
      </c>
      <c r="K65" s="70">
        <v>228</v>
      </c>
      <c r="L65" s="70">
        <v>243</v>
      </c>
      <c r="M65" s="70">
        <v>254</v>
      </c>
      <c r="N65" s="70">
        <v>264</v>
      </c>
      <c r="O65" s="70">
        <v>280</v>
      </c>
      <c r="P65" s="70">
        <v>255</v>
      </c>
      <c r="Q65" s="70">
        <v>261</v>
      </c>
      <c r="R65" s="70">
        <v>264</v>
      </c>
      <c r="S65" s="70">
        <v>277</v>
      </c>
      <c r="T65" s="70">
        <v>281</v>
      </c>
      <c r="U65" s="70">
        <v>280</v>
      </c>
      <c r="V65" s="70">
        <v>291</v>
      </c>
      <c r="W65" s="70">
        <v>285</v>
      </c>
      <c r="X65" s="70">
        <v>271</v>
      </c>
      <c r="Y65" s="70">
        <v>272</v>
      </c>
      <c r="Z65" s="70">
        <v>254</v>
      </c>
      <c r="AA65" s="70">
        <v>232</v>
      </c>
      <c r="AB65" s="70">
        <v>240</v>
      </c>
      <c r="AC65" s="70">
        <v>258</v>
      </c>
      <c r="AD65" s="70">
        <v>260</v>
      </c>
      <c r="AE65" s="157">
        <v>243</v>
      </c>
      <c r="AF65" s="72"/>
    </row>
    <row r="66" spans="1:33" ht="15" customHeight="1" thickBot="1" x14ac:dyDescent="0.3">
      <c r="A66" s="158">
        <v>75</v>
      </c>
      <c r="B66" s="18" t="s">
        <v>185</v>
      </c>
      <c r="C66" s="71" t="s">
        <v>383</v>
      </c>
      <c r="D66" s="71" t="s">
        <v>383</v>
      </c>
      <c r="E66" s="71" t="s">
        <v>383</v>
      </c>
      <c r="F66" s="71" t="s">
        <v>383</v>
      </c>
      <c r="G66" s="71" t="s">
        <v>383</v>
      </c>
      <c r="H66" s="71" t="s">
        <v>383</v>
      </c>
      <c r="I66" s="71">
        <v>5</v>
      </c>
      <c r="J66" s="71">
        <v>7</v>
      </c>
      <c r="K66" s="71">
        <v>8</v>
      </c>
      <c r="L66" s="71">
        <v>7</v>
      </c>
      <c r="M66" s="71">
        <v>7</v>
      </c>
      <c r="N66" s="71">
        <v>7</v>
      </c>
      <c r="O66" s="71">
        <v>6</v>
      </c>
      <c r="P66" s="71">
        <v>7</v>
      </c>
      <c r="Q66" s="71">
        <v>10</v>
      </c>
      <c r="R66" s="71">
        <v>11</v>
      </c>
      <c r="S66" s="71">
        <v>11</v>
      </c>
      <c r="T66" s="71">
        <v>10</v>
      </c>
      <c r="U66" s="71">
        <v>8</v>
      </c>
      <c r="V66" s="71">
        <v>7</v>
      </c>
      <c r="W66" s="71" t="s">
        <v>383</v>
      </c>
      <c r="X66" s="71" t="s">
        <v>383</v>
      </c>
      <c r="Y66" s="71" t="s">
        <v>383</v>
      </c>
      <c r="Z66" s="71" t="s">
        <v>383</v>
      </c>
      <c r="AA66" s="71" t="s">
        <v>383</v>
      </c>
      <c r="AB66" s="71" t="s">
        <v>383</v>
      </c>
      <c r="AC66" s="71" t="s">
        <v>383</v>
      </c>
      <c r="AD66" s="71" t="s">
        <v>383</v>
      </c>
      <c r="AE66" s="159" t="s">
        <v>383</v>
      </c>
      <c r="AF66" s="72"/>
    </row>
    <row r="67" spans="1:33" s="11" customFormat="1" ht="15" customHeight="1" thickBot="1" x14ac:dyDescent="0.3">
      <c r="A67" s="160" t="s">
        <v>83</v>
      </c>
      <c r="B67" s="19" t="s">
        <v>84</v>
      </c>
      <c r="C67" s="64">
        <v>24</v>
      </c>
      <c r="D67" s="64">
        <v>27</v>
      </c>
      <c r="E67" s="64">
        <v>29</v>
      </c>
      <c r="F67" s="64">
        <v>33</v>
      </c>
      <c r="G67" s="64">
        <v>34</v>
      </c>
      <c r="H67" s="64">
        <v>33</v>
      </c>
      <c r="I67" s="64">
        <v>27</v>
      </c>
      <c r="J67" s="64">
        <v>28</v>
      </c>
      <c r="K67" s="64">
        <v>33</v>
      </c>
      <c r="L67" s="64">
        <v>32</v>
      </c>
      <c r="M67" s="64">
        <v>33</v>
      </c>
      <c r="N67" s="64">
        <v>35</v>
      </c>
      <c r="O67" s="64">
        <v>37</v>
      </c>
      <c r="P67" s="64">
        <v>37</v>
      </c>
      <c r="Q67" s="64">
        <v>37</v>
      </c>
      <c r="R67" s="64">
        <v>41</v>
      </c>
      <c r="S67" s="64">
        <v>42</v>
      </c>
      <c r="T67" s="64">
        <v>42</v>
      </c>
      <c r="U67" s="64">
        <v>46</v>
      </c>
      <c r="V67" s="64">
        <v>43</v>
      </c>
      <c r="W67" s="64">
        <v>46</v>
      </c>
      <c r="X67" s="64">
        <v>47</v>
      </c>
      <c r="Y67" s="64">
        <v>49</v>
      </c>
      <c r="Z67" s="64">
        <v>47</v>
      </c>
      <c r="AA67" s="64">
        <v>39</v>
      </c>
      <c r="AB67" s="64">
        <v>41</v>
      </c>
      <c r="AC67" s="64">
        <v>42</v>
      </c>
      <c r="AD67" s="64">
        <v>40</v>
      </c>
      <c r="AE67" s="145">
        <v>37</v>
      </c>
      <c r="AF67" s="72"/>
      <c r="AG67" s="10"/>
    </row>
    <row r="68" spans="1:33" ht="15" customHeight="1" thickBot="1" x14ac:dyDescent="0.3">
      <c r="A68" s="150">
        <v>80</v>
      </c>
      <c r="B68" s="14" t="s">
        <v>85</v>
      </c>
      <c r="C68" s="70">
        <v>24</v>
      </c>
      <c r="D68" s="67">
        <v>27</v>
      </c>
      <c r="E68" s="67">
        <v>29</v>
      </c>
      <c r="F68" s="67">
        <v>33</v>
      </c>
      <c r="G68" s="67">
        <v>34</v>
      </c>
      <c r="H68" s="67">
        <v>33</v>
      </c>
      <c r="I68" s="67">
        <v>27</v>
      </c>
      <c r="J68" s="67">
        <v>28</v>
      </c>
      <c r="K68" s="67">
        <v>33</v>
      </c>
      <c r="L68" s="67">
        <v>32</v>
      </c>
      <c r="M68" s="67">
        <v>33</v>
      </c>
      <c r="N68" s="67">
        <v>35</v>
      </c>
      <c r="O68" s="67">
        <v>37</v>
      </c>
      <c r="P68" s="67">
        <v>37</v>
      </c>
      <c r="Q68" s="67">
        <v>37</v>
      </c>
      <c r="R68" s="67">
        <v>41</v>
      </c>
      <c r="S68" s="67">
        <v>42</v>
      </c>
      <c r="T68" s="67">
        <v>42</v>
      </c>
      <c r="U68" s="67">
        <v>46</v>
      </c>
      <c r="V68" s="67">
        <v>43</v>
      </c>
      <c r="W68" s="67">
        <v>46</v>
      </c>
      <c r="X68" s="67">
        <v>47</v>
      </c>
      <c r="Y68" s="67">
        <v>49</v>
      </c>
      <c r="Z68" s="67">
        <v>47</v>
      </c>
      <c r="AA68" s="67">
        <v>39</v>
      </c>
      <c r="AB68" s="67">
        <v>41</v>
      </c>
      <c r="AC68" s="67">
        <v>42</v>
      </c>
      <c r="AD68" s="67">
        <v>40</v>
      </c>
      <c r="AE68" s="151">
        <v>37</v>
      </c>
      <c r="AF68" s="72"/>
    </row>
    <row r="69" spans="1:33" s="11" customFormat="1" ht="15" customHeight="1" thickBot="1" x14ac:dyDescent="0.3">
      <c r="A69" s="144" t="s">
        <v>86</v>
      </c>
      <c r="B69" s="9" t="s">
        <v>87</v>
      </c>
      <c r="C69" s="64">
        <v>48</v>
      </c>
      <c r="D69" s="64">
        <v>46</v>
      </c>
      <c r="E69" s="64">
        <v>48</v>
      </c>
      <c r="F69" s="64">
        <v>41</v>
      </c>
      <c r="G69" s="64">
        <v>46</v>
      </c>
      <c r="H69" s="64">
        <v>55</v>
      </c>
      <c r="I69" s="64">
        <v>57</v>
      </c>
      <c r="J69" s="64">
        <v>49</v>
      </c>
      <c r="K69" s="64">
        <v>48</v>
      </c>
      <c r="L69" s="64">
        <v>48</v>
      </c>
      <c r="M69" s="64">
        <v>52</v>
      </c>
      <c r="N69" s="64">
        <v>58</v>
      </c>
      <c r="O69" s="64">
        <v>67</v>
      </c>
      <c r="P69" s="64">
        <v>75</v>
      </c>
      <c r="Q69" s="64">
        <v>77</v>
      </c>
      <c r="R69" s="64">
        <v>84</v>
      </c>
      <c r="S69" s="64">
        <v>88</v>
      </c>
      <c r="T69" s="64">
        <v>88</v>
      </c>
      <c r="U69" s="64">
        <v>92</v>
      </c>
      <c r="V69" s="64">
        <v>100</v>
      </c>
      <c r="W69" s="64">
        <v>103</v>
      </c>
      <c r="X69" s="64">
        <v>108</v>
      </c>
      <c r="Y69" s="64">
        <v>114</v>
      </c>
      <c r="Z69" s="64">
        <v>114</v>
      </c>
      <c r="AA69" s="64">
        <v>119</v>
      </c>
      <c r="AB69" s="64">
        <v>122</v>
      </c>
      <c r="AC69" s="64">
        <v>126</v>
      </c>
      <c r="AD69" s="64">
        <v>126</v>
      </c>
      <c r="AE69" s="145">
        <v>130</v>
      </c>
      <c r="AF69" s="72"/>
      <c r="AG69" s="10"/>
    </row>
    <row r="70" spans="1:33" ht="15" customHeight="1" thickBot="1" x14ac:dyDescent="0.3">
      <c r="A70" s="150">
        <v>85</v>
      </c>
      <c r="B70" s="14" t="s">
        <v>88</v>
      </c>
      <c r="C70" s="67">
        <v>48</v>
      </c>
      <c r="D70" s="67">
        <v>46</v>
      </c>
      <c r="E70" s="67">
        <v>48</v>
      </c>
      <c r="F70" s="67">
        <v>41</v>
      </c>
      <c r="G70" s="67">
        <v>46</v>
      </c>
      <c r="H70" s="67">
        <v>55</v>
      </c>
      <c r="I70" s="67">
        <v>57</v>
      </c>
      <c r="J70" s="67">
        <v>49</v>
      </c>
      <c r="K70" s="67">
        <v>48</v>
      </c>
      <c r="L70" s="67">
        <v>48</v>
      </c>
      <c r="M70" s="67">
        <v>52</v>
      </c>
      <c r="N70" s="67">
        <v>58</v>
      </c>
      <c r="O70" s="67">
        <v>67</v>
      </c>
      <c r="P70" s="67">
        <v>75</v>
      </c>
      <c r="Q70" s="67">
        <v>77</v>
      </c>
      <c r="R70" s="67">
        <v>84</v>
      </c>
      <c r="S70" s="67">
        <v>88</v>
      </c>
      <c r="T70" s="67">
        <v>88</v>
      </c>
      <c r="U70" s="67">
        <v>92</v>
      </c>
      <c r="V70" s="67">
        <v>100</v>
      </c>
      <c r="W70" s="67">
        <v>103</v>
      </c>
      <c r="X70" s="67">
        <v>108</v>
      </c>
      <c r="Y70" s="67">
        <v>114</v>
      </c>
      <c r="Z70" s="67">
        <v>114</v>
      </c>
      <c r="AA70" s="67">
        <v>119</v>
      </c>
      <c r="AB70" s="67">
        <v>122</v>
      </c>
      <c r="AC70" s="67">
        <v>126</v>
      </c>
      <c r="AD70" s="67">
        <v>126</v>
      </c>
      <c r="AE70" s="151">
        <v>130</v>
      </c>
      <c r="AF70" s="72"/>
    </row>
    <row r="71" spans="1:33" s="11" customFormat="1" ht="15" customHeight="1" thickBot="1" x14ac:dyDescent="0.3">
      <c r="A71" s="144" t="s">
        <v>89</v>
      </c>
      <c r="B71" s="9" t="s">
        <v>90</v>
      </c>
      <c r="C71" s="64">
        <v>138</v>
      </c>
      <c r="D71" s="64">
        <v>132</v>
      </c>
      <c r="E71" s="64">
        <v>137</v>
      </c>
      <c r="F71" s="64">
        <v>143</v>
      </c>
      <c r="G71" s="64">
        <v>166</v>
      </c>
      <c r="H71" s="64">
        <v>159</v>
      </c>
      <c r="I71" s="64">
        <v>150</v>
      </c>
      <c r="J71" s="64">
        <v>156</v>
      </c>
      <c r="K71" s="64">
        <v>154</v>
      </c>
      <c r="L71" s="64">
        <v>165</v>
      </c>
      <c r="M71" s="64">
        <v>187</v>
      </c>
      <c r="N71" s="64">
        <v>198</v>
      </c>
      <c r="O71" s="64">
        <v>222</v>
      </c>
      <c r="P71" s="64">
        <v>240</v>
      </c>
      <c r="Q71" s="64">
        <v>243</v>
      </c>
      <c r="R71" s="64">
        <v>246</v>
      </c>
      <c r="S71" s="64">
        <v>260</v>
      </c>
      <c r="T71" s="64">
        <v>265</v>
      </c>
      <c r="U71" s="64">
        <v>250</v>
      </c>
      <c r="V71" s="64">
        <v>263</v>
      </c>
      <c r="W71" s="64">
        <v>252</v>
      </c>
      <c r="X71" s="64">
        <v>267</v>
      </c>
      <c r="Y71" s="64">
        <v>246</v>
      </c>
      <c r="Z71" s="64">
        <v>228</v>
      </c>
      <c r="AA71" s="64">
        <v>213</v>
      </c>
      <c r="AB71" s="64">
        <v>211</v>
      </c>
      <c r="AC71" s="64">
        <v>221</v>
      </c>
      <c r="AD71" s="64">
        <v>216</v>
      </c>
      <c r="AE71" s="145">
        <v>202</v>
      </c>
      <c r="AF71" s="72"/>
      <c r="AG71" s="10"/>
    </row>
    <row r="72" spans="1:33" ht="15" customHeight="1" x14ac:dyDescent="0.25">
      <c r="A72" s="146">
        <v>90</v>
      </c>
      <c r="B72" s="12" t="s">
        <v>91</v>
      </c>
      <c r="C72" s="65">
        <v>5</v>
      </c>
      <c r="D72" s="65">
        <v>6</v>
      </c>
      <c r="E72" s="65">
        <v>6</v>
      </c>
      <c r="F72" s="65">
        <v>6</v>
      </c>
      <c r="G72" s="65">
        <v>6</v>
      </c>
      <c r="H72" s="65">
        <v>4</v>
      </c>
      <c r="I72" s="65">
        <v>4</v>
      </c>
      <c r="J72" s="65">
        <v>4</v>
      </c>
      <c r="K72" s="65">
        <v>8</v>
      </c>
      <c r="L72" s="65">
        <v>9</v>
      </c>
      <c r="M72" s="65">
        <v>9</v>
      </c>
      <c r="N72" s="65">
        <v>9</v>
      </c>
      <c r="O72" s="65">
        <v>13</v>
      </c>
      <c r="P72" s="65">
        <v>14</v>
      </c>
      <c r="Q72" s="65">
        <v>15</v>
      </c>
      <c r="R72" s="65">
        <v>13</v>
      </c>
      <c r="S72" s="65">
        <v>12</v>
      </c>
      <c r="T72" s="65">
        <v>10</v>
      </c>
      <c r="U72" s="65">
        <v>10</v>
      </c>
      <c r="V72" s="65">
        <v>13</v>
      </c>
      <c r="W72" s="65">
        <v>12</v>
      </c>
      <c r="X72" s="65">
        <v>12</v>
      </c>
      <c r="Y72" s="65">
        <v>12</v>
      </c>
      <c r="Z72" s="65">
        <v>11</v>
      </c>
      <c r="AA72" s="65">
        <v>11</v>
      </c>
      <c r="AB72" s="65">
        <v>12</v>
      </c>
      <c r="AC72" s="65">
        <v>14</v>
      </c>
      <c r="AD72" s="65">
        <v>13</v>
      </c>
      <c r="AE72" s="147">
        <v>13</v>
      </c>
      <c r="AF72" s="72"/>
    </row>
    <row r="73" spans="1:33" ht="15" customHeight="1" x14ac:dyDescent="0.25">
      <c r="A73" s="156">
        <v>91</v>
      </c>
      <c r="B73" s="17" t="s">
        <v>92</v>
      </c>
      <c r="C73" s="70">
        <v>55</v>
      </c>
      <c r="D73" s="70">
        <v>49</v>
      </c>
      <c r="E73" s="70">
        <v>53</v>
      </c>
      <c r="F73" s="70">
        <v>61</v>
      </c>
      <c r="G73" s="70">
        <v>65</v>
      </c>
      <c r="H73" s="70">
        <v>69</v>
      </c>
      <c r="I73" s="70">
        <v>66</v>
      </c>
      <c r="J73" s="70">
        <v>67</v>
      </c>
      <c r="K73" s="70">
        <v>58</v>
      </c>
      <c r="L73" s="70">
        <v>56</v>
      </c>
      <c r="M73" s="70">
        <v>60</v>
      </c>
      <c r="N73" s="70">
        <v>69</v>
      </c>
      <c r="O73" s="70">
        <v>74</v>
      </c>
      <c r="P73" s="70">
        <v>84</v>
      </c>
      <c r="Q73" s="70">
        <v>85</v>
      </c>
      <c r="R73" s="70">
        <v>86</v>
      </c>
      <c r="S73" s="70">
        <v>92</v>
      </c>
      <c r="T73" s="70">
        <v>88</v>
      </c>
      <c r="U73" s="70">
        <v>93</v>
      </c>
      <c r="V73" s="70">
        <v>92</v>
      </c>
      <c r="W73" s="70">
        <v>94</v>
      </c>
      <c r="X73" s="70">
        <v>100</v>
      </c>
      <c r="Y73" s="70">
        <v>98</v>
      </c>
      <c r="Z73" s="70">
        <v>97</v>
      </c>
      <c r="AA73" s="70">
        <v>94</v>
      </c>
      <c r="AB73" s="70">
        <v>92</v>
      </c>
      <c r="AC73" s="70">
        <v>90</v>
      </c>
      <c r="AD73" s="70">
        <v>91</v>
      </c>
      <c r="AE73" s="157">
        <v>92</v>
      </c>
      <c r="AF73" s="72"/>
    </row>
    <row r="74" spans="1:33" ht="15" customHeight="1" x14ac:dyDescent="0.25">
      <c r="A74" s="156">
        <v>92</v>
      </c>
      <c r="B74" s="17" t="s">
        <v>93</v>
      </c>
      <c r="C74" s="70">
        <v>31</v>
      </c>
      <c r="D74" s="70">
        <v>32</v>
      </c>
      <c r="E74" s="70">
        <v>35</v>
      </c>
      <c r="F74" s="70">
        <v>33</v>
      </c>
      <c r="G74" s="70">
        <v>35</v>
      </c>
      <c r="H74" s="70">
        <v>36</v>
      </c>
      <c r="I74" s="70">
        <v>31</v>
      </c>
      <c r="J74" s="70">
        <v>34</v>
      </c>
      <c r="K74" s="70">
        <v>37</v>
      </c>
      <c r="L74" s="70">
        <v>37</v>
      </c>
      <c r="M74" s="70">
        <v>44</v>
      </c>
      <c r="N74" s="70">
        <v>47</v>
      </c>
      <c r="O74" s="70">
        <v>56</v>
      </c>
      <c r="P74" s="70">
        <v>58</v>
      </c>
      <c r="Q74" s="70">
        <v>56</v>
      </c>
      <c r="R74" s="70">
        <v>60</v>
      </c>
      <c r="S74" s="70">
        <v>63</v>
      </c>
      <c r="T74" s="70">
        <v>59</v>
      </c>
      <c r="U74" s="70">
        <v>60</v>
      </c>
      <c r="V74" s="70">
        <v>66</v>
      </c>
      <c r="W74" s="70">
        <v>61</v>
      </c>
      <c r="X74" s="70">
        <v>64</v>
      </c>
      <c r="Y74" s="70">
        <v>60</v>
      </c>
      <c r="Z74" s="70">
        <v>57</v>
      </c>
      <c r="AA74" s="70">
        <v>52</v>
      </c>
      <c r="AB74" s="70">
        <v>50</v>
      </c>
      <c r="AC74" s="70">
        <v>51</v>
      </c>
      <c r="AD74" s="70">
        <v>57</v>
      </c>
      <c r="AE74" s="157">
        <v>51</v>
      </c>
      <c r="AF74" s="72"/>
    </row>
    <row r="75" spans="1:33" ht="15" customHeight="1" thickBot="1" x14ac:dyDescent="0.3">
      <c r="A75" s="158">
        <v>93</v>
      </c>
      <c r="B75" s="18" t="s">
        <v>94</v>
      </c>
      <c r="C75" s="76">
        <v>47</v>
      </c>
      <c r="D75" s="76">
        <v>45</v>
      </c>
      <c r="E75" s="76">
        <v>43</v>
      </c>
      <c r="F75" s="76">
        <v>43</v>
      </c>
      <c r="G75" s="76">
        <v>60</v>
      </c>
      <c r="H75" s="76">
        <v>50</v>
      </c>
      <c r="I75" s="76">
        <v>49</v>
      </c>
      <c r="J75" s="76">
        <v>51</v>
      </c>
      <c r="K75" s="76">
        <v>51</v>
      </c>
      <c r="L75" s="76">
        <v>63</v>
      </c>
      <c r="M75" s="76">
        <v>74</v>
      </c>
      <c r="N75" s="76">
        <v>73</v>
      </c>
      <c r="O75" s="76">
        <v>79</v>
      </c>
      <c r="P75" s="76">
        <v>84</v>
      </c>
      <c r="Q75" s="76">
        <v>87</v>
      </c>
      <c r="R75" s="76">
        <v>87</v>
      </c>
      <c r="S75" s="76">
        <v>93</v>
      </c>
      <c r="T75" s="76">
        <v>108</v>
      </c>
      <c r="U75" s="76">
        <v>87</v>
      </c>
      <c r="V75" s="76">
        <v>92</v>
      </c>
      <c r="W75" s="76">
        <v>85</v>
      </c>
      <c r="X75" s="76">
        <v>91</v>
      </c>
      <c r="Y75" s="76">
        <v>76</v>
      </c>
      <c r="Z75" s="76">
        <v>63</v>
      </c>
      <c r="AA75" s="76">
        <v>56</v>
      </c>
      <c r="AB75" s="76">
        <v>57</v>
      </c>
      <c r="AC75" s="76">
        <v>66</v>
      </c>
      <c r="AD75" s="76">
        <v>55</v>
      </c>
      <c r="AE75" s="165">
        <v>46</v>
      </c>
      <c r="AF75" s="72"/>
    </row>
    <row r="76" spans="1:33" s="23" customFormat="1" ht="15" customHeight="1" thickBot="1" x14ac:dyDescent="0.3">
      <c r="A76" s="166"/>
      <c r="B76" s="167" t="s">
        <v>95</v>
      </c>
      <c r="C76" s="168">
        <v>1292</v>
      </c>
      <c r="D76" s="168">
        <v>1315</v>
      </c>
      <c r="E76" s="168">
        <v>1421</v>
      </c>
      <c r="F76" s="168">
        <v>1593</v>
      </c>
      <c r="G76" s="168">
        <v>1774</v>
      </c>
      <c r="H76" s="168">
        <v>1750</v>
      </c>
      <c r="I76" s="168">
        <v>1576</v>
      </c>
      <c r="J76" s="168">
        <v>1726</v>
      </c>
      <c r="K76" s="168">
        <v>1864</v>
      </c>
      <c r="L76" s="168">
        <v>2036</v>
      </c>
      <c r="M76" s="168">
        <v>2221</v>
      </c>
      <c r="N76" s="168">
        <v>2329</v>
      </c>
      <c r="O76" s="168">
        <v>2455</v>
      </c>
      <c r="P76" s="168">
        <v>2452</v>
      </c>
      <c r="Q76" s="168">
        <v>2645</v>
      </c>
      <c r="R76" s="168">
        <v>2754</v>
      </c>
      <c r="S76" s="168">
        <v>2922</v>
      </c>
      <c r="T76" s="168">
        <v>2980</v>
      </c>
      <c r="U76" s="168">
        <v>3012</v>
      </c>
      <c r="V76" s="168">
        <v>3076</v>
      </c>
      <c r="W76" s="168">
        <v>3028</v>
      </c>
      <c r="X76" s="168">
        <v>3023</v>
      </c>
      <c r="Y76" s="168">
        <v>2910</v>
      </c>
      <c r="Z76" s="168">
        <v>2785</v>
      </c>
      <c r="AA76" s="168">
        <v>2596</v>
      </c>
      <c r="AB76" s="168">
        <v>2703</v>
      </c>
      <c r="AC76" s="168">
        <v>2851</v>
      </c>
      <c r="AD76" s="168">
        <v>2855</v>
      </c>
      <c r="AE76" s="169">
        <v>2719</v>
      </c>
      <c r="AF76" s="72"/>
      <c r="AG76" s="22"/>
    </row>
    <row r="77" spans="1:33" ht="12" customHeight="1" x14ac:dyDescent="0.25">
      <c r="A77" s="7"/>
      <c r="B77" s="7"/>
      <c r="C77" s="7"/>
      <c r="D77" s="7"/>
      <c r="E77" s="24"/>
      <c r="F77" s="7"/>
      <c r="G77" s="25"/>
      <c r="H77" s="7"/>
      <c r="I77" s="7"/>
      <c r="J77" s="7"/>
      <c r="K77" s="7"/>
      <c r="L77" s="7"/>
      <c r="M77" s="7"/>
      <c r="N77" s="7"/>
      <c r="O77" s="7"/>
      <c r="P77" s="7"/>
      <c r="Q77" s="7"/>
      <c r="R77" s="7"/>
      <c r="S77" s="7"/>
      <c r="T77" s="7"/>
      <c r="U77" s="7"/>
      <c r="V77" s="7"/>
      <c r="W77" s="7"/>
      <c r="X77" s="7"/>
      <c r="Y77" s="7"/>
      <c r="Z77" s="7"/>
      <c r="AA77" s="7"/>
      <c r="AB77" s="7"/>
      <c r="AC77" s="7"/>
      <c r="AD77" s="7"/>
      <c r="AE77" s="7"/>
      <c r="AF77" s="7"/>
    </row>
    <row r="78" spans="1:33" ht="11.25" x14ac:dyDescent="0.25">
      <c r="A78" s="307" t="s">
        <v>96</v>
      </c>
      <c r="B78" s="307"/>
      <c r="C78" s="277"/>
      <c r="D78" s="277"/>
      <c r="E78" s="277"/>
      <c r="F78" s="26"/>
      <c r="G78" s="26"/>
      <c r="H78" s="7"/>
      <c r="I78" s="7"/>
      <c r="J78" s="7"/>
      <c r="K78" s="7"/>
      <c r="L78" s="7"/>
      <c r="M78" s="7"/>
      <c r="N78" s="7"/>
      <c r="O78" s="7"/>
      <c r="P78" s="7"/>
      <c r="Q78" s="7"/>
      <c r="R78" s="7"/>
      <c r="S78" s="7"/>
      <c r="T78" s="7"/>
      <c r="U78" s="7"/>
      <c r="V78" s="7"/>
      <c r="W78" s="7"/>
      <c r="X78" s="7"/>
      <c r="Y78" s="7"/>
      <c r="Z78" s="7"/>
      <c r="AA78" s="7"/>
      <c r="AB78" s="7"/>
      <c r="AC78" s="7"/>
      <c r="AD78" s="7"/>
      <c r="AE78" s="7"/>
      <c r="AF78" s="7"/>
    </row>
    <row r="79" spans="1:33" ht="26.45" customHeight="1" x14ac:dyDescent="0.25">
      <c r="A79" s="307" t="s">
        <v>381</v>
      </c>
      <c r="B79" s="307"/>
      <c r="C79" s="307"/>
      <c r="D79" s="277"/>
      <c r="E79" s="277"/>
      <c r="F79" s="277"/>
      <c r="G79" s="277"/>
      <c r="H79" s="27"/>
      <c r="I79" s="27"/>
      <c r="J79" s="27"/>
      <c r="K79" s="27"/>
      <c r="L79" s="7"/>
      <c r="M79" s="7"/>
      <c r="N79" s="7"/>
      <c r="O79" s="7"/>
      <c r="P79" s="7"/>
      <c r="Q79" s="7"/>
      <c r="R79" s="7"/>
      <c r="S79" s="7"/>
      <c r="T79" s="7"/>
      <c r="U79" s="7"/>
      <c r="V79" s="7"/>
      <c r="W79" s="7"/>
      <c r="X79" s="7"/>
      <c r="Y79" s="7"/>
      <c r="Z79" s="7"/>
      <c r="AA79" s="7"/>
      <c r="AB79" s="7"/>
      <c r="AC79" s="7"/>
      <c r="AD79" s="7"/>
      <c r="AE79" s="7"/>
      <c r="AF79" s="7"/>
    </row>
    <row r="80" spans="1:33" ht="26.45" customHeight="1" x14ac:dyDescent="0.25">
      <c r="A80" s="307" t="s">
        <v>382</v>
      </c>
      <c r="B80" s="307"/>
      <c r="C80" s="307"/>
      <c r="D80" s="277"/>
      <c r="E80" s="277"/>
      <c r="F80" s="277"/>
      <c r="G80" s="277"/>
      <c r="H80" s="27"/>
      <c r="I80" s="27"/>
      <c r="J80" s="27"/>
      <c r="K80" s="27"/>
      <c r="L80" s="7"/>
      <c r="M80" s="7"/>
      <c r="N80" s="7"/>
      <c r="O80" s="7"/>
      <c r="P80" s="7"/>
      <c r="Q80" s="7"/>
      <c r="R80" s="7"/>
      <c r="S80" s="7"/>
      <c r="T80" s="7"/>
      <c r="U80" s="7"/>
      <c r="V80" s="7"/>
      <c r="W80" s="7"/>
      <c r="X80" s="7"/>
      <c r="Y80" s="7"/>
      <c r="Z80" s="7"/>
      <c r="AA80" s="7"/>
      <c r="AB80" s="7"/>
      <c r="AC80" s="7"/>
      <c r="AD80" s="7"/>
      <c r="AE80" s="7"/>
      <c r="AF80" s="7"/>
    </row>
    <row r="81" spans="1:33" ht="26.45" customHeight="1" x14ac:dyDescent="0.25">
      <c r="A81" s="307" t="s">
        <v>151</v>
      </c>
      <c r="B81" s="307"/>
      <c r="C81" s="307"/>
      <c r="D81" s="277"/>
      <c r="E81" s="277"/>
      <c r="F81" s="277"/>
      <c r="G81" s="277"/>
      <c r="H81" s="27"/>
      <c r="I81" s="27"/>
      <c r="J81" s="27"/>
      <c r="K81" s="27"/>
      <c r="L81" s="7"/>
      <c r="M81" s="7"/>
      <c r="N81" s="7"/>
      <c r="O81" s="7"/>
      <c r="P81" s="7"/>
      <c r="Q81" s="7"/>
      <c r="R81" s="7"/>
      <c r="S81" s="7"/>
      <c r="T81" s="7"/>
      <c r="U81" s="7"/>
      <c r="V81" s="7"/>
      <c r="W81" s="7"/>
      <c r="X81" s="7"/>
      <c r="Y81" s="7"/>
      <c r="Z81" s="7"/>
      <c r="AA81" s="7"/>
      <c r="AB81" s="7"/>
      <c r="AC81" s="7"/>
      <c r="AD81" s="7"/>
      <c r="AE81" s="7"/>
      <c r="AF81" s="7"/>
    </row>
    <row r="82" spans="1:33" ht="46.5" customHeight="1" x14ac:dyDescent="0.25">
      <c r="A82" s="307" t="s">
        <v>384</v>
      </c>
      <c r="B82" s="307"/>
      <c r="C82" s="307"/>
      <c r="D82" s="307"/>
      <c r="E82" s="307"/>
      <c r="F82" s="307"/>
      <c r="G82" s="307"/>
      <c r="H82" s="28"/>
      <c r="I82" s="28"/>
      <c r="J82" s="28"/>
      <c r="K82" s="29"/>
      <c r="L82" s="29"/>
      <c r="M82" s="29"/>
      <c r="N82" s="29"/>
      <c r="O82" s="29"/>
      <c r="P82" s="29"/>
      <c r="Q82" s="29"/>
      <c r="R82" s="29"/>
      <c r="S82" s="29"/>
      <c r="T82" s="29"/>
      <c r="U82" s="29"/>
      <c r="V82" s="29"/>
      <c r="W82" s="29"/>
      <c r="X82" s="29"/>
      <c r="Y82" s="29"/>
      <c r="Z82" s="29"/>
      <c r="AA82" s="29"/>
      <c r="AB82" s="29"/>
      <c r="AC82" s="29"/>
      <c r="AD82" s="29"/>
      <c r="AE82" s="29"/>
      <c r="AF82" s="29"/>
      <c r="AG82" s="29"/>
    </row>
    <row r="83" spans="1:33" ht="19.899999999999999" customHeight="1" x14ac:dyDescent="0.25">
      <c r="A83" s="276"/>
      <c r="B83" s="276"/>
      <c r="C83" s="276"/>
      <c r="D83" s="276"/>
      <c r="E83" s="276"/>
      <c r="F83" s="276"/>
      <c r="G83" s="276"/>
      <c r="H83" s="28"/>
      <c r="I83" s="28"/>
      <c r="J83" s="28"/>
      <c r="K83" s="7"/>
      <c r="L83" s="7"/>
      <c r="M83" s="7"/>
      <c r="N83" s="7"/>
      <c r="O83" s="7"/>
      <c r="P83" s="7"/>
      <c r="Q83" s="7"/>
      <c r="R83" s="7"/>
      <c r="S83" s="7"/>
      <c r="T83" s="7"/>
      <c r="U83" s="7"/>
      <c r="V83" s="7"/>
      <c r="W83" s="7"/>
      <c r="X83" s="7"/>
      <c r="Y83" s="7"/>
      <c r="Z83" s="7"/>
      <c r="AA83" s="7"/>
      <c r="AB83" s="7"/>
      <c r="AC83" s="7"/>
      <c r="AD83" s="7"/>
      <c r="AE83" s="7"/>
      <c r="AF83" s="7"/>
    </row>
    <row r="84" spans="1:33" ht="6.75" customHeight="1" x14ac:dyDescent="0.25">
      <c r="A84" s="7"/>
      <c r="B84" s="7"/>
      <c r="C84" s="7"/>
      <c r="D84" s="7"/>
      <c r="E84" s="7"/>
      <c r="F84" s="7"/>
      <c r="G84" s="7"/>
      <c r="H84" s="7"/>
      <c r="I84" s="7"/>
      <c r="J84" s="7"/>
      <c r="K84" s="7"/>
      <c r="L84" s="7"/>
      <c r="M84" s="7"/>
      <c r="N84" s="7"/>
      <c r="O84" s="7"/>
      <c r="P84" s="7"/>
      <c r="Q84" s="7"/>
      <c r="R84" s="7"/>
      <c r="S84" s="7"/>
      <c r="T84" s="7"/>
      <c r="U84" s="7"/>
      <c r="V84" s="7"/>
      <c r="W84" s="7"/>
      <c r="X84" s="7"/>
      <c r="Y84" s="7"/>
      <c r="Z84" s="7"/>
      <c r="AA84" s="7"/>
      <c r="AB84" s="7"/>
      <c r="AC84" s="7"/>
      <c r="AD84" s="7"/>
      <c r="AE84" s="7"/>
      <c r="AF84" s="7"/>
    </row>
    <row r="85" spans="1:33" ht="0" hidden="1" customHeight="1" x14ac:dyDescent="0.25"/>
    <row r="86" spans="1:33" ht="0" hidden="1" customHeight="1" x14ac:dyDescent="0.25"/>
    <row r="87" spans="1:33" ht="0" hidden="1" customHeight="1" x14ac:dyDescent="0.25"/>
  </sheetData>
  <mergeCells count="37">
    <mergeCell ref="AE4:AE5"/>
    <mergeCell ref="H4:H5"/>
    <mergeCell ref="I4:I5"/>
    <mergeCell ref="J4:J5"/>
    <mergeCell ref="K4:K5"/>
    <mergeCell ref="L4:L5"/>
    <mergeCell ref="M4:M5"/>
    <mergeCell ref="W4:W5"/>
    <mergeCell ref="S4:S5"/>
    <mergeCell ref="Q4:Q5"/>
    <mergeCell ref="R4:R5"/>
    <mergeCell ref="X4:X5"/>
    <mergeCell ref="N4:N5"/>
    <mergeCell ref="O4:O5"/>
    <mergeCell ref="AA4:AA5"/>
    <mergeCell ref="Z4:Z5"/>
    <mergeCell ref="A2:C2"/>
    <mergeCell ref="B4:B5"/>
    <mergeCell ref="C4:C5"/>
    <mergeCell ref="D4:D5"/>
    <mergeCell ref="E4:E5"/>
    <mergeCell ref="A82:G82"/>
    <mergeCell ref="V4:V5"/>
    <mergeCell ref="A78:B78"/>
    <mergeCell ref="T4:T5"/>
    <mergeCell ref="U4:U5"/>
    <mergeCell ref="G4:G5"/>
    <mergeCell ref="A4:A5"/>
    <mergeCell ref="F4:F5"/>
    <mergeCell ref="Y4:Y5"/>
    <mergeCell ref="A81:C81"/>
    <mergeCell ref="AD4:AD5"/>
    <mergeCell ref="A79:C79"/>
    <mergeCell ref="A80:C80"/>
    <mergeCell ref="P4:P5"/>
    <mergeCell ref="AC4:AC5"/>
    <mergeCell ref="AB4:AB5"/>
  </mergeCells>
  <pageMargins left="0.74803149606299213" right="0.74803149606299213" top="0.98425196850393704" bottom="0.98425196850393704" header="0" footer="0"/>
  <pageSetup paperSize="9" scale="65" fitToWidth="19" orientation="portrait" r:id="rId1"/>
  <headerFooter alignWithMargins="0"/>
  <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H125"/>
  <sheetViews>
    <sheetView topLeftCell="A59" zoomScale="70" zoomScaleNormal="70" workbookViewId="0">
      <selection activeCell="DL6" sqref="DL6"/>
    </sheetView>
  </sheetViews>
  <sheetFormatPr baseColWidth="10" defaultRowHeight="15" x14ac:dyDescent="0.25"/>
  <cols>
    <col min="2" max="2" width="46.5703125" customWidth="1"/>
    <col min="75" max="78" width="12.28515625" bestFit="1" customWidth="1"/>
    <col min="79" max="84" width="14.42578125" customWidth="1"/>
    <col min="85" max="85" width="12.28515625" bestFit="1" customWidth="1"/>
    <col min="99" max="110" width="11.42578125" style="174"/>
    <col min="111" max="111" width="10.85546875" customWidth="1"/>
  </cols>
  <sheetData>
    <row r="1" spans="1:112" x14ac:dyDescent="0.25">
      <c r="K1" s="62"/>
      <c r="L1" s="62"/>
      <c r="M1" s="62"/>
      <c r="N1" s="62"/>
      <c r="O1" s="62"/>
      <c r="P1" s="62"/>
      <c r="Q1" s="62"/>
      <c r="R1" s="62"/>
      <c r="S1" s="62"/>
      <c r="T1" s="62"/>
      <c r="U1" s="62"/>
      <c r="V1" s="62"/>
      <c r="W1" s="62"/>
      <c r="X1" s="62"/>
      <c r="Y1" s="62"/>
      <c r="Z1" s="62"/>
      <c r="AA1" s="62"/>
      <c r="AB1" s="62"/>
      <c r="AC1" s="62"/>
      <c r="AD1" s="62"/>
      <c r="AE1" s="62"/>
      <c r="AF1" s="62"/>
      <c r="AG1" s="62"/>
      <c r="AH1" s="62"/>
      <c r="AI1" s="62"/>
      <c r="AJ1" s="62"/>
      <c r="AK1" s="62"/>
      <c r="AL1" s="62"/>
      <c r="AM1" s="62"/>
      <c r="AN1" s="62"/>
      <c r="AO1" s="62"/>
      <c r="AP1" s="62"/>
      <c r="AQ1" s="62"/>
      <c r="AR1" s="62"/>
      <c r="AS1" s="62"/>
      <c r="AT1" s="62"/>
      <c r="AU1" s="62"/>
      <c r="AV1" s="62"/>
      <c r="AW1" s="62"/>
      <c r="AX1" s="62"/>
      <c r="AY1" s="62"/>
      <c r="AZ1" s="62"/>
      <c r="BA1" s="62"/>
      <c r="BB1" s="62"/>
      <c r="BC1" s="62"/>
      <c r="BD1" s="62"/>
      <c r="BE1" s="62"/>
      <c r="BF1" s="62"/>
      <c r="BG1" s="62"/>
      <c r="BH1" s="62"/>
      <c r="BI1" s="62"/>
      <c r="BJ1" s="62"/>
      <c r="BK1" s="62"/>
      <c r="BL1" s="62"/>
      <c r="BM1" s="62"/>
      <c r="BN1" s="62"/>
      <c r="BO1" s="62"/>
      <c r="BP1" s="62"/>
      <c r="BQ1" s="62"/>
      <c r="BR1" s="62"/>
      <c r="BS1" s="62"/>
      <c r="BT1" s="62"/>
      <c r="BU1" s="62"/>
      <c r="BV1" s="62"/>
      <c r="BW1" s="62"/>
      <c r="BX1" s="62"/>
      <c r="BY1" s="62"/>
      <c r="BZ1" s="62"/>
      <c r="CA1" s="62"/>
      <c r="CB1" s="62"/>
      <c r="CC1" s="62"/>
      <c r="CD1" s="62"/>
      <c r="CE1" s="62"/>
      <c r="CF1" s="62"/>
      <c r="CG1" s="62"/>
      <c r="CH1" s="62"/>
      <c r="CI1" s="62"/>
      <c r="CJ1" s="62"/>
      <c r="CK1" s="62"/>
      <c r="CL1" s="62"/>
      <c r="CM1" s="62"/>
      <c r="CN1" s="62"/>
      <c r="CO1" s="62"/>
    </row>
    <row r="3" spans="1:112" ht="15.75" thickBot="1" x14ac:dyDescent="0.3">
      <c r="D3" t="s">
        <v>183</v>
      </c>
    </row>
    <row r="4" spans="1:112" ht="15.75" thickBot="1" x14ac:dyDescent="0.3">
      <c r="A4" s="56" t="s">
        <v>152</v>
      </c>
      <c r="B4" s="57"/>
      <c r="C4" s="177" t="s">
        <v>186</v>
      </c>
      <c r="D4" s="177" t="s">
        <v>187</v>
      </c>
      <c r="E4" s="177" t="s">
        <v>188</v>
      </c>
      <c r="F4" s="177" t="s">
        <v>189</v>
      </c>
      <c r="G4" s="177" t="s">
        <v>190</v>
      </c>
      <c r="H4" s="177" t="s">
        <v>191</v>
      </c>
      <c r="I4" s="177" t="s">
        <v>192</v>
      </c>
      <c r="J4" s="177" t="s">
        <v>193</v>
      </c>
      <c r="K4" s="177" t="s">
        <v>194</v>
      </c>
      <c r="L4" s="177" t="s">
        <v>195</v>
      </c>
      <c r="M4" s="177" t="s">
        <v>196</v>
      </c>
      <c r="N4" s="177" t="s">
        <v>197</v>
      </c>
      <c r="O4" s="177" t="s">
        <v>198</v>
      </c>
      <c r="P4" s="177" t="s">
        <v>199</v>
      </c>
      <c r="Q4" s="177" t="s">
        <v>200</v>
      </c>
      <c r="R4" s="177" t="s">
        <v>201</v>
      </c>
      <c r="S4" s="177" t="s">
        <v>202</v>
      </c>
      <c r="T4" s="177" t="s">
        <v>203</v>
      </c>
      <c r="U4" s="177" t="s">
        <v>204</v>
      </c>
      <c r="V4" s="177" t="s">
        <v>205</v>
      </c>
      <c r="W4" s="177" t="s">
        <v>206</v>
      </c>
      <c r="X4" s="177" t="s">
        <v>207</v>
      </c>
      <c r="Y4" s="177" t="s">
        <v>208</v>
      </c>
      <c r="Z4" s="177" t="s">
        <v>209</v>
      </c>
      <c r="AA4" s="177" t="s">
        <v>210</v>
      </c>
      <c r="AB4" s="177" t="s">
        <v>211</v>
      </c>
      <c r="AC4" s="177" t="s">
        <v>212</v>
      </c>
      <c r="AD4" s="177" t="s">
        <v>213</v>
      </c>
      <c r="AE4" s="177" t="s">
        <v>214</v>
      </c>
      <c r="AF4" s="177" t="s">
        <v>215</v>
      </c>
      <c r="AG4" s="177" t="s">
        <v>216</v>
      </c>
      <c r="AH4" s="177" t="s">
        <v>217</v>
      </c>
      <c r="AI4" s="177" t="s">
        <v>218</v>
      </c>
      <c r="AJ4" s="177" t="s">
        <v>219</v>
      </c>
      <c r="AK4" s="177" t="s">
        <v>220</v>
      </c>
      <c r="AL4" s="177" t="s">
        <v>221</v>
      </c>
      <c r="AM4" s="177" t="s">
        <v>222</v>
      </c>
      <c r="AN4" s="177" t="s">
        <v>223</v>
      </c>
      <c r="AO4" s="177" t="s">
        <v>224</v>
      </c>
      <c r="AP4" s="177" t="s">
        <v>225</v>
      </c>
      <c r="AQ4" s="177" t="s">
        <v>226</v>
      </c>
      <c r="AR4" s="177" t="s">
        <v>227</v>
      </c>
      <c r="AS4" s="177" t="s">
        <v>228</v>
      </c>
      <c r="AT4" s="177" t="s">
        <v>229</v>
      </c>
      <c r="AU4" s="177" t="s">
        <v>230</v>
      </c>
      <c r="AV4" s="177" t="s">
        <v>231</v>
      </c>
      <c r="AW4" s="177" t="s">
        <v>232</v>
      </c>
      <c r="AX4" s="177" t="s">
        <v>233</v>
      </c>
      <c r="AY4" s="177" t="s">
        <v>234</v>
      </c>
      <c r="AZ4" s="177" t="s">
        <v>235</v>
      </c>
      <c r="BA4" s="177" t="s">
        <v>236</v>
      </c>
      <c r="BB4" s="177" t="s">
        <v>237</v>
      </c>
      <c r="BC4" s="177" t="s">
        <v>238</v>
      </c>
      <c r="BD4" s="177" t="s">
        <v>239</v>
      </c>
      <c r="BE4" s="177" t="s">
        <v>240</v>
      </c>
      <c r="BF4" s="177" t="s">
        <v>241</v>
      </c>
      <c r="BG4" s="177" t="s">
        <v>242</v>
      </c>
      <c r="BH4" s="177" t="s">
        <v>243</v>
      </c>
      <c r="BI4" s="177" t="s">
        <v>244</v>
      </c>
      <c r="BJ4" s="177" t="s">
        <v>245</v>
      </c>
      <c r="BK4" s="177" t="s">
        <v>246</v>
      </c>
      <c r="BL4" s="177" t="s">
        <v>247</v>
      </c>
      <c r="BM4" s="177" t="s">
        <v>248</v>
      </c>
      <c r="BN4" s="177" t="s">
        <v>249</v>
      </c>
      <c r="BO4" s="177" t="s">
        <v>250</v>
      </c>
      <c r="BP4" s="177" t="s">
        <v>251</v>
      </c>
      <c r="BQ4" s="177" t="s">
        <v>252</v>
      </c>
      <c r="BR4" s="177" t="s">
        <v>253</v>
      </c>
      <c r="BS4" s="177" t="s">
        <v>254</v>
      </c>
      <c r="BT4" s="177" t="s">
        <v>255</v>
      </c>
      <c r="BU4" s="177" t="s">
        <v>256</v>
      </c>
      <c r="BV4" s="177" t="s">
        <v>257</v>
      </c>
      <c r="BW4" s="177" t="s">
        <v>258</v>
      </c>
      <c r="BX4" s="177" t="s">
        <v>259</v>
      </c>
      <c r="BY4" s="177" t="s">
        <v>260</v>
      </c>
      <c r="BZ4" s="177" t="s">
        <v>261</v>
      </c>
      <c r="CA4" s="177" t="s">
        <v>262</v>
      </c>
      <c r="CB4" s="177" t="s">
        <v>263</v>
      </c>
      <c r="CC4" s="177" t="s">
        <v>264</v>
      </c>
      <c r="CD4" s="177" t="s">
        <v>265</v>
      </c>
      <c r="CE4" s="177" t="s">
        <v>266</v>
      </c>
      <c r="CF4" s="177" t="s">
        <v>267</v>
      </c>
      <c r="CG4" s="177" t="s">
        <v>268</v>
      </c>
      <c r="CH4" s="177" t="s">
        <v>269</v>
      </c>
      <c r="CI4" s="177" t="s">
        <v>270</v>
      </c>
      <c r="CJ4" s="177" t="s">
        <v>271</v>
      </c>
      <c r="CK4" s="177" t="s">
        <v>272</v>
      </c>
      <c r="CL4" s="177" t="s">
        <v>273</v>
      </c>
      <c r="CM4" s="177" t="s">
        <v>274</v>
      </c>
      <c r="CN4" s="177" t="s">
        <v>275</v>
      </c>
      <c r="CO4" s="177" t="s">
        <v>276</v>
      </c>
      <c r="CP4" s="177" t="s">
        <v>277</v>
      </c>
      <c r="CQ4" s="177" t="s">
        <v>278</v>
      </c>
      <c r="CR4" s="177" t="s">
        <v>279</v>
      </c>
      <c r="CS4" s="177" t="s">
        <v>280</v>
      </c>
      <c r="CT4" s="177" t="s">
        <v>281</v>
      </c>
      <c r="CU4" s="177" t="s">
        <v>282</v>
      </c>
      <c r="CV4" s="177" t="s">
        <v>283</v>
      </c>
      <c r="CW4" s="177" t="s">
        <v>284</v>
      </c>
      <c r="CX4" s="177" t="s">
        <v>285</v>
      </c>
      <c r="CY4" s="177" t="s">
        <v>286</v>
      </c>
      <c r="CZ4" s="177" t="s">
        <v>287</v>
      </c>
      <c r="DA4" s="177" t="s">
        <v>288</v>
      </c>
      <c r="DB4" s="177" t="s">
        <v>289</v>
      </c>
      <c r="DC4" s="177" t="s">
        <v>290</v>
      </c>
      <c r="DD4" s="177" t="s">
        <v>294</v>
      </c>
      <c r="DE4" s="177" t="s">
        <v>295</v>
      </c>
      <c r="DF4" s="177" t="s">
        <v>296</v>
      </c>
      <c r="DG4" s="177" t="s">
        <v>297</v>
      </c>
    </row>
    <row r="5" spans="1:112" ht="15" customHeight="1" x14ac:dyDescent="0.25">
      <c r="A5" s="319"/>
      <c r="B5" s="308" t="s">
        <v>2</v>
      </c>
      <c r="C5" s="301"/>
      <c r="D5" s="301"/>
      <c r="E5" s="301"/>
      <c r="F5" s="301"/>
      <c r="G5" s="301"/>
      <c r="H5" s="301"/>
      <c r="I5" s="301"/>
      <c r="J5" s="301"/>
      <c r="K5" s="301"/>
      <c r="L5" s="301"/>
      <c r="M5" s="301"/>
      <c r="N5" s="301"/>
      <c r="O5" s="301"/>
      <c r="P5" s="301"/>
      <c r="Q5" s="301"/>
      <c r="R5" s="301"/>
      <c r="S5" s="301"/>
      <c r="T5" s="301"/>
      <c r="U5" s="301"/>
      <c r="V5" s="301"/>
      <c r="W5" s="301"/>
      <c r="X5" s="301"/>
      <c r="Y5" s="301"/>
      <c r="Z5" s="301"/>
      <c r="AA5" s="301"/>
      <c r="AB5" s="301"/>
      <c r="AC5" s="301"/>
      <c r="AD5" s="301"/>
      <c r="AE5" s="301"/>
      <c r="AF5" s="301"/>
      <c r="AG5" s="301"/>
      <c r="AH5" s="301"/>
      <c r="AI5" s="301"/>
      <c r="AJ5" s="301"/>
      <c r="AK5" s="301"/>
      <c r="AL5" s="301"/>
      <c r="AM5" s="301"/>
      <c r="AN5" s="301"/>
      <c r="AO5" s="301"/>
      <c r="AP5" s="301"/>
      <c r="AQ5" s="301"/>
      <c r="AR5" s="301"/>
      <c r="AS5" s="301"/>
      <c r="AT5" s="301"/>
      <c r="AU5" s="301"/>
      <c r="AV5" s="301"/>
      <c r="AW5" s="301"/>
      <c r="AX5" s="301"/>
      <c r="AY5" s="301"/>
      <c r="AZ5" s="301"/>
      <c r="BA5" s="301"/>
      <c r="BB5" s="301"/>
      <c r="BC5" s="301"/>
      <c r="BD5" s="301"/>
      <c r="BE5" s="301"/>
      <c r="BF5" s="301"/>
      <c r="BG5" s="301"/>
      <c r="BH5" s="301"/>
      <c r="BI5" s="301"/>
      <c r="BJ5" s="301"/>
      <c r="BK5" s="301"/>
      <c r="BL5" s="301"/>
      <c r="BM5" s="301"/>
      <c r="BN5" s="301"/>
      <c r="BO5" s="301"/>
      <c r="BP5" s="301"/>
      <c r="BQ5" s="301"/>
      <c r="BR5" s="301"/>
      <c r="BS5" s="301"/>
      <c r="BT5" s="301"/>
      <c r="BU5" s="301"/>
      <c r="BV5" s="301"/>
      <c r="BW5" s="301"/>
      <c r="BX5" s="301"/>
      <c r="BY5" s="301"/>
      <c r="BZ5" s="301"/>
      <c r="CA5" s="301"/>
      <c r="CB5" s="301"/>
      <c r="CC5" s="301"/>
      <c r="CD5" s="301"/>
      <c r="CE5" s="301"/>
      <c r="CF5" s="301"/>
      <c r="CG5" s="301"/>
      <c r="CH5" s="301"/>
      <c r="CI5" s="301"/>
      <c r="CJ5" s="301"/>
      <c r="CK5" s="301"/>
      <c r="CL5" s="301"/>
      <c r="CM5" s="301"/>
      <c r="CN5" s="301"/>
      <c r="CO5" s="301"/>
      <c r="CP5" s="301"/>
      <c r="CQ5" s="301"/>
      <c r="CR5" s="301"/>
      <c r="CS5" s="301"/>
      <c r="CT5" s="301"/>
      <c r="CU5" s="301"/>
      <c r="CV5" s="301"/>
      <c r="CW5" s="301"/>
      <c r="CX5" s="301"/>
      <c r="CY5" s="301"/>
      <c r="CZ5" s="301"/>
      <c r="DA5" s="301"/>
      <c r="DB5" s="301"/>
      <c r="DC5" s="301"/>
      <c r="DD5" s="175"/>
      <c r="DE5" s="178"/>
      <c r="DF5" s="178"/>
      <c r="DG5" s="301"/>
      <c r="DH5" s="308"/>
    </row>
    <row r="6" spans="1:112" ht="15.75" thickBot="1" x14ac:dyDescent="0.3">
      <c r="A6" s="320"/>
      <c r="B6" s="309"/>
      <c r="C6" s="302"/>
      <c r="D6" s="302"/>
      <c r="E6" s="302"/>
      <c r="F6" s="302"/>
      <c r="G6" s="302"/>
      <c r="H6" s="302"/>
      <c r="I6" s="302"/>
      <c r="J6" s="302"/>
      <c r="K6" s="302"/>
      <c r="L6" s="302"/>
      <c r="M6" s="302"/>
      <c r="N6" s="302"/>
      <c r="O6" s="302"/>
      <c r="P6" s="302"/>
      <c r="Q6" s="302"/>
      <c r="R6" s="302"/>
      <c r="S6" s="302"/>
      <c r="T6" s="302"/>
      <c r="U6" s="302"/>
      <c r="V6" s="302"/>
      <c r="W6" s="302"/>
      <c r="X6" s="302"/>
      <c r="Y6" s="302"/>
      <c r="Z6" s="302"/>
      <c r="AA6" s="302"/>
      <c r="AB6" s="302"/>
      <c r="AC6" s="302"/>
      <c r="AD6" s="302"/>
      <c r="AE6" s="302"/>
      <c r="AF6" s="302"/>
      <c r="AG6" s="302"/>
      <c r="AH6" s="302"/>
      <c r="AI6" s="302"/>
      <c r="AJ6" s="302"/>
      <c r="AK6" s="302"/>
      <c r="AL6" s="302"/>
      <c r="AM6" s="302"/>
      <c r="AN6" s="302"/>
      <c r="AO6" s="302"/>
      <c r="AP6" s="302"/>
      <c r="AQ6" s="302"/>
      <c r="AR6" s="302"/>
      <c r="AS6" s="302"/>
      <c r="AT6" s="302"/>
      <c r="AU6" s="302"/>
      <c r="AV6" s="302"/>
      <c r="AW6" s="302"/>
      <c r="AX6" s="302"/>
      <c r="AY6" s="302"/>
      <c r="AZ6" s="302"/>
      <c r="BA6" s="302"/>
      <c r="BB6" s="302"/>
      <c r="BC6" s="302"/>
      <c r="BD6" s="302"/>
      <c r="BE6" s="302"/>
      <c r="BF6" s="302"/>
      <c r="BG6" s="302"/>
      <c r="BH6" s="302"/>
      <c r="BI6" s="302"/>
      <c r="BJ6" s="302"/>
      <c r="BK6" s="302"/>
      <c r="BL6" s="302"/>
      <c r="BM6" s="302"/>
      <c r="BN6" s="302"/>
      <c r="BO6" s="302"/>
      <c r="BP6" s="302"/>
      <c r="BQ6" s="302"/>
      <c r="BR6" s="302"/>
      <c r="BS6" s="302"/>
      <c r="BT6" s="302"/>
      <c r="BU6" s="302"/>
      <c r="BV6" s="302"/>
      <c r="BW6" s="302"/>
      <c r="BX6" s="302"/>
      <c r="BY6" s="302"/>
      <c r="BZ6" s="302"/>
      <c r="CA6" s="302"/>
      <c r="CB6" s="302"/>
      <c r="CC6" s="302"/>
      <c r="CD6" s="302"/>
      <c r="CE6" s="302"/>
      <c r="CF6" s="302"/>
      <c r="CG6" s="302"/>
      <c r="CH6" s="302"/>
      <c r="CI6" s="302"/>
      <c r="CJ6" s="302"/>
      <c r="CK6" s="302"/>
      <c r="CL6" s="302"/>
      <c r="CM6" s="302"/>
      <c r="CN6" s="302"/>
      <c r="CO6" s="302"/>
      <c r="CP6" s="302"/>
      <c r="CQ6" s="302"/>
      <c r="CR6" s="302"/>
      <c r="CS6" s="302"/>
      <c r="CT6" s="302"/>
      <c r="CU6" s="302"/>
      <c r="CV6" s="302"/>
      <c r="CW6" s="302"/>
      <c r="CX6" s="302"/>
      <c r="CY6" s="302"/>
      <c r="CZ6" s="302"/>
      <c r="DA6" s="302"/>
      <c r="DB6" s="302"/>
      <c r="DC6" s="302"/>
      <c r="DD6" s="176"/>
      <c r="DE6" s="179"/>
      <c r="DF6" s="179"/>
      <c r="DG6" s="302"/>
      <c r="DH6" s="312" t="s">
        <v>184</v>
      </c>
    </row>
    <row r="7" spans="1:112" ht="15" customHeight="1" thickBot="1" x14ac:dyDescent="0.3">
      <c r="A7" s="40" t="s">
        <v>11</v>
      </c>
      <c r="B7" s="9" t="s">
        <v>12</v>
      </c>
      <c r="C7" s="75">
        <f>+'Partidos de GBA'!C6+'Capital Federal'!C6+'Resto de Buenos Aires'!C6+Catamarca!C6+Cordoba!C6+Corrientes!C6+Chaco!C6+Chubut!C6+'Entre Rios'!C6+Formosa!C6+Jujuy!C6+'La Pampa'!C6+'La Rioja'!C6+Mendoza!C6+Misiones!C6+Neuquen!C6+'Rio Negro'!C6+Salta!C6+'San Juan'!C6+'San Luis'!C6+'Santa Cruz'!C6+'Santa Fe'!C6+'Santiago del Estero'!C6+Tucuman!C6+'Tierra del Fuego'!C6</f>
        <v>60436</v>
      </c>
      <c r="D7" s="75">
        <f>+'Partidos de GBA'!D6+'Capital Federal'!D6+'Resto de Buenos Aires'!D6+Catamarca!D6+Cordoba!D6+Corrientes!D6+Chaco!D6+Chubut!D6+'Entre Rios'!D6+Formosa!D6+Jujuy!D6+'La Pampa'!D6+'La Rioja'!D6+Mendoza!D6+Misiones!D6+Neuquen!D6+'Rio Negro'!D6+Salta!D6+'San Juan'!D6+'San Luis'!D6+'Santa Cruz'!D6+'Santa Fe'!D6+'Santiago del Estero'!D6+Tucuman!D6+'Tierra del Fuego'!D6</f>
        <v>60039</v>
      </c>
      <c r="E7" s="75">
        <f>+'Partidos de GBA'!E6+'Capital Federal'!E6+'Resto de Buenos Aires'!E6+Catamarca!E6+Cordoba!E6+Corrientes!E6+Chaco!E6+Chubut!E6+'Entre Rios'!E6+Formosa!E6+Jujuy!E6+'La Pampa'!E6+'La Rioja'!E6+Mendoza!E6+Misiones!E6+Neuquen!E6+'Rio Negro'!E6+Salta!E6+'San Juan'!E6+'San Luis'!E6+'Santa Cruz'!E6+'Santa Fe'!E6+'Santiago del Estero'!E6+Tucuman!E6+'Tierra del Fuego'!E6</f>
        <v>59422</v>
      </c>
      <c r="F7" s="75">
        <f>+'Partidos de GBA'!F6+'Capital Federal'!F6+'Resto de Buenos Aires'!F6+Catamarca!F6+Cordoba!F6+Corrientes!F6+Chaco!F6+Chubut!F6+'Entre Rios'!F6+Formosa!F6+Jujuy!F6+'La Pampa'!F6+'La Rioja'!F6+Mendoza!F6+Misiones!F6+Neuquen!F6+'Rio Negro'!F6+Salta!F6+'San Juan'!F6+'San Luis'!F6+'Santa Cruz'!F6+'Santa Fe'!F6+'Santiago del Estero'!F6+Tucuman!F6+'Tierra del Fuego'!F6</f>
        <v>59524</v>
      </c>
      <c r="G7" s="75">
        <f>+'Partidos de GBA'!G6+'Capital Federal'!G6+'Resto de Buenos Aires'!G6+Catamarca!G6+Cordoba!G6+Corrientes!G6+Chaco!G6+Chubut!G6+'Entre Rios'!G6+Formosa!G6+Jujuy!G6+'La Pampa'!G6+'La Rioja'!G6+Mendoza!G6+Misiones!G6+Neuquen!G6+'Rio Negro'!G6+Salta!G6+'San Juan'!G6+'San Luis'!G6+'Santa Cruz'!G6+'Santa Fe'!G6+'Santiago del Estero'!G6+Tucuman!G6+'Tierra del Fuego'!G6</f>
        <v>56760</v>
      </c>
      <c r="H7" s="75">
        <f>+'Partidos de GBA'!H6+'Capital Federal'!H6+'Resto de Buenos Aires'!H6+Catamarca!H6+Cordoba!H6+Corrientes!H6+Chaco!H6+Chubut!H6+'Entre Rios'!H6+Formosa!H6+Jujuy!H6+'La Pampa'!H6+'La Rioja'!H6+Mendoza!H6+Misiones!H6+Neuquen!H6+'Rio Negro'!H6+Salta!H6+'San Juan'!H6+'San Luis'!H6+'Santa Cruz'!H6+'Santa Fe'!H6+'Santiago del Estero'!H6+Tucuman!H6+'Tierra del Fuego'!H6</f>
        <v>54777</v>
      </c>
      <c r="I7" s="75">
        <f>+'Partidos de GBA'!I6+'Capital Federal'!I6+'Resto de Buenos Aires'!I6+Catamarca!I6+Cordoba!I6+Corrientes!I6+Chaco!I6+Chubut!I6+'Entre Rios'!I6+Formosa!I6+Jujuy!I6+'La Pampa'!I6+'La Rioja'!I6+Mendoza!I6+Misiones!I6+Neuquen!I6+'Rio Negro'!I6+Salta!I6+'San Juan'!I6+'San Luis'!I6+'Santa Cruz'!I6+'Santa Fe'!I6+'Santiago del Estero'!I6+Tucuman!I6+'Tierra del Fuego'!I6</f>
        <v>53746</v>
      </c>
      <c r="J7" s="75">
        <f>+'Partidos de GBA'!J6+'Capital Federal'!J6+'Resto de Buenos Aires'!J6+Catamarca!J6+Cordoba!J6+Corrientes!J6+Chaco!J6+Chubut!J6+'Entre Rios'!J6+Formosa!J6+Jujuy!J6+'La Pampa'!J6+'La Rioja'!J6+Mendoza!J6+Misiones!J6+Neuquen!J6+'Rio Negro'!J6+Salta!J6+'San Juan'!J6+'San Luis'!J6+'Santa Cruz'!J6+'Santa Fe'!J6+'Santiago del Estero'!J6+Tucuman!J6+'Tierra del Fuego'!J6</f>
        <v>56748</v>
      </c>
      <c r="K7" s="75">
        <f>+'Partidos de GBA'!K6+'Capital Federal'!K6+'Resto de Buenos Aires'!K6+Catamarca!K6+Cordoba!K6+Corrientes!K6+Chaco!K6+Chubut!K6+'Entre Rios'!K6+Formosa!K6+Jujuy!K6+'La Pampa'!K6+'La Rioja'!K6+Mendoza!K6+Misiones!K6+Neuquen!K6+'Rio Negro'!K6+Salta!K6+'San Juan'!K6+'San Luis'!K6+'Santa Cruz'!K6+'Santa Fe'!K6+'Santiago del Estero'!K6+Tucuman!K6+'Tierra del Fuego'!K6</f>
        <v>60618</v>
      </c>
      <c r="L7" s="75">
        <f>+'Partidos de GBA'!L6+'Capital Federal'!L6+'Resto de Buenos Aires'!L6+Catamarca!L6+Cordoba!L6+Corrientes!L6+Chaco!L6+Chubut!L6+'Entre Rios'!L6+Formosa!L6+Jujuy!L6+'La Pampa'!L6+'La Rioja'!L6+Mendoza!L6+Misiones!L6+Neuquen!L6+'Rio Negro'!L6+Salta!L6+'San Juan'!L6+'San Luis'!L6+'Santa Cruz'!L6+'Santa Fe'!L6+'Santiago del Estero'!L6+Tucuman!L6+'Tierra del Fuego'!L6</f>
        <v>64103</v>
      </c>
      <c r="M7" s="75">
        <f>+'Partidos de GBA'!M6+'Capital Federal'!M6+'Resto de Buenos Aires'!M6+Catamarca!M6+Cordoba!M6+Corrientes!M6+Chaco!M6+Chubut!M6+'Entre Rios'!M6+Formosa!M6+Jujuy!M6+'La Pampa'!M6+'La Rioja'!M6+Mendoza!M6+Misiones!M6+Neuquen!M6+'Rio Negro'!M6+Salta!M6+'San Juan'!M6+'San Luis'!M6+'Santa Cruz'!M6+'Santa Fe'!M6+'Santiago del Estero'!M6+Tucuman!M6+'Tierra del Fuego'!M6</f>
        <v>66755</v>
      </c>
      <c r="N7" s="75">
        <f>+'Partidos de GBA'!N6+'Capital Federal'!N6+'Resto de Buenos Aires'!N6+Catamarca!N6+Cordoba!N6+Corrientes!N6+Chaco!N6+Chubut!N6+'Entre Rios'!N6+Formosa!N6+Jujuy!N6+'La Pampa'!N6+'La Rioja'!N6+Mendoza!N6+Misiones!N6+Neuquen!N6+'Rio Negro'!N6+Salta!N6+'San Juan'!N6+'San Luis'!N6+'Santa Cruz'!N6+'Santa Fe'!N6+'Santiago del Estero'!N6+Tucuman!N6+'Tierra del Fuego'!N6</f>
        <v>68674</v>
      </c>
      <c r="O7" s="75">
        <f>+'Partidos de GBA'!O6+'Capital Federal'!O6+'Resto de Buenos Aires'!O6+Catamarca!O6+Cordoba!O6+Corrientes!O6+Chaco!O6+Chubut!O6+'Entre Rios'!O6+Formosa!O6+Jujuy!O6+'La Pampa'!O6+'La Rioja'!O6+Mendoza!O6+Misiones!O6+Neuquen!O6+'Rio Negro'!O6+Salta!O6+'San Juan'!O6+'San Luis'!O6+'Santa Cruz'!O6+'Santa Fe'!O6+'Santiago del Estero'!O6+Tucuman!O6+'Tierra del Fuego'!O6</f>
        <v>70029</v>
      </c>
      <c r="P7" s="75">
        <f>+'Partidos de GBA'!P6+'Capital Federal'!P6+'Resto de Buenos Aires'!P6+Catamarca!P6+Cordoba!P6+Corrientes!P6+Chaco!P6+Chubut!P6+'Entre Rios'!P6+Formosa!P6+Jujuy!P6+'La Pampa'!P6+'La Rioja'!P6+Mendoza!P6+Misiones!P6+Neuquen!P6+'Rio Negro'!P6+Salta!P6+'San Juan'!P6+'San Luis'!P6+'Santa Cruz'!P6+'Santa Fe'!P6+'Santiago del Estero'!P6+Tucuman!P6+'Tierra del Fuego'!P6</f>
        <v>68623</v>
      </c>
      <c r="Q7" s="75">
        <f>+'Partidos de GBA'!W6+'Capital Federal'!W6+'Resto de Buenos Aires'!W6+Catamarca!W6+Cordoba!W6+Corrientes!W6+Chaco!W6+Chubut!W6+'Entre Rios'!W6+Formosa!W6+Jujuy!W6+'La Pampa'!W6+'La Rioja'!W6+Mendoza!W6+Misiones!W6+Neuquen!W6+'Rio Negro'!W6+Salta!W6+'San Juan'!W6+'San Luis'!W6+'Santa Cruz'!W6+'Santa Fe'!W6+'Santiago del Estero'!W6+Tucuman!W6+'Tierra del Fuego'!W6</f>
        <v>64633</v>
      </c>
      <c r="R7" s="75">
        <f>+'Partidos de GBA'!X6+'Capital Federal'!X6+'Resto de Buenos Aires'!X6+Catamarca!X6+Cordoba!X6+Corrientes!X6+Chaco!X6+Chubut!X6+'Entre Rios'!X6+Formosa!X6+Jujuy!X6+'La Pampa'!X6+'La Rioja'!X6+Mendoza!X6+Misiones!X6+Neuquen!X6+'Rio Negro'!X6+Salta!X6+'San Juan'!X6+'San Luis'!X6+'Santa Cruz'!X6+'Santa Fe'!X6+'Santiago del Estero'!X6+Tucuman!X6+'Tierra del Fuego'!X6</f>
        <v>64161</v>
      </c>
      <c r="S7" s="75"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T7" s="75"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U7" s="75"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V7" s="75"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W7" s="75"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X7" s="75"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Y7" s="75"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Z7" s="75"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A7" s="75"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B7" s="75"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C7" s="75"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D7" s="75"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E7" s="75"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F7" s="75"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G7" s="75"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H7" s="75"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I7" s="75"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J7" s="75"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K7" s="75"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L7" s="75"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M7" s="75"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N7" s="75"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O7" s="75"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P7" s="75"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Q7" s="75"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R7" s="75"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S7" s="75"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T7" s="75"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U7" s="75"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V7" s="75"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W7" s="75"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X7" s="75"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Y7" s="75"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Z7" s="75"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A7" s="75"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B7" s="75"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C7" s="75"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D7" s="75"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E7" s="75"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F7" s="75"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G7" s="75"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H7" s="75"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I7" s="75"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J7" s="75"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K7" s="75"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L7" s="75"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M7" s="75"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N7" s="75"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O7" s="75"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P7" s="75"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Q7" s="75"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R7" s="75"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S7" s="75"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T7" s="75"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U7" s="75"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V7" s="75"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W7" s="75"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X7" s="75"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Y7" s="75"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Z7" s="75"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A7" s="75"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B7" s="75"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C7" s="75"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D7" s="75"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E7" s="75"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F7" s="75"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G7" s="75"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H7" s="75"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I7" s="75"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J7" s="75"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K7" s="75"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L7" s="75"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M7" s="75"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N7" s="75"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O7" s="75"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P7" s="75"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Q7" s="75"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R7" s="75"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S7" s="75"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T7" s="75"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U7" s="75"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V7" s="75"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W7" s="75"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X7" s="75"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Y7" s="75"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Z7" s="75"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DA7" s="75"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DB7" s="75"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DC7" s="75"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DD7" s="75"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DE7" s="75"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DF7" s="75">
        <f>+'Partidos de GBA'!Y6+'Capital Federal'!Y6+'Resto de Buenos Aires'!Y6+Catamarca!Y6+Cordoba!Y6+Corrientes!Y6+Chaco!Y6+Chubut!Y6+'Entre Rios'!Y6+Formosa!Y6+Jujuy!Y6+'La Pampa'!Y6+'La Rioja'!Y6+Mendoza!Y6+Misiones!Y6+Neuquen!Y6+'Rio Negro'!Y6+Salta!Y6+'San Juan'!Y6+'San Luis'!Y6+'Santa Cruz'!Y6+'Santa Fe'!Y6+'Santiago del Estero'!Y6+Tucuman!Y6+'Tierra del Fuego'!Y6</f>
        <v>63405</v>
      </c>
      <c r="DG7" s="75">
        <f>+'Partidos de GBA'!AE6+'Capital Federal'!AE6+'Resto de Buenos Aires'!AE6+Catamarca!AE6+Cordoba!AE6+Corrientes!AE6+Chaco!AE6+Chubut!AE6+'Entre Rios'!AE6+Formosa!AE6+Jujuy!AE6+'La Pampa'!AE6+'La Rioja'!AE6+Mendoza!AE6+Misiones!AE6+Neuquen!AE6+'Rio Negro'!AE6+Salta!AE6+'San Juan'!AE6+'San Luis'!AE6+'Santa Cruz'!AE6+'Santa Fe'!AE6+'Santiago del Estero'!AE6+Tucuman!AE6+'Tierra del Fuego'!AE6</f>
        <v>62164</v>
      </c>
    </row>
    <row r="8" spans="1:112" ht="15" customHeight="1" x14ac:dyDescent="0.25">
      <c r="A8" s="41">
        <v>1</v>
      </c>
      <c r="B8" s="12" t="s">
        <v>13</v>
      </c>
      <c r="C8" s="65"/>
      <c r="D8" s="65"/>
      <c r="E8" s="65"/>
      <c r="F8" s="65"/>
      <c r="G8" s="65"/>
      <c r="H8" s="65"/>
      <c r="I8" s="65"/>
      <c r="J8" s="65"/>
      <c r="K8" s="65"/>
      <c r="L8" s="65"/>
      <c r="M8" s="65"/>
      <c r="N8" s="65"/>
      <c r="O8" s="65"/>
      <c r="P8" s="65"/>
      <c r="Q8" s="65"/>
      <c r="R8" s="65"/>
      <c r="S8" s="65"/>
      <c r="T8" s="65"/>
      <c r="U8" s="65"/>
      <c r="V8" s="65"/>
      <c r="W8" s="65"/>
      <c r="X8" s="65"/>
      <c r="Y8" s="65"/>
      <c r="Z8" s="65"/>
      <c r="AA8" s="65"/>
      <c r="AB8" s="65"/>
      <c r="AC8" s="65"/>
      <c r="AD8" s="65"/>
      <c r="AE8" s="65"/>
      <c r="AF8" s="65"/>
      <c r="AG8" s="65"/>
      <c r="AH8" s="65"/>
      <c r="AI8" s="65"/>
      <c r="AJ8" s="65"/>
      <c r="AK8" s="65"/>
      <c r="AL8" s="65"/>
      <c r="AM8" s="65"/>
      <c r="AN8" s="65"/>
      <c r="AO8" s="65"/>
      <c r="AP8" s="65"/>
      <c r="AQ8" s="65"/>
      <c r="AR8" s="65"/>
      <c r="AS8" s="65"/>
      <c r="AT8" s="65"/>
      <c r="AU8" s="65"/>
      <c r="AV8" s="65"/>
      <c r="AW8" s="65"/>
      <c r="AX8" s="65"/>
      <c r="AY8" s="65"/>
      <c r="AZ8" s="65"/>
      <c r="BA8" s="65"/>
      <c r="BB8" s="65"/>
      <c r="BC8" s="65"/>
      <c r="BD8" s="65"/>
      <c r="BE8" s="65"/>
      <c r="BF8" s="65"/>
      <c r="BG8" s="65"/>
      <c r="BH8" s="65"/>
      <c r="BI8" s="65"/>
      <c r="BJ8" s="65"/>
      <c r="BK8" s="65"/>
      <c r="BL8" s="65"/>
      <c r="BM8" s="65"/>
      <c r="BN8" s="65"/>
      <c r="BO8" s="65"/>
      <c r="BP8" s="65"/>
      <c r="BQ8" s="65"/>
      <c r="BR8" s="65"/>
      <c r="BS8" s="65"/>
      <c r="BT8" s="65"/>
      <c r="BU8" s="65"/>
      <c r="BV8" s="65"/>
      <c r="BW8" s="65"/>
      <c r="BX8" s="65"/>
      <c r="BY8" s="65"/>
      <c r="BZ8" s="65"/>
      <c r="CA8" s="65"/>
      <c r="CB8" s="65"/>
      <c r="CC8" s="65"/>
      <c r="CD8" s="65"/>
      <c r="CE8" s="65"/>
      <c r="CF8" s="65"/>
      <c r="CG8" s="65"/>
      <c r="CH8" s="65"/>
      <c r="CI8" s="65"/>
      <c r="CJ8" s="65"/>
      <c r="CK8" s="65"/>
      <c r="CL8" s="65"/>
      <c r="CM8" s="65"/>
      <c r="CN8" s="65"/>
      <c r="CO8" s="65"/>
      <c r="CP8" s="65"/>
      <c r="CQ8" s="65"/>
      <c r="CR8" s="65"/>
      <c r="CS8" s="65"/>
      <c r="CT8" s="65"/>
      <c r="CU8" s="65"/>
      <c r="CV8" s="65"/>
      <c r="CW8" s="65"/>
      <c r="CX8" s="65"/>
      <c r="CY8" s="65"/>
      <c r="CZ8" s="65"/>
      <c r="DA8" s="65"/>
      <c r="DB8" s="65"/>
      <c r="DC8" s="65"/>
      <c r="DD8" s="65"/>
      <c r="DE8" s="65"/>
      <c r="DF8" s="65"/>
      <c r="DG8" s="65"/>
    </row>
    <row r="9" spans="1:112" ht="15" customHeight="1" thickBot="1" x14ac:dyDescent="0.3">
      <c r="A9" s="42">
        <v>2</v>
      </c>
      <c r="B9" s="13" t="s">
        <v>14</v>
      </c>
      <c r="C9" s="66"/>
      <c r="D9" s="66"/>
      <c r="E9" s="66"/>
      <c r="F9" s="66"/>
      <c r="G9" s="66"/>
      <c r="H9" s="66"/>
      <c r="I9" s="66"/>
      <c r="J9" s="66"/>
      <c r="K9" s="66"/>
      <c r="L9" s="66"/>
      <c r="M9" s="66"/>
      <c r="N9" s="66"/>
      <c r="O9" s="66"/>
      <c r="P9" s="66"/>
      <c r="Q9" s="66"/>
      <c r="R9" s="66"/>
      <c r="S9" s="66"/>
      <c r="T9" s="66"/>
      <c r="U9" s="66"/>
      <c r="V9" s="66"/>
      <c r="W9" s="66"/>
      <c r="X9" s="66"/>
      <c r="Y9" s="66"/>
      <c r="Z9" s="66"/>
      <c r="AA9" s="66"/>
      <c r="AB9" s="66"/>
      <c r="AC9" s="66"/>
      <c r="AD9" s="66"/>
      <c r="AE9" s="66"/>
      <c r="AF9" s="66"/>
      <c r="AG9" s="66"/>
      <c r="AH9" s="66"/>
      <c r="AI9" s="66"/>
      <c r="AJ9" s="66"/>
      <c r="AK9" s="66"/>
      <c r="AL9" s="66"/>
      <c r="AM9" s="66"/>
      <c r="AN9" s="66"/>
      <c r="AO9" s="66"/>
      <c r="AP9" s="66"/>
      <c r="AQ9" s="66"/>
      <c r="AR9" s="66"/>
      <c r="AS9" s="66"/>
      <c r="AT9" s="66"/>
      <c r="AU9" s="66"/>
      <c r="AV9" s="66"/>
      <c r="AW9" s="66"/>
      <c r="AX9" s="66"/>
      <c r="AY9" s="66"/>
      <c r="AZ9" s="66"/>
      <c r="BA9" s="66"/>
      <c r="BB9" s="66"/>
      <c r="BC9" s="66"/>
      <c r="BD9" s="66"/>
      <c r="BE9" s="66"/>
      <c r="BF9" s="66"/>
      <c r="BG9" s="66"/>
      <c r="BH9" s="66"/>
      <c r="BI9" s="66"/>
      <c r="BJ9" s="66"/>
      <c r="BK9" s="66"/>
      <c r="BL9" s="66"/>
      <c r="BM9" s="66"/>
      <c r="BN9" s="66"/>
      <c r="BO9" s="66"/>
      <c r="BP9" s="66"/>
      <c r="BQ9" s="66"/>
      <c r="BR9" s="66"/>
      <c r="BS9" s="66"/>
      <c r="BT9" s="66"/>
      <c r="BU9" s="66"/>
      <c r="BV9" s="66"/>
      <c r="BW9" s="66"/>
      <c r="BX9" s="66"/>
      <c r="BY9" s="66"/>
      <c r="BZ9" s="66"/>
      <c r="CA9" s="66"/>
      <c r="CB9" s="66"/>
      <c r="CC9" s="66"/>
      <c r="CD9" s="66"/>
      <c r="CE9" s="66"/>
      <c r="CF9" s="66"/>
      <c r="CG9" s="66"/>
      <c r="CH9" s="66"/>
      <c r="CI9" s="66"/>
      <c r="CJ9" s="66"/>
      <c r="CK9" s="66"/>
      <c r="CL9" s="66"/>
      <c r="CM9" s="66"/>
      <c r="CN9" s="66"/>
      <c r="CO9" s="66"/>
      <c r="CP9" s="66"/>
      <c r="CQ9" s="66"/>
      <c r="CR9" s="66"/>
      <c r="CS9" s="66"/>
      <c r="CT9" s="66"/>
      <c r="CU9" s="66"/>
      <c r="CV9" s="66"/>
      <c r="CW9" s="66"/>
      <c r="CX9" s="66"/>
      <c r="CY9" s="66"/>
      <c r="CZ9" s="66"/>
      <c r="DA9" s="66"/>
      <c r="DB9" s="66"/>
      <c r="DC9" s="66"/>
      <c r="DD9" s="66"/>
      <c r="DE9" s="66"/>
      <c r="DF9" s="66"/>
      <c r="DG9" s="66"/>
    </row>
    <row r="10" spans="1:112" ht="15" customHeight="1" thickBot="1" x14ac:dyDescent="0.3">
      <c r="A10" s="40" t="s">
        <v>15</v>
      </c>
      <c r="B10" s="9" t="s">
        <v>16</v>
      </c>
      <c r="C10" s="75" t="e">
        <f>+'Partidos de GBA'!C9+'Capital Federal'!C9+'Resto de Buenos Aires'!C9+Catamarca!C9+Cordoba!C9+Corrientes!C9+Chaco!C9+Chubut!C9+'Entre Rios'!C9+Formosa!C9+Jujuy!C9+'La Pampa'!C9+'La Rioja'!C9+Mendoza!C9+Misiones!C9+Neuquen!C9+'Rio Negro'!C9+Salta!C9+'San Juan'!C9+'San Luis'!C9+'Santa Cruz'!C9+'Santa Fe'!C9+'Santiago del Estero'!C9+Tucuman!C9+'Tierra del Fuego'!C9</f>
        <v>#VALUE!</v>
      </c>
      <c r="D10" s="75" t="e">
        <f>+'Partidos de GBA'!D9+'Capital Federal'!D9+'Resto de Buenos Aires'!D9+Catamarca!D9+Cordoba!D9+Corrientes!D9+Chaco!D9+Chubut!D9+'Entre Rios'!D9+Formosa!D9+Jujuy!D9+'La Pampa'!D9+'La Rioja'!D9+Mendoza!D9+Misiones!D9+Neuquen!D9+'Rio Negro'!D9+Salta!D9+'San Juan'!D9+'San Luis'!D9+'Santa Cruz'!D9+'Santa Fe'!D9+'Santiago del Estero'!D9+Tucuman!D9+'Tierra del Fuego'!D9</f>
        <v>#VALUE!</v>
      </c>
      <c r="E10" s="75" t="e">
        <f>+'Partidos de GBA'!E9+'Capital Federal'!E9+'Resto de Buenos Aires'!E9+Catamarca!E9+Cordoba!E9+Corrientes!E9+Chaco!E9+Chubut!E9+'Entre Rios'!E9+Formosa!E9+Jujuy!E9+'La Pampa'!E9+'La Rioja'!E9+Mendoza!E9+Misiones!E9+Neuquen!E9+'Rio Negro'!E9+Salta!E9+'San Juan'!E9+'San Luis'!E9+'Santa Cruz'!E9+'Santa Fe'!E9+'Santiago del Estero'!E9+Tucuman!E9+'Tierra del Fuego'!E9</f>
        <v>#VALUE!</v>
      </c>
      <c r="F10" s="75" t="e">
        <f>+'Partidos de GBA'!F9+'Capital Federal'!F9+'Resto de Buenos Aires'!F9+Catamarca!F9+Cordoba!F9+Corrientes!F9+Chaco!F9+Chubut!F9+'Entre Rios'!F9+Formosa!F9+Jujuy!F9+'La Pampa'!F9+'La Rioja'!F9+Mendoza!F9+Misiones!F9+Neuquen!F9+'Rio Negro'!F9+Salta!F9+'San Juan'!F9+'San Luis'!F9+'Santa Cruz'!F9+'Santa Fe'!F9+'Santiago del Estero'!F9+Tucuman!F9+'Tierra del Fuego'!F9</f>
        <v>#VALUE!</v>
      </c>
      <c r="G10" s="64"/>
      <c r="H10" s="64"/>
      <c r="I10" s="64"/>
      <c r="J10" s="64"/>
      <c r="K10" s="64"/>
      <c r="L10" s="64"/>
      <c r="M10" s="64"/>
      <c r="N10" s="64"/>
      <c r="O10" s="64"/>
      <c r="P10" s="64"/>
      <c r="Q10" s="64"/>
      <c r="R10" s="64"/>
      <c r="S10" s="64"/>
      <c r="T10" s="64"/>
      <c r="U10" s="64"/>
      <c r="V10" s="64"/>
      <c r="W10" s="64"/>
      <c r="X10" s="64"/>
      <c r="Y10" s="64"/>
      <c r="Z10" s="64"/>
      <c r="AA10" s="64"/>
      <c r="AB10" s="64"/>
      <c r="AC10" s="64"/>
      <c r="AD10" s="64"/>
      <c r="AE10" s="64"/>
      <c r="AF10" s="64"/>
      <c r="AG10" s="64"/>
      <c r="AH10" s="64"/>
      <c r="AI10" s="64"/>
      <c r="AJ10" s="64"/>
      <c r="AK10" s="64"/>
      <c r="AL10" s="64"/>
      <c r="AM10" s="64"/>
      <c r="AN10" s="64"/>
      <c r="AO10" s="64"/>
      <c r="AP10" s="64"/>
      <c r="AQ10" s="64"/>
      <c r="AR10" s="64"/>
      <c r="AS10" s="64"/>
      <c r="AT10" s="64"/>
      <c r="AU10" s="64"/>
      <c r="AV10" s="64"/>
      <c r="AW10" s="64"/>
      <c r="AX10" s="64"/>
      <c r="AY10" s="64"/>
      <c r="AZ10" s="64"/>
      <c r="BA10" s="64"/>
      <c r="BB10" s="64"/>
      <c r="BC10" s="64"/>
      <c r="BD10" s="64"/>
      <c r="BE10" s="64"/>
      <c r="BF10" s="64"/>
      <c r="BG10" s="64"/>
      <c r="BH10" s="64"/>
      <c r="BI10" s="64"/>
      <c r="BJ10" s="64"/>
      <c r="BK10" s="64"/>
      <c r="BL10" s="64"/>
      <c r="BM10" s="64"/>
      <c r="BN10" s="64"/>
      <c r="BO10" s="64"/>
      <c r="BP10" s="64"/>
      <c r="BQ10" s="64"/>
      <c r="BR10" s="64"/>
      <c r="BS10" s="64"/>
      <c r="BT10" s="64"/>
      <c r="BU10" s="64"/>
      <c r="BV10" s="64"/>
      <c r="BW10" s="64"/>
      <c r="BX10" s="64"/>
      <c r="BY10" s="64"/>
      <c r="BZ10" s="64"/>
      <c r="CA10" s="64"/>
      <c r="CB10" s="64"/>
      <c r="CC10" s="64"/>
      <c r="CD10" s="64"/>
      <c r="CE10" s="64"/>
      <c r="CF10" s="64"/>
      <c r="CG10" s="64"/>
      <c r="CH10" s="64"/>
      <c r="CI10" s="64"/>
      <c r="CJ10" s="64"/>
      <c r="CK10" s="64"/>
      <c r="CL10" s="64"/>
      <c r="CM10" s="64"/>
      <c r="CN10" s="64"/>
      <c r="CO10" s="64"/>
      <c r="CP10" s="64"/>
      <c r="CQ10" s="64"/>
      <c r="CR10" s="64"/>
      <c r="CS10" s="64"/>
      <c r="CT10" s="64"/>
      <c r="CU10" s="64"/>
      <c r="CV10" s="64"/>
      <c r="CW10" s="64"/>
      <c r="CX10" s="64"/>
      <c r="CY10" s="64"/>
      <c r="CZ10" s="64"/>
      <c r="DA10" s="64"/>
      <c r="DB10" s="64"/>
      <c r="DC10" s="64"/>
      <c r="DD10" s="64"/>
      <c r="DE10" s="64"/>
      <c r="DF10" s="64"/>
      <c r="DG10" s="64"/>
    </row>
    <row r="11" spans="1:112" ht="15" customHeight="1" thickBot="1" x14ac:dyDescent="0.3">
      <c r="A11" s="43">
        <v>5</v>
      </c>
      <c r="B11" s="14" t="s">
        <v>17</v>
      </c>
      <c r="C11" s="67"/>
      <c r="D11" s="67"/>
      <c r="E11" s="67"/>
      <c r="F11" s="67"/>
      <c r="G11" s="67"/>
      <c r="H11" s="67"/>
      <c r="I11" s="67"/>
      <c r="J11" s="67"/>
      <c r="K11" s="67"/>
      <c r="L11" s="67"/>
      <c r="M11" s="67"/>
      <c r="N11" s="67"/>
      <c r="O11" s="67"/>
      <c r="P11" s="67"/>
      <c r="Q11" s="67"/>
      <c r="R11" s="67"/>
      <c r="S11" s="67"/>
      <c r="T11" s="67"/>
      <c r="U11" s="67"/>
      <c r="V11" s="67"/>
      <c r="W11" s="67"/>
      <c r="X11" s="67"/>
      <c r="Y11" s="67"/>
      <c r="Z11" s="67"/>
      <c r="AA11" s="67"/>
      <c r="AB11" s="67"/>
      <c r="AC11" s="67"/>
      <c r="AD11" s="67"/>
      <c r="AE11" s="67"/>
      <c r="AF11" s="67"/>
      <c r="AG11" s="67"/>
      <c r="AH11" s="67"/>
      <c r="AI11" s="67"/>
      <c r="AJ11" s="67"/>
      <c r="AK11" s="67"/>
      <c r="AL11" s="67"/>
      <c r="AM11" s="67"/>
      <c r="AN11" s="67"/>
      <c r="AO11" s="67"/>
      <c r="AP11" s="67"/>
      <c r="AQ11" s="67"/>
      <c r="AR11" s="67"/>
      <c r="AS11" s="67"/>
      <c r="AT11" s="67"/>
      <c r="AU11" s="67"/>
      <c r="AV11" s="67"/>
      <c r="AW11" s="67"/>
      <c r="AX11" s="67"/>
      <c r="AY11" s="67"/>
      <c r="AZ11" s="67"/>
      <c r="BA11" s="67"/>
      <c r="BB11" s="67"/>
      <c r="BC11" s="67"/>
      <c r="BD11" s="67"/>
      <c r="BE11" s="67"/>
      <c r="BF11" s="67"/>
      <c r="BG11" s="67"/>
      <c r="BH11" s="67"/>
      <c r="BI11" s="67"/>
      <c r="BJ11" s="67"/>
      <c r="BK11" s="67"/>
      <c r="BL11" s="67"/>
      <c r="BM11" s="67"/>
      <c r="BN11" s="67"/>
      <c r="BO11" s="67"/>
      <c r="BP11" s="67"/>
      <c r="BQ11" s="67"/>
      <c r="BR11" s="67"/>
      <c r="BS11" s="67"/>
      <c r="BT11" s="67"/>
      <c r="BU11" s="67"/>
      <c r="BV11" s="67"/>
      <c r="BW11" s="67"/>
      <c r="BX11" s="67"/>
      <c r="BY11" s="67"/>
      <c r="BZ11" s="67"/>
      <c r="CA11" s="67"/>
      <c r="CB11" s="67"/>
      <c r="CC11" s="67"/>
      <c r="CD11" s="67"/>
      <c r="CE11" s="67"/>
      <c r="CF11" s="67"/>
      <c r="CG11" s="67"/>
      <c r="CH11" s="67"/>
      <c r="CI11" s="67"/>
      <c r="CJ11" s="67"/>
      <c r="CK11" s="67"/>
      <c r="CL11" s="67"/>
      <c r="CM11" s="67"/>
      <c r="CN11" s="67"/>
      <c r="CO11" s="67"/>
      <c r="CP11" s="67"/>
      <c r="CQ11" s="67"/>
      <c r="CR11" s="67"/>
      <c r="CS11" s="67"/>
      <c r="CT11" s="67"/>
      <c r="CU11" s="67"/>
      <c r="CV11" s="67"/>
      <c r="CW11" s="67"/>
      <c r="CX11" s="67"/>
      <c r="CY11" s="67"/>
      <c r="CZ11" s="67"/>
      <c r="DA11" s="67"/>
      <c r="DB11" s="67"/>
      <c r="DC11" s="67"/>
      <c r="DD11" s="67"/>
      <c r="DE11" s="67"/>
      <c r="DF11" s="67"/>
      <c r="DG11" s="67"/>
    </row>
    <row r="12" spans="1:112" ht="15" customHeight="1" thickBot="1" x14ac:dyDescent="0.3">
      <c r="A12" s="40" t="s">
        <v>18</v>
      </c>
      <c r="B12" s="9" t="s">
        <v>19</v>
      </c>
      <c r="C12" s="75">
        <f>+'Partidos de GBA'!C11+'Capital Federal'!C11+'Resto de Buenos Aires'!C11+Catamarca!C11+Cordoba!C11+Corrientes!C11+Chaco!C11+Chubut!C11+'Entre Rios'!C11+Formosa!C11+Jujuy!C11+'La Pampa'!C11+'La Rioja'!C11+Mendoza!C11+Misiones!C11+Neuquen!C11+'Rio Negro'!C11+Salta!C11+'San Juan'!C11+'San Luis'!C11+'Santa Cruz'!C11+'Santa Fe'!C11+'Santiago del Estero'!C11+Tucuman!C11+'Tierra del Fuego'!C11</f>
        <v>1211</v>
      </c>
      <c r="D12" s="64">
        <f>+'Partidos de GBA'!D11+'Capital Federal'!D11+'Resto de Buenos Aires'!D11+Catamarca!D11+Cordoba!D11+Corrientes!D11+Chaco!D11+Chubut!D11+'Entre Rios'!D11+Formosa!D11+Jujuy!D11+'La Pampa'!D11+'La Rioja'!D11+Mendoza!D11+Misiones!D11+Neuquen!D11+'Rio Negro'!D11+Salta!D11+'San Juan'!D11+'San Luis'!D11+'Santa Cruz'!D11+'Santa Fe'!D11+'Santiago del Estero'!D11+Tucuman!D11+'Tierra del Fuego'!D11</f>
        <v>1240</v>
      </c>
      <c r="E12" s="64">
        <f>+'Partidos de GBA'!E11+'Capital Federal'!E11+'Resto de Buenos Aires'!E11+Catamarca!E11+Cordoba!E11+Corrientes!E11+Chaco!E11+Chubut!E11+'Entre Rios'!E11+Formosa!E11+Jujuy!E11+'La Pampa'!E11+'La Rioja'!E11+Mendoza!E11+Misiones!E11+Neuquen!E11+'Rio Negro'!E11+Salta!E11+'San Juan'!E11+'San Luis'!E11+'Santa Cruz'!E11+'Santa Fe'!E11+'Santiago del Estero'!E11+Tucuman!E11+'Tierra del Fuego'!E11</f>
        <v>1198</v>
      </c>
      <c r="F12" s="64">
        <f>+'Partidos de GBA'!F11+'Capital Federal'!F11+'Resto de Buenos Aires'!F11+Catamarca!F11+Cordoba!F11+Corrientes!F11+Chaco!F11+Chubut!F11+'Entre Rios'!F11+Formosa!F11+Jujuy!F11+'La Pampa'!F11+'La Rioja'!F11+Mendoza!F11+Misiones!F11+Neuquen!F11+'Rio Negro'!F11+Salta!F11+'San Juan'!F11+'San Luis'!F11+'Santa Cruz'!F11+'Santa Fe'!F11+'Santiago del Estero'!F11+Tucuman!F11+'Tierra del Fuego'!F11</f>
        <v>1241</v>
      </c>
      <c r="G12" s="64">
        <f>+'Partidos de GBA'!G11+'Capital Federal'!G11+'Resto de Buenos Aires'!G11+Catamarca!G11+Cordoba!G11+Corrientes!G11+Chaco!G11+Chubut!G11+'Entre Rios'!G11+Formosa!G11+Jujuy!G11+'La Pampa'!G11+'La Rioja'!G11+Mendoza!G11+Misiones!G11+Neuquen!G11+'Rio Negro'!G11+Salta!G11+'San Juan'!G11+'San Luis'!G11+'Santa Cruz'!G11+'Santa Fe'!G11+'Santiago del Estero'!G11+Tucuman!G11+'Tierra del Fuego'!G11</f>
        <v>1202</v>
      </c>
      <c r="H12" s="64">
        <f>+'Partidos de GBA'!H11+'Capital Federal'!H11+'Resto de Buenos Aires'!H11+Catamarca!H11+Cordoba!H11+Corrientes!H11+Chaco!H11+Chubut!H11+'Entre Rios'!H11+Formosa!H11+Jujuy!H11+'La Pampa'!H11+'La Rioja'!H11+Mendoza!H11+Misiones!H11+Neuquen!H11+'Rio Negro'!H11+Salta!H11+'San Juan'!H11+'San Luis'!H11+'Santa Cruz'!H11+'Santa Fe'!H11+'Santiago del Estero'!H11+Tucuman!H11+'Tierra del Fuego'!H11</f>
        <v>1173</v>
      </c>
      <c r="I12" s="64" t="e">
        <f>+'Partidos de GBA'!I11+'Capital Federal'!I11+'Resto de Buenos Aires'!I11+Catamarca!I11+Cordoba!I11+Corrientes!I11+Chaco!I11+Chubut!I11+'Entre Rios'!I11+Formosa!I11+Jujuy!I11+'La Pampa'!I11+'La Rioja'!I11+Mendoza!I11+Misiones!I11+Neuquen!I11+'Rio Negro'!I11+Salta!I11+'San Juan'!I11+'San Luis'!I11+'Santa Cruz'!I11+'Santa Fe'!I11+'Santiago del Estero'!I11+Tucuman!I11+'Tierra del Fuego'!I11</f>
        <v>#VALUE!</v>
      </c>
      <c r="J12" s="64" t="e">
        <f>+'Partidos de GBA'!J11+'Capital Federal'!J11+'Resto de Buenos Aires'!J11+Catamarca!J11+Cordoba!J11+Corrientes!J11+Chaco!J11+Chubut!J11+'Entre Rios'!J11+Formosa!J11+Jujuy!J11+'La Pampa'!J11+'La Rioja'!J11+Mendoza!J11+Misiones!J11+Neuquen!J11+'Rio Negro'!J11+Salta!J11+'San Juan'!J11+'San Luis'!J11+'Santa Cruz'!J11+'Santa Fe'!J11+'Santiago del Estero'!J11+Tucuman!J11+'Tierra del Fuego'!J11</f>
        <v>#VALUE!</v>
      </c>
      <c r="K12" s="64">
        <f>+'Partidos de GBA'!K11+'Capital Federal'!K11+'Resto de Buenos Aires'!K11+Catamarca!K11+Cordoba!K11+Corrientes!K11+Chaco!K11+Chubut!K11+'Entre Rios'!K11+Formosa!K11+Jujuy!K11+'La Pampa'!K11+'La Rioja'!K11+Mendoza!K11+Misiones!K11+Neuquen!K11+'Rio Negro'!K11+Salta!K11+'San Juan'!K11+'San Luis'!K11+'Santa Cruz'!K11+'Santa Fe'!K11+'Santiago del Estero'!K11+Tucuman!K11+'Tierra del Fuego'!K11</f>
        <v>1281</v>
      </c>
      <c r="L12" s="64" t="e">
        <f>+'Partidos de GBA'!L11+'Capital Federal'!L11+'Resto de Buenos Aires'!L11+Catamarca!L11+Cordoba!L11+Corrientes!L11+Chaco!L11+Chubut!L11+'Entre Rios'!L11+Formosa!L11+Jujuy!L11+'La Pampa'!L11+'La Rioja'!L11+Mendoza!L11+Misiones!L11+Neuquen!L11+'Rio Negro'!L11+Salta!L11+'San Juan'!L11+'San Luis'!L11+'Santa Cruz'!L11+'Santa Fe'!L11+'Santiago del Estero'!L11+Tucuman!L11+'Tierra del Fuego'!L11</f>
        <v>#VALUE!</v>
      </c>
      <c r="M12" s="64">
        <f>+'Partidos de GBA'!M11+'Capital Federal'!M11+'Resto de Buenos Aires'!M11+Catamarca!M11+Cordoba!M11+Corrientes!M11+Chaco!M11+Chubut!M11+'Entre Rios'!M11+Formosa!M11+Jujuy!M11+'La Pampa'!M11+'La Rioja'!M11+Mendoza!M11+Misiones!M11+Neuquen!M11+'Rio Negro'!M11+Salta!M11+'San Juan'!M11+'San Luis'!M11+'Santa Cruz'!M11+'Santa Fe'!M11+'Santiago del Estero'!M11+Tucuman!M11+'Tierra del Fuego'!M11</f>
        <v>1476</v>
      </c>
      <c r="N12" s="64">
        <f>+'Partidos de GBA'!N11+'Capital Federal'!N11+'Resto de Buenos Aires'!N11+Catamarca!N11+Cordoba!N11+Corrientes!N11+Chaco!N11+Chubut!N11+'Entre Rios'!N11+Formosa!N11+Jujuy!N11+'La Pampa'!N11+'La Rioja'!N11+Mendoza!N11+Misiones!N11+Neuquen!N11+'Rio Negro'!N11+Salta!N11+'San Juan'!N11+'San Luis'!N11+'Santa Cruz'!N11+'Santa Fe'!N11+'Santiago del Estero'!N11+Tucuman!N11+'Tierra del Fuego'!N11</f>
        <v>1635</v>
      </c>
      <c r="O12" s="64">
        <f>+'Partidos de GBA'!O11+'Capital Federal'!O11+'Resto de Buenos Aires'!O11+Catamarca!O11+Cordoba!O11+Corrientes!O11+Chaco!O11+Chubut!O11+'Entre Rios'!O11+Formosa!O11+Jujuy!O11+'La Pampa'!O11+'La Rioja'!O11+Mendoza!O11+Misiones!O11+Neuquen!O11+'Rio Negro'!O11+Salta!O11+'San Juan'!O11+'San Luis'!O11+'Santa Cruz'!O11+'Santa Fe'!O11+'Santiago del Estero'!O11+Tucuman!O11+'Tierra del Fuego'!O11</f>
        <v>1683</v>
      </c>
      <c r="P12" s="64">
        <f>+'Partidos de GBA'!P11+'Capital Federal'!P11+'Resto de Buenos Aires'!P11+Catamarca!P11+Cordoba!P11+Corrientes!P11+Chaco!P11+Chubut!P11+'Entre Rios'!P11+Formosa!P11+Jujuy!P11+'La Pampa'!P11+'La Rioja'!P11+Mendoza!P11+Misiones!P11+Neuquen!P11+'Rio Negro'!P11+Salta!P11+'San Juan'!P11+'San Luis'!P11+'Santa Cruz'!P11+'Santa Fe'!P11+'Santiago del Estero'!P11+Tucuman!P11+'Tierra del Fuego'!P11</f>
        <v>1689</v>
      </c>
      <c r="Q12" s="64">
        <f>+'Partidos de GBA'!W11+'Capital Federal'!W11+'Resto de Buenos Aires'!W11+Catamarca!W11+Cordoba!W11+Corrientes!W11+Chaco!W11+Chubut!W11+'Entre Rios'!W11+Formosa!W11+Jujuy!W11+'La Pampa'!W11+'La Rioja'!W11+Mendoza!W11+Misiones!W11+Neuquen!W11+'Rio Negro'!W11+Salta!W11+'San Juan'!W11+'San Luis'!W11+'Santa Cruz'!W11+'Santa Fe'!W11+'Santiago del Estero'!W11+Tucuman!W11+'Tierra del Fuego'!W11</f>
        <v>1734</v>
      </c>
      <c r="R12" s="64">
        <f>+'Partidos de GBA'!X11+'Capital Federal'!X11+'Resto de Buenos Aires'!X11+Catamarca!X11+Cordoba!X11+Corrientes!X11+Chaco!X11+Chubut!X11+'Entre Rios'!X11+Formosa!X11+Jujuy!X11+'La Pampa'!X11+'La Rioja'!X11+Mendoza!X11+Misiones!X11+Neuquen!X11+'Rio Negro'!X11+Salta!X11+'San Juan'!X11+'San Luis'!X11+'Santa Cruz'!X11+'Santa Fe'!X11+'Santiago del Estero'!X11+Tucuman!X11+'Tierra del Fuego'!X11</f>
        <v>1737</v>
      </c>
      <c r="S12"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T12"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U12"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V12"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W12"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X12"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Y12"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Z12"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A12"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B12"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C12"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D12"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E12"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F12"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G12"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H12"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I12"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J12"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K12"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L12"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M12"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N12"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O12"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P12"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Q12"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R12"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S12"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T12"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U12"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V12"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W12"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X12"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Y12"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Z12"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A12"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B12"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C12"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D12"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E12"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F12"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G12"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H12"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I12"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J12"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K12"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L12"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M12"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N12"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O12"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P12"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Q12"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R12"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S12"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T12"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U12"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V12"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W12"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X12"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Y12"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Z12"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A12"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B12"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C12"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D12"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E12"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F12"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G12"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H12"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I12"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J12"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K12"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L12"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M12"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N12"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O12"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P12"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Q12"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R12"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S12"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T12"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U12"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V12"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W12"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X12"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Y12"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Z12"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DA12"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DB12"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DC12"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DD12"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DE12"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DF12" s="64">
        <f>+'Partidos de GBA'!Y11+'Capital Federal'!Y11+'Resto de Buenos Aires'!Y11+Catamarca!Y11+Cordoba!Y11+Corrientes!Y11+Chaco!Y11+Chubut!Y11+'Entre Rios'!Y11+Formosa!Y11+Jujuy!Y11+'La Pampa'!Y11+'La Rioja'!Y11+Mendoza!Y11+Misiones!Y11+Neuquen!Y11+'Rio Negro'!Y11+Salta!Y11+'San Juan'!Y11+'San Luis'!Y11+'Santa Cruz'!Y11+'Santa Fe'!Y11+'Santiago del Estero'!Y11+Tucuman!Y11+'Tierra del Fuego'!Y11</f>
        <v>1741</v>
      </c>
      <c r="DG12" s="64">
        <f>+'Partidos de GBA'!AE11+'Capital Federal'!AE11+'Resto de Buenos Aires'!AE11+Catamarca!AE11+Cordoba!AE11+Corrientes!AE11+Chaco!AE11+Chubut!AE11+'Entre Rios'!AE11+Formosa!AE11+Jujuy!AE11+'La Pampa'!AE11+'La Rioja'!AE11+Mendoza!AE11+Misiones!AE11+Neuquen!AE11+'Rio Negro'!AE11+Salta!AE11+'San Juan'!AE11+'San Luis'!AE11+'Santa Cruz'!AE11+'Santa Fe'!AE11+'Santiago del Estero'!AE11+Tucuman!AE11+'Tierra del Fuego'!AE11</f>
        <v>1819</v>
      </c>
    </row>
    <row r="13" spans="1:112" ht="15" customHeight="1" x14ac:dyDescent="0.25">
      <c r="A13" s="44">
        <v>11</v>
      </c>
      <c r="B13" s="15" t="s">
        <v>20</v>
      </c>
      <c r="C13" s="68"/>
      <c r="D13" s="68"/>
      <c r="E13" s="68"/>
      <c r="F13" s="68"/>
      <c r="G13" s="68"/>
      <c r="H13" s="68"/>
      <c r="I13" s="68"/>
      <c r="J13" s="68"/>
      <c r="K13" s="68"/>
      <c r="L13" s="68"/>
      <c r="M13" s="68"/>
      <c r="N13" s="68"/>
      <c r="O13" s="68"/>
      <c r="P13" s="68"/>
      <c r="Q13" s="68"/>
      <c r="R13" s="68"/>
      <c r="S13" s="68"/>
      <c r="T13" s="68"/>
      <c r="U13" s="68"/>
      <c r="V13" s="68"/>
      <c r="W13" s="68"/>
      <c r="X13" s="68"/>
      <c r="Y13" s="68"/>
      <c r="Z13" s="68"/>
      <c r="AA13" s="68"/>
      <c r="AB13" s="68"/>
      <c r="AC13" s="68"/>
      <c r="AD13" s="68"/>
      <c r="AE13" s="68"/>
      <c r="AF13" s="68"/>
      <c r="AG13" s="68"/>
      <c r="AH13" s="68"/>
      <c r="AI13" s="68"/>
      <c r="AJ13" s="68"/>
      <c r="AK13" s="68"/>
      <c r="AL13" s="68"/>
      <c r="AM13" s="68"/>
      <c r="AN13" s="68"/>
      <c r="AO13" s="68"/>
      <c r="AP13" s="68"/>
      <c r="AQ13" s="68"/>
      <c r="AR13" s="68"/>
      <c r="AS13" s="68"/>
      <c r="AT13" s="68"/>
      <c r="AU13" s="68"/>
      <c r="AV13" s="68"/>
      <c r="AW13" s="68"/>
      <c r="AX13" s="68"/>
      <c r="AY13" s="68"/>
      <c r="AZ13" s="68"/>
      <c r="BA13" s="68"/>
      <c r="BB13" s="68"/>
      <c r="BC13" s="68"/>
      <c r="BD13" s="68"/>
      <c r="BE13" s="68"/>
      <c r="BF13" s="68"/>
      <c r="BG13" s="68"/>
      <c r="BH13" s="68"/>
      <c r="BI13" s="68"/>
      <c r="BJ13" s="68"/>
      <c r="BK13" s="68"/>
      <c r="BL13" s="68"/>
      <c r="BM13" s="68"/>
      <c r="BN13" s="68"/>
      <c r="BO13" s="68"/>
      <c r="BP13" s="68"/>
      <c r="BQ13" s="68"/>
      <c r="BR13" s="68"/>
      <c r="BS13" s="68"/>
      <c r="BT13" s="68"/>
      <c r="BU13" s="68"/>
      <c r="BV13" s="68"/>
      <c r="BW13" s="68"/>
      <c r="BX13" s="68"/>
      <c r="BY13" s="68"/>
      <c r="BZ13" s="68"/>
      <c r="CA13" s="68"/>
      <c r="CB13" s="68"/>
      <c r="CC13" s="68"/>
      <c r="CD13" s="68"/>
      <c r="CE13" s="68"/>
      <c r="CF13" s="68"/>
      <c r="CG13" s="68"/>
      <c r="CH13" s="68"/>
      <c r="CI13" s="68"/>
      <c r="CJ13" s="68"/>
      <c r="CK13" s="68"/>
      <c r="CL13" s="68"/>
      <c r="CM13" s="68"/>
      <c r="CN13" s="68"/>
      <c r="CO13" s="68"/>
      <c r="CP13" s="68"/>
      <c r="CQ13" s="68"/>
      <c r="CR13" s="68"/>
      <c r="CS13" s="68"/>
      <c r="CT13" s="68"/>
      <c r="CU13" s="68"/>
      <c r="CV13" s="68"/>
      <c r="CW13" s="68"/>
      <c r="CX13" s="68"/>
      <c r="CY13" s="68"/>
      <c r="CZ13" s="68"/>
      <c r="DA13" s="68"/>
      <c r="DB13" s="68"/>
      <c r="DC13" s="68"/>
      <c r="DD13" s="68"/>
      <c r="DE13" s="68"/>
      <c r="DF13" s="68"/>
      <c r="DG13" s="68"/>
    </row>
    <row r="14" spans="1:112" ht="15" customHeight="1" x14ac:dyDescent="0.25">
      <c r="A14" s="45">
        <v>13</v>
      </c>
      <c r="B14" s="16" t="s">
        <v>21</v>
      </c>
      <c r="C14" s="69"/>
      <c r="D14" s="69"/>
      <c r="E14" s="69"/>
      <c r="F14" s="69"/>
      <c r="G14" s="69"/>
      <c r="H14" s="69"/>
      <c r="I14" s="69"/>
      <c r="J14" s="69"/>
      <c r="K14" s="69"/>
      <c r="L14" s="69"/>
      <c r="M14" s="69"/>
      <c r="N14" s="69"/>
      <c r="O14" s="69"/>
      <c r="P14" s="69"/>
      <c r="Q14" s="69"/>
      <c r="R14" s="69"/>
      <c r="S14" s="69"/>
      <c r="T14" s="69"/>
      <c r="U14" s="69"/>
      <c r="V14" s="69"/>
      <c r="W14" s="69"/>
      <c r="X14" s="69"/>
      <c r="Y14" s="69"/>
      <c r="Z14" s="69"/>
      <c r="AA14" s="69"/>
      <c r="AB14" s="69"/>
      <c r="AC14" s="69"/>
      <c r="AD14" s="69"/>
      <c r="AE14" s="69"/>
      <c r="AF14" s="69"/>
      <c r="AG14" s="69"/>
      <c r="AH14" s="69"/>
      <c r="AI14" s="69"/>
      <c r="AJ14" s="69"/>
      <c r="AK14" s="69"/>
      <c r="AL14" s="69"/>
      <c r="AM14" s="69"/>
      <c r="AN14" s="69"/>
      <c r="AO14" s="69"/>
      <c r="AP14" s="69"/>
      <c r="AQ14" s="69"/>
      <c r="AR14" s="69"/>
      <c r="AS14" s="69"/>
      <c r="AT14" s="69"/>
      <c r="AU14" s="69"/>
      <c r="AV14" s="69"/>
      <c r="AW14" s="69"/>
      <c r="AX14" s="69"/>
      <c r="AY14" s="69"/>
      <c r="AZ14" s="69"/>
      <c r="BA14" s="69"/>
      <c r="BB14" s="69"/>
      <c r="BC14" s="69"/>
      <c r="BD14" s="69"/>
      <c r="BE14" s="69"/>
      <c r="BF14" s="69"/>
      <c r="BG14" s="69"/>
      <c r="BH14" s="69"/>
      <c r="BI14" s="69"/>
      <c r="BJ14" s="69"/>
      <c r="BK14" s="69"/>
      <c r="BL14" s="69"/>
      <c r="BM14" s="69"/>
      <c r="BN14" s="69"/>
      <c r="BO14" s="69"/>
      <c r="BP14" s="69"/>
      <c r="BQ14" s="69"/>
      <c r="BR14" s="69"/>
      <c r="BS14" s="69"/>
      <c r="BT14" s="69"/>
      <c r="BU14" s="69"/>
      <c r="BV14" s="69"/>
      <c r="BW14" s="69"/>
      <c r="BX14" s="69"/>
      <c r="BY14" s="69"/>
      <c r="BZ14" s="69"/>
      <c r="CA14" s="69"/>
      <c r="CB14" s="69"/>
      <c r="CC14" s="69"/>
      <c r="CD14" s="69"/>
      <c r="CE14" s="69"/>
      <c r="CF14" s="69"/>
      <c r="CG14" s="69"/>
      <c r="CH14" s="69"/>
      <c r="CI14" s="69"/>
      <c r="CJ14" s="69"/>
      <c r="CK14" s="69"/>
      <c r="CL14" s="69"/>
      <c r="CM14" s="69"/>
      <c r="CN14" s="69"/>
      <c r="CO14" s="69"/>
      <c r="CP14" s="69"/>
      <c r="CQ14" s="69"/>
      <c r="CR14" s="69"/>
      <c r="CS14" s="69"/>
      <c r="CT14" s="69"/>
      <c r="CU14" s="69"/>
      <c r="CV14" s="69"/>
      <c r="CW14" s="69"/>
      <c r="CX14" s="69"/>
      <c r="CY14" s="69"/>
      <c r="CZ14" s="69"/>
      <c r="DA14" s="69"/>
      <c r="DB14" s="69"/>
      <c r="DC14" s="69"/>
      <c r="DD14" s="69"/>
      <c r="DE14" s="69"/>
      <c r="DF14" s="69"/>
      <c r="DG14" s="69"/>
    </row>
    <row r="15" spans="1:112" ht="15" customHeight="1" thickBot="1" x14ac:dyDescent="0.3">
      <c r="A15" s="44">
        <v>14</v>
      </c>
      <c r="B15" s="15" t="s">
        <v>22</v>
      </c>
      <c r="C15" s="68"/>
      <c r="D15" s="68"/>
      <c r="E15" s="68"/>
      <c r="F15" s="68"/>
      <c r="G15" s="68"/>
      <c r="H15" s="68"/>
      <c r="I15" s="68"/>
      <c r="J15" s="68"/>
      <c r="K15" s="68"/>
      <c r="L15" s="68"/>
      <c r="M15" s="68"/>
      <c r="N15" s="68"/>
      <c r="O15" s="68"/>
      <c r="P15" s="68"/>
      <c r="Q15" s="68"/>
      <c r="R15" s="68"/>
      <c r="S15" s="68"/>
      <c r="T15" s="68"/>
      <c r="U15" s="68"/>
      <c r="V15" s="68"/>
      <c r="W15" s="68"/>
      <c r="X15" s="68"/>
      <c r="Y15" s="68"/>
      <c r="Z15" s="68"/>
      <c r="AA15" s="68"/>
      <c r="AB15" s="68"/>
      <c r="AC15" s="68"/>
      <c r="AD15" s="68"/>
      <c r="AE15" s="68"/>
      <c r="AF15" s="68"/>
      <c r="AG15" s="68"/>
      <c r="AH15" s="68"/>
      <c r="AI15" s="68"/>
      <c r="AJ15" s="68"/>
      <c r="AK15" s="68"/>
      <c r="AL15" s="68"/>
      <c r="AM15" s="68"/>
      <c r="AN15" s="68"/>
      <c r="AO15" s="68"/>
      <c r="AP15" s="68"/>
      <c r="AQ15" s="68"/>
      <c r="AR15" s="68"/>
      <c r="AS15" s="68"/>
      <c r="AT15" s="68"/>
      <c r="AU15" s="68"/>
      <c r="AV15" s="68"/>
      <c r="AW15" s="68"/>
      <c r="AX15" s="68"/>
      <c r="AY15" s="68"/>
      <c r="AZ15" s="68"/>
      <c r="BA15" s="68"/>
      <c r="BB15" s="68"/>
      <c r="BC15" s="68"/>
      <c r="BD15" s="68"/>
      <c r="BE15" s="68"/>
      <c r="BF15" s="68"/>
      <c r="BG15" s="68"/>
      <c r="BH15" s="68"/>
      <c r="BI15" s="68"/>
      <c r="BJ15" s="68"/>
      <c r="BK15" s="68"/>
      <c r="BL15" s="68"/>
      <c r="BM15" s="68"/>
      <c r="BN15" s="68"/>
      <c r="BO15" s="68"/>
      <c r="BP15" s="68"/>
      <c r="BQ15" s="68"/>
      <c r="BR15" s="68"/>
      <c r="BS15" s="68"/>
      <c r="BT15" s="68"/>
      <c r="BU15" s="68"/>
      <c r="BV15" s="68"/>
      <c r="BW15" s="68"/>
      <c r="BX15" s="68"/>
      <c r="BY15" s="68"/>
      <c r="BZ15" s="68"/>
      <c r="CA15" s="68"/>
      <c r="CB15" s="68"/>
      <c r="CC15" s="68"/>
      <c r="CD15" s="68"/>
      <c r="CE15" s="68"/>
      <c r="CF15" s="68"/>
      <c r="CG15" s="68"/>
      <c r="CH15" s="68"/>
      <c r="CI15" s="68"/>
      <c r="CJ15" s="68"/>
      <c r="CK15" s="68"/>
      <c r="CL15" s="68"/>
      <c r="CM15" s="68"/>
      <c r="CN15" s="68"/>
      <c r="CO15" s="68"/>
      <c r="CP15" s="68"/>
      <c r="CQ15" s="68"/>
      <c r="CR15" s="68"/>
      <c r="CS15" s="68"/>
      <c r="CT15" s="68"/>
      <c r="CU15" s="68"/>
      <c r="CV15" s="68"/>
      <c r="CW15" s="68"/>
      <c r="CX15" s="68"/>
      <c r="CY15" s="68"/>
      <c r="CZ15" s="68"/>
      <c r="DA15" s="68"/>
      <c r="DB15" s="68"/>
      <c r="DC15" s="68"/>
      <c r="DD15" s="68"/>
      <c r="DE15" s="68"/>
      <c r="DF15" s="68"/>
      <c r="DG15" s="68"/>
    </row>
    <row r="16" spans="1:112" ht="15" customHeight="1" thickBot="1" x14ac:dyDescent="0.3">
      <c r="A16" s="40" t="s">
        <v>23</v>
      </c>
      <c r="B16" s="9" t="s">
        <v>24</v>
      </c>
      <c r="C16" s="75">
        <f>+'Partidos de GBA'!C15+'Capital Federal'!C15+'Resto de Buenos Aires'!C15+Catamarca!C15+Cordoba!C15+Corrientes!C15+Chaco!C15+Chubut!C15+'Entre Rios'!C15+Formosa!C15+Jujuy!C15+'La Pampa'!C15+'La Rioja'!C15+Mendoza!C15+Misiones!C15+Neuquen!C15+'Rio Negro'!C15+Salta!C15+'San Juan'!C15+'San Luis'!C15+'Santa Cruz'!C15+'Santa Fe'!C15+'Santiago del Estero'!C15+Tucuman!C15+'Tierra del Fuego'!C15</f>
        <v>55243</v>
      </c>
      <c r="D16" s="64">
        <f>+'Partidos de GBA'!D15+'Capital Federal'!D15+'Resto de Buenos Aires'!D15+Catamarca!D15+Cordoba!D15+Corrientes!D15+Chaco!D15+Chubut!D15+'Entre Rios'!D15+Formosa!D15+Jujuy!D15+'La Pampa'!D15+'La Rioja'!D15+Mendoza!D15+Misiones!D15+Neuquen!D15+'Rio Negro'!D15+Salta!D15+'San Juan'!D15+'San Luis'!D15+'Santa Cruz'!D15+'Santa Fe'!D15+'Santiago del Estero'!D15+Tucuman!D15+'Tierra del Fuego'!D15</f>
        <v>55539</v>
      </c>
      <c r="E16" s="64">
        <f>+'Partidos de GBA'!E15+'Capital Federal'!E15+'Resto de Buenos Aires'!E15+Catamarca!E15+Cordoba!E15+Corrientes!E15+Chaco!E15+Chubut!E15+'Entre Rios'!E15+Formosa!E15+Jujuy!E15+'La Pampa'!E15+'La Rioja'!E15+Mendoza!E15+Misiones!E15+Neuquen!E15+'Rio Negro'!E15+Salta!E15+'San Juan'!E15+'San Luis'!E15+'Santa Cruz'!E15+'Santa Fe'!E15+'Santiago del Estero'!E15+Tucuman!E15+'Tierra del Fuego'!E15</f>
        <v>55010</v>
      </c>
      <c r="F16" s="64">
        <f>+'Partidos de GBA'!F15+'Capital Federal'!F15+'Resto de Buenos Aires'!F15+Catamarca!F15+Cordoba!F15+Corrientes!F15+Chaco!F15+Chubut!F15+'Entre Rios'!F15+Formosa!F15+Jujuy!F15+'La Pampa'!F15+'La Rioja'!F15+Mendoza!F15+Misiones!F15+Neuquen!F15+'Rio Negro'!F15+Salta!F15+'San Juan'!F15+'San Luis'!F15+'Santa Cruz'!F15+'Santa Fe'!F15+'Santiago del Estero'!F15+Tucuman!F15+'Tierra del Fuego'!F15</f>
        <v>55315</v>
      </c>
      <c r="G16" s="64">
        <f>+'Partidos de GBA'!G15+'Capital Federal'!G15+'Resto de Buenos Aires'!G15+Catamarca!G15+Cordoba!G15+Corrientes!G15+Chaco!G15+Chubut!G15+'Entre Rios'!G15+Formosa!G15+Jujuy!G15+'La Pampa'!G15+'La Rioja'!G15+Mendoza!G15+Misiones!G15+Neuquen!G15+'Rio Negro'!G15+Salta!G15+'San Juan'!G15+'San Luis'!G15+'Santa Cruz'!G15+'Santa Fe'!G15+'Santiago del Estero'!G15+Tucuman!G15+'Tierra del Fuego'!G15</f>
        <v>50670</v>
      </c>
      <c r="H16" s="64">
        <f>+'Partidos de GBA'!H15+'Capital Federal'!H15+'Resto de Buenos Aires'!H15+Catamarca!H15+Cordoba!H15+Corrientes!H15+Chaco!H15+Chubut!H15+'Entre Rios'!H15+Formosa!H15+Jujuy!H15+'La Pampa'!H15+'La Rioja'!H15+Mendoza!H15+Misiones!H15+Neuquen!H15+'Rio Negro'!H15+Salta!H15+'San Juan'!H15+'San Luis'!H15+'Santa Cruz'!H15+'Santa Fe'!H15+'Santiago del Estero'!H15+Tucuman!H15+'Tierra del Fuego'!H15</f>
        <v>47523</v>
      </c>
      <c r="I16" s="64">
        <f>+'Partidos de GBA'!I15+'Capital Federal'!I15+'Resto de Buenos Aires'!I15+Catamarca!I15+Cordoba!I15+Corrientes!I15+Chaco!I15+Chubut!I15+'Entre Rios'!I15+Formosa!I15+Jujuy!I15+'La Pampa'!I15+'La Rioja'!I15+Mendoza!I15+Misiones!I15+Neuquen!I15+'Rio Negro'!I15+Salta!I15+'San Juan'!I15+'San Luis'!I15+'Santa Cruz'!I15+'Santa Fe'!I15+'Santiago del Estero'!I15+Tucuman!I15+'Tierra del Fuego'!I15</f>
        <v>44322</v>
      </c>
      <c r="J16" s="64">
        <f>+'Partidos de GBA'!J15+'Capital Federal'!J15+'Resto de Buenos Aires'!J15+Catamarca!J15+Cordoba!J15+Corrientes!J15+Chaco!J15+Chubut!J15+'Entre Rios'!J15+Formosa!J15+Jujuy!J15+'La Pampa'!J15+'La Rioja'!J15+Mendoza!J15+Misiones!J15+Neuquen!J15+'Rio Negro'!J15+Salta!J15+'San Juan'!J15+'San Luis'!J15+'Santa Cruz'!J15+'Santa Fe'!J15+'Santiago del Estero'!J15+Tucuman!J15+'Tierra del Fuego'!J15</f>
        <v>47888</v>
      </c>
      <c r="K16" s="64">
        <f>+'Partidos de GBA'!K15+'Capital Federal'!K15+'Resto de Buenos Aires'!K15+Catamarca!K15+Cordoba!K15+Corrientes!K15+Chaco!K15+Chubut!K15+'Entre Rios'!K15+Formosa!K15+Jujuy!K15+'La Pampa'!K15+'La Rioja'!K15+Mendoza!K15+Misiones!K15+Neuquen!K15+'Rio Negro'!K15+Salta!K15+'San Juan'!K15+'San Luis'!K15+'Santa Cruz'!K15+'Santa Fe'!K15+'Santiago del Estero'!K15+Tucuman!K15+'Tierra del Fuego'!K15</f>
        <v>52966</v>
      </c>
      <c r="L16" s="64">
        <f>+'Partidos de GBA'!L15+'Capital Federal'!L15+'Resto de Buenos Aires'!L15+Catamarca!L15+Cordoba!L15+Corrientes!L15+Chaco!L15+Chubut!L15+'Entre Rios'!L15+Formosa!L15+Jujuy!L15+'La Pampa'!L15+'La Rioja'!L15+Mendoza!L15+Misiones!L15+Neuquen!L15+'Rio Negro'!L15+Salta!L15+'San Juan'!L15+'San Luis'!L15+'Santa Cruz'!L15+'Santa Fe'!L15+'Santiago del Estero'!L15+Tucuman!L15+'Tierra del Fuego'!L15</f>
        <v>56374</v>
      </c>
      <c r="M16" s="64">
        <f>+'Partidos de GBA'!M15+'Capital Federal'!M15+'Resto de Buenos Aires'!M15+Catamarca!M15+Cordoba!M15+Corrientes!M15+Chaco!M15+Chubut!M15+'Entre Rios'!M15+Formosa!M15+Jujuy!M15+'La Pampa'!M15+'La Rioja'!M15+Mendoza!M15+Misiones!M15+Neuquen!M15+'Rio Negro'!M15+Salta!M15+'San Juan'!M15+'San Luis'!M15+'Santa Cruz'!M15+'Santa Fe'!M15+'Santiago del Estero'!M15+Tucuman!M15+'Tierra del Fuego'!M15</f>
        <v>59912</v>
      </c>
      <c r="N16" s="64">
        <f>+'Partidos de GBA'!N15+'Capital Federal'!N15+'Resto de Buenos Aires'!N15+Catamarca!N15+Cordoba!N15+Corrientes!N15+Chaco!N15+Chubut!N15+'Entre Rios'!N15+Formosa!N15+Jujuy!N15+'La Pampa'!N15+'La Rioja'!N15+Mendoza!N15+Misiones!N15+Neuquen!N15+'Rio Negro'!N15+Salta!N15+'San Juan'!N15+'San Luis'!N15+'Santa Cruz'!N15+'Santa Fe'!N15+'Santiago del Estero'!N15+Tucuman!N15+'Tierra del Fuego'!N15</f>
        <v>62650</v>
      </c>
      <c r="O16" s="64">
        <f>+'Partidos de GBA'!O15+'Capital Federal'!O15+'Resto de Buenos Aires'!O15+Catamarca!O15+Cordoba!O15+Corrientes!O15+Chaco!O15+Chubut!O15+'Entre Rios'!O15+Formosa!O15+Jujuy!O15+'La Pampa'!O15+'La Rioja'!O15+Mendoza!O15+Misiones!O15+Neuquen!O15+'Rio Negro'!O15+Salta!O15+'San Juan'!O15+'San Luis'!O15+'Santa Cruz'!O15+'Santa Fe'!O15+'Santiago del Estero'!O15+Tucuman!O15+'Tierra del Fuego'!O15</f>
        <v>64252</v>
      </c>
      <c r="P16" s="64">
        <f>+'Partidos de GBA'!P15+'Capital Federal'!P15+'Resto de Buenos Aires'!P15+Catamarca!P15+Cordoba!P15+Corrientes!P15+Chaco!P15+Chubut!P15+'Entre Rios'!P15+Formosa!P15+Jujuy!P15+'La Pampa'!P15+'La Rioja'!P15+Mendoza!P15+Misiones!P15+Neuquen!P15+'Rio Negro'!P15+Salta!P15+'San Juan'!P15+'San Luis'!P15+'Santa Cruz'!P15+'Santa Fe'!P15+'Santiago del Estero'!P15+Tucuman!P15+'Tierra del Fuego'!P15</f>
        <v>64150</v>
      </c>
      <c r="Q16" s="64">
        <f>+'Partidos de GBA'!W15+'Capital Federal'!W15+'Resto de Buenos Aires'!W15+Catamarca!W15+Cordoba!W15+Corrientes!W15+Chaco!W15+Chubut!W15+'Entre Rios'!W15+Formosa!W15+Jujuy!W15+'La Pampa'!W15+'La Rioja'!W15+Mendoza!W15+Misiones!W15+Neuquen!W15+'Rio Negro'!W15+Salta!W15+'San Juan'!W15+'San Luis'!W15+'Santa Cruz'!W15+'Santa Fe'!W15+'Santiago del Estero'!W15+Tucuman!W15+'Tierra del Fuego'!W15</f>
        <v>64814</v>
      </c>
      <c r="R16" s="64">
        <f>+'Partidos de GBA'!X15+'Capital Federal'!X15+'Resto de Buenos Aires'!X15+Catamarca!X15+Cordoba!X15+Corrientes!X15+Chaco!X15+Chubut!X15+'Entre Rios'!X15+Formosa!X15+Jujuy!X15+'La Pampa'!X15+'La Rioja'!X15+Mendoza!X15+Misiones!X15+Neuquen!X15+'Rio Negro'!X15+Salta!X15+'San Juan'!X15+'San Luis'!X15+'Santa Cruz'!X15+'Santa Fe'!X15+'Santiago del Estero'!X15+Tucuman!X15+'Tierra del Fuego'!X15</f>
        <v>64137</v>
      </c>
      <c r="S16"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T16"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U16"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V16"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W16"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X16"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Y16"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Z16"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A16"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B16"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C16"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D16"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E16"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F16"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G16"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H16"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I16"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J16"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K16"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L16"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M16"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N16"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O16"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P16"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Q16"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R16"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S16"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T16"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U16"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V16"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W16"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X16"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Y16"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Z16"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A16"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B16"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C16"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D16"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E16"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F16"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G16"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H16"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I16"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J16"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K16"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L16"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M16"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N16"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O16"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P16"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Q16"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R16"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S16"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T16"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U16"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V16"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W16"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X16"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Y16"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Z16"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A16"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B16"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C16"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D16"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E16"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F16"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G16"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H16"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I16"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J16"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K16"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L16"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M16"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N16"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O16"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P16"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Q16"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R16"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S16"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T16"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U16"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V16"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W16"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X16"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Y16"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Z16"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DA16"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DB16"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DC16"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DD16"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DE16"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DF16" s="64">
        <f>+'Partidos de GBA'!Y15+'Capital Federal'!Y15+'Resto de Buenos Aires'!Y15+Catamarca!Y15+Cordoba!Y15+Corrientes!Y15+Chaco!Y15+Chubut!Y15+'Entre Rios'!Y15+Formosa!Y15+Jujuy!Y15+'La Pampa'!Y15+'La Rioja'!Y15+Mendoza!Y15+Misiones!Y15+Neuquen!Y15+'Rio Negro'!Y15+Salta!Y15+'San Juan'!Y15+'San Luis'!Y15+'Santa Cruz'!Y15+'Santa Fe'!Y15+'Santiago del Estero'!Y15+Tucuman!Y15+'Tierra del Fuego'!Y15</f>
        <v>62354</v>
      </c>
      <c r="DG16" s="64">
        <f>+'Partidos de GBA'!AE15+'Capital Federal'!AE15+'Resto de Buenos Aires'!AE15+Catamarca!AE15+Cordoba!AE15+Corrientes!AE15+Chaco!AE15+Chubut!AE15+'Entre Rios'!AE15+Formosa!AE15+Jujuy!AE15+'La Pampa'!AE15+'La Rioja'!AE15+Mendoza!AE15+Misiones!AE15+Neuquen!AE15+'Rio Negro'!AE15+Salta!AE15+'San Juan'!AE15+'San Luis'!AE15+'Santa Cruz'!AE15+'Santa Fe'!AE15+'Santiago del Estero'!AE15+Tucuman!AE15+'Tierra del Fuego'!AE15</f>
        <v>61814</v>
      </c>
    </row>
    <row r="17" spans="1:111" ht="15" customHeight="1" x14ac:dyDescent="0.25">
      <c r="A17" s="44">
        <v>15</v>
      </c>
      <c r="B17" s="15" t="s">
        <v>25</v>
      </c>
      <c r="C17" s="68"/>
      <c r="D17" s="68"/>
      <c r="E17" s="68"/>
      <c r="F17" s="68"/>
      <c r="G17" s="68"/>
      <c r="H17" s="68"/>
      <c r="I17" s="68"/>
      <c r="J17" s="68"/>
      <c r="K17" s="68"/>
      <c r="L17" s="68"/>
      <c r="M17" s="68"/>
      <c r="N17" s="68"/>
      <c r="O17" s="68"/>
      <c r="P17" s="68"/>
      <c r="Q17" s="68"/>
      <c r="R17" s="68"/>
      <c r="S17" s="68"/>
      <c r="T17" s="68"/>
      <c r="U17" s="68"/>
      <c r="V17" s="68"/>
      <c r="W17" s="68"/>
      <c r="X17" s="68"/>
      <c r="Y17" s="68"/>
      <c r="Z17" s="68"/>
      <c r="AA17" s="68"/>
      <c r="AB17" s="68"/>
      <c r="AC17" s="68"/>
      <c r="AD17" s="68"/>
      <c r="AE17" s="68"/>
      <c r="AF17" s="68"/>
      <c r="AG17" s="68"/>
      <c r="AH17" s="68"/>
      <c r="AI17" s="68"/>
      <c r="AJ17" s="68"/>
      <c r="AK17" s="68"/>
      <c r="AL17" s="68"/>
      <c r="AM17" s="68"/>
      <c r="AN17" s="68"/>
      <c r="AO17" s="68"/>
      <c r="AP17" s="68"/>
      <c r="AQ17" s="68"/>
      <c r="AR17" s="68"/>
      <c r="AS17" s="68"/>
      <c r="AT17" s="68"/>
      <c r="AU17" s="68"/>
      <c r="AV17" s="68"/>
      <c r="AW17" s="68"/>
      <c r="AX17" s="68"/>
      <c r="AY17" s="68"/>
      <c r="AZ17" s="68"/>
      <c r="BA17" s="68"/>
      <c r="BB17" s="68"/>
      <c r="BC17" s="68"/>
      <c r="BD17" s="68"/>
      <c r="BE17" s="68"/>
      <c r="BF17" s="68"/>
      <c r="BG17" s="68"/>
      <c r="BH17" s="68"/>
      <c r="BI17" s="68"/>
      <c r="BJ17" s="68"/>
      <c r="BK17" s="68"/>
      <c r="BL17" s="68"/>
      <c r="BM17" s="68"/>
      <c r="BN17" s="68"/>
      <c r="BO17" s="68"/>
      <c r="BP17" s="68"/>
      <c r="BQ17" s="68"/>
      <c r="BR17" s="68"/>
      <c r="BS17" s="68"/>
      <c r="BT17" s="68"/>
      <c r="BU17" s="68"/>
      <c r="BV17" s="68"/>
      <c r="BW17" s="68"/>
      <c r="BX17" s="68"/>
      <c r="BY17" s="68"/>
      <c r="BZ17" s="68"/>
      <c r="CA17" s="68"/>
      <c r="CB17" s="68"/>
      <c r="CC17" s="68"/>
      <c r="CD17" s="68"/>
      <c r="CE17" s="68"/>
      <c r="CF17" s="68"/>
      <c r="CG17" s="68"/>
      <c r="CH17" s="68"/>
      <c r="CI17" s="68"/>
      <c r="CJ17" s="68"/>
      <c r="CK17" s="68"/>
      <c r="CL17" s="68"/>
      <c r="CM17" s="68"/>
      <c r="CN17" s="68"/>
      <c r="CO17" s="68"/>
      <c r="CP17" s="68"/>
      <c r="CQ17" s="68"/>
      <c r="CR17" s="68"/>
      <c r="CS17" s="68"/>
      <c r="CT17" s="68"/>
      <c r="CU17" s="68"/>
      <c r="CV17" s="68"/>
      <c r="CW17" s="68"/>
      <c r="CX17" s="68"/>
      <c r="CY17" s="68"/>
      <c r="CZ17" s="68"/>
      <c r="DA17" s="68"/>
      <c r="DB17" s="68"/>
      <c r="DC17" s="68"/>
      <c r="DD17" s="68"/>
      <c r="DE17" s="68"/>
      <c r="DF17" s="68"/>
      <c r="DG17" s="68"/>
    </row>
    <row r="18" spans="1:111" ht="15" customHeight="1" x14ac:dyDescent="0.25">
      <c r="A18" s="46">
        <v>16</v>
      </c>
      <c r="B18" s="17" t="s">
        <v>26</v>
      </c>
      <c r="C18" s="70"/>
      <c r="D18" s="70"/>
      <c r="E18" s="70"/>
      <c r="F18" s="70"/>
      <c r="G18" s="70"/>
      <c r="H18" s="70"/>
      <c r="I18" s="70"/>
      <c r="J18" s="70"/>
      <c r="K18" s="70"/>
      <c r="L18" s="70"/>
      <c r="M18" s="70"/>
      <c r="N18" s="70"/>
      <c r="O18" s="70"/>
      <c r="P18" s="70"/>
      <c r="Q18" s="70"/>
      <c r="R18" s="70"/>
      <c r="S18" s="70"/>
      <c r="T18" s="70"/>
      <c r="U18" s="70"/>
      <c r="V18" s="70"/>
      <c r="W18" s="70"/>
      <c r="X18" s="70"/>
      <c r="Y18" s="70"/>
      <c r="Z18" s="70"/>
      <c r="AA18" s="70"/>
      <c r="AB18" s="70"/>
      <c r="AC18" s="70"/>
      <c r="AD18" s="70"/>
      <c r="AE18" s="70"/>
      <c r="AF18" s="70"/>
      <c r="AG18" s="70"/>
      <c r="AH18" s="70"/>
      <c r="AI18" s="70"/>
      <c r="AJ18" s="70"/>
      <c r="AK18" s="70"/>
      <c r="AL18" s="70"/>
      <c r="AM18" s="70"/>
      <c r="AN18" s="70"/>
      <c r="AO18" s="70"/>
      <c r="AP18" s="70"/>
      <c r="AQ18" s="70"/>
      <c r="AR18" s="70"/>
      <c r="AS18" s="70"/>
      <c r="AT18" s="70"/>
      <c r="AU18" s="70"/>
      <c r="AV18" s="70"/>
      <c r="AW18" s="70"/>
      <c r="AX18" s="70"/>
      <c r="AY18" s="70"/>
      <c r="AZ18" s="70"/>
      <c r="BA18" s="70"/>
      <c r="BB18" s="70"/>
      <c r="BC18" s="70"/>
      <c r="BD18" s="70"/>
      <c r="BE18" s="70"/>
      <c r="BF18" s="70"/>
      <c r="BG18" s="70"/>
      <c r="BH18" s="70"/>
      <c r="BI18" s="70"/>
      <c r="BJ18" s="70"/>
      <c r="BK18" s="70"/>
      <c r="BL18" s="70"/>
      <c r="BM18" s="70"/>
      <c r="BN18" s="70"/>
      <c r="BO18" s="70"/>
      <c r="BP18" s="70"/>
      <c r="BQ18" s="70"/>
      <c r="BR18" s="70"/>
      <c r="BS18" s="70"/>
      <c r="BT18" s="70"/>
      <c r="BU18" s="70"/>
      <c r="BV18" s="70"/>
      <c r="BW18" s="70"/>
      <c r="BX18" s="70"/>
      <c r="BY18" s="70"/>
      <c r="BZ18" s="70"/>
      <c r="CA18" s="70"/>
      <c r="CB18" s="70"/>
      <c r="CC18" s="70"/>
      <c r="CD18" s="70"/>
      <c r="CE18" s="70"/>
      <c r="CF18" s="70"/>
      <c r="CG18" s="70"/>
      <c r="CH18" s="70"/>
      <c r="CI18" s="70"/>
      <c r="CJ18" s="70"/>
      <c r="CK18" s="70"/>
      <c r="CL18" s="70"/>
      <c r="CM18" s="70"/>
      <c r="CN18" s="70"/>
      <c r="CO18" s="70"/>
      <c r="CP18" s="70"/>
      <c r="CQ18" s="70"/>
      <c r="CR18" s="70"/>
      <c r="CS18" s="70"/>
      <c r="CT18" s="70"/>
      <c r="CU18" s="70"/>
      <c r="CV18" s="70"/>
      <c r="CW18" s="70"/>
      <c r="CX18" s="70"/>
      <c r="CY18" s="70"/>
      <c r="CZ18" s="70"/>
      <c r="DA18" s="70"/>
      <c r="DB18" s="70"/>
      <c r="DC18" s="70"/>
      <c r="DD18" s="70"/>
      <c r="DE18" s="70"/>
      <c r="DF18" s="70"/>
      <c r="DG18" s="70"/>
    </row>
    <row r="19" spans="1:111" ht="15" customHeight="1" x14ac:dyDescent="0.25">
      <c r="A19" s="46">
        <v>17</v>
      </c>
      <c r="B19" s="17" t="s">
        <v>27</v>
      </c>
      <c r="C19" s="70"/>
      <c r="D19" s="70"/>
      <c r="E19" s="70"/>
      <c r="F19" s="70"/>
      <c r="G19" s="70"/>
      <c r="H19" s="70"/>
      <c r="I19" s="70"/>
      <c r="J19" s="70"/>
      <c r="K19" s="70"/>
      <c r="L19" s="70"/>
      <c r="M19" s="70"/>
      <c r="N19" s="70"/>
      <c r="O19" s="70"/>
      <c r="P19" s="70"/>
      <c r="Q19" s="70"/>
      <c r="R19" s="70"/>
      <c r="S19" s="70"/>
      <c r="T19" s="70"/>
      <c r="U19" s="70"/>
      <c r="V19" s="70"/>
      <c r="W19" s="70"/>
      <c r="X19" s="70"/>
      <c r="Y19" s="70"/>
      <c r="Z19" s="70"/>
      <c r="AA19" s="70"/>
      <c r="AB19" s="70"/>
      <c r="AC19" s="70"/>
      <c r="AD19" s="70"/>
      <c r="AE19" s="70"/>
      <c r="AF19" s="70"/>
      <c r="AG19" s="70"/>
      <c r="AH19" s="70"/>
      <c r="AI19" s="70"/>
      <c r="AJ19" s="70"/>
      <c r="AK19" s="70"/>
      <c r="AL19" s="70"/>
      <c r="AM19" s="70"/>
      <c r="AN19" s="70"/>
      <c r="AO19" s="70"/>
      <c r="AP19" s="70"/>
      <c r="AQ19" s="70"/>
      <c r="AR19" s="70"/>
      <c r="AS19" s="70"/>
      <c r="AT19" s="70"/>
      <c r="AU19" s="70"/>
      <c r="AV19" s="70"/>
      <c r="AW19" s="70"/>
      <c r="AX19" s="70"/>
      <c r="AY19" s="70"/>
      <c r="AZ19" s="70"/>
      <c r="BA19" s="70"/>
      <c r="BB19" s="70"/>
      <c r="BC19" s="70"/>
      <c r="BD19" s="70"/>
      <c r="BE19" s="70"/>
      <c r="BF19" s="70"/>
      <c r="BG19" s="70"/>
      <c r="BH19" s="70"/>
      <c r="BI19" s="70"/>
      <c r="BJ19" s="70"/>
      <c r="BK19" s="70"/>
      <c r="BL19" s="70"/>
      <c r="BM19" s="70"/>
      <c r="BN19" s="70"/>
      <c r="BO19" s="70"/>
      <c r="BP19" s="70"/>
      <c r="BQ19" s="70"/>
      <c r="BR19" s="70"/>
      <c r="BS19" s="70"/>
      <c r="BT19" s="70"/>
      <c r="BU19" s="70"/>
      <c r="BV19" s="70"/>
      <c r="BW19" s="70"/>
      <c r="BX19" s="70"/>
      <c r="BY19" s="70"/>
      <c r="BZ19" s="70"/>
      <c r="CA19" s="70"/>
      <c r="CB19" s="70"/>
      <c r="CC19" s="70"/>
      <c r="CD19" s="70"/>
      <c r="CE19" s="70"/>
      <c r="CF19" s="70"/>
      <c r="CG19" s="70"/>
      <c r="CH19" s="70"/>
      <c r="CI19" s="70"/>
      <c r="CJ19" s="70"/>
      <c r="CK19" s="70"/>
      <c r="CL19" s="70"/>
      <c r="CM19" s="70"/>
      <c r="CN19" s="70"/>
      <c r="CO19" s="70"/>
      <c r="CP19" s="70"/>
      <c r="CQ19" s="70"/>
      <c r="CR19" s="70"/>
      <c r="CS19" s="70"/>
      <c r="CT19" s="70"/>
      <c r="CU19" s="70"/>
      <c r="CV19" s="70"/>
      <c r="CW19" s="70"/>
      <c r="CX19" s="70"/>
      <c r="CY19" s="70"/>
      <c r="CZ19" s="70"/>
      <c r="DA19" s="70"/>
      <c r="DB19" s="70"/>
      <c r="DC19" s="70"/>
      <c r="DD19" s="70"/>
      <c r="DE19" s="70"/>
      <c r="DF19" s="70"/>
      <c r="DG19" s="70"/>
    </row>
    <row r="20" spans="1:111" ht="15" customHeight="1" x14ac:dyDescent="0.25">
      <c r="A20" s="46">
        <v>18</v>
      </c>
      <c r="B20" s="17" t="s">
        <v>28</v>
      </c>
      <c r="C20" s="70"/>
      <c r="D20" s="70"/>
      <c r="E20" s="70"/>
      <c r="F20" s="70"/>
      <c r="G20" s="70"/>
      <c r="H20" s="70"/>
      <c r="I20" s="70"/>
      <c r="J20" s="70"/>
      <c r="K20" s="70"/>
      <c r="L20" s="70"/>
      <c r="M20" s="70"/>
      <c r="N20" s="70"/>
      <c r="O20" s="70"/>
      <c r="P20" s="70"/>
      <c r="Q20" s="70"/>
      <c r="R20" s="70"/>
      <c r="S20" s="70"/>
      <c r="T20" s="70"/>
      <c r="U20" s="70"/>
      <c r="V20" s="70"/>
      <c r="W20" s="70"/>
      <c r="X20" s="70"/>
      <c r="Y20" s="70"/>
      <c r="Z20" s="70"/>
      <c r="AA20" s="70"/>
      <c r="AB20" s="70"/>
      <c r="AC20" s="70"/>
      <c r="AD20" s="70"/>
      <c r="AE20" s="70"/>
      <c r="AF20" s="70"/>
      <c r="AG20" s="70"/>
      <c r="AH20" s="70"/>
      <c r="AI20" s="70"/>
      <c r="AJ20" s="70"/>
      <c r="AK20" s="70"/>
      <c r="AL20" s="70"/>
      <c r="AM20" s="70"/>
      <c r="AN20" s="70"/>
      <c r="AO20" s="70"/>
      <c r="AP20" s="70"/>
      <c r="AQ20" s="70"/>
      <c r="AR20" s="70"/>
      <c r="AS20" s="70"/>
      <c r="AT20" s="70"/>
      <c r="AU20" s="70"/>
      <c r="AV20" s="70"/>
      <c r="AW20" s="70"/>
      <c r="AX20" s="70"/>
      <c r="AY20" s="70"/>
      <c r="AZ20" s="70"/>
      <c r="BA20" s="70"/>
      <c r="BB20" s="70"/>
      <c r="BC20" s="70"/>
      <c r="BD20" s="70"/>
      <c r="BE20" s="70"/>
      <c r="BF20" s="70"/>
      <c r="BG20" s="70"/>
      <c r="BH20" s="70"/>
      <c r="BI20" s="70"/>
      <c r="BJ20" s="70"/>
      <c r="BK20" s="70"/>
      <c r="BL20" s="70"/>
      <c r="BM20" s="70"/>
      <c r="BN20" s="70"/>
      <c r="BO20" s="70"/>
      <c r="BP20" s="70"/>
      <c r="BQ20" s="70"/>
      <c r="BR20" s="70"/>
      <c r="BS20" s="70"/>
      <c r="BT20" s="70"/>
      <c r="BU20" s="70"/>
      <c r="BV20" s="70"/>
      <c r="BW20" s="70"/>
      <c r="BX20" s="70"/>
      <c r="BY20" s="70"/>
      <c r="BZ20" s="70"/>
      <c r="CA20" s="70"/>
      <c r="CB20" s="70"/>
      <c r="CC20" s="70"/>
      <c r="CD20" s="70"/>
      <c r="CE20" s="70"/>
      <c r="CF20" s="70"/>
      <c r="CG20" s="70"/>
      <c r="CH20" s="70"/>
      <c r="CI20" s="70"/>
      <c r="CJ20" s="70"/>
      <c r="CK20" s="70"/>
      <c r="CL20" s="70"/>
      <c r="CM20" s="70"/>
      <c r="CN20" s="70"/>
      <c r="CO20" s="70"/>
      <c r="CP20" s="70"/>
      <c r="CQ20" s="70"/>
      <c r="CR20" s="70"/>
      <c r="CS20" s="70"/>
      <c r="CT20" s="70"/>
      <c r="CU20" s="70"/>
      <c r="CV20" s="70"/>
      <c r="CW20" s="70"/>
      <c r="CX20" s="70"/>
      <c r="CY20" s="70"/>
      <c r="CZ20" s="70"/>
      <c r="DA20" s="70"/>
      <c r="DB20" s="70"/>
      <c r="DC20" s="70"/>
      <c r="DD20" s="70"/>
      <c r="DE20" s="70"/>
      <c r="DF20" s="70"/>
      <c r="DG20" s="70"/>
    </row>
    <row r="21" spans="1:111" ht="15" customHeight="1" x14ac:dyDescent="0.25">
      <c r="A21" s="46">
        <v>19</v>
      </c>
      <c r="B21" s="17" t="s">
        <v>29</v>
      </c>
      <c r="C21" s="70"/>
      <c r="D21" s="70"/>
      <c r="E21" s="70"/>
      <c r="F21" s="70"/>
      <c r="G21" s="70"/>
      <c r="H21" s="70"/>
      <c r="I21" s="70"/>
      <c r="J21" s="70"/>
      <c r="K21" s="70"/>
      <c r="L21" s="70"/>
      <c r="M21" s="70"/>
      <c r="N21" s="70"/>
      <c r="O21" s="70"/>
      <c r="P21" s="70"/>
      <c r="Q21" s="70"/>
      <c r="R21" s="70"/>
      <c r="S21" s="70"/>
      <c r="T21" s="70"/>
      <c r="U21" s="70"/>
      <c r="V21" s="70"/>
      <c r="W21" s="70"/>
      <c r="X21" s="70"/>
      <c r="Y21" s="70"/>
      <c r="Z21" s="70"/>
      <c r="AA21" s="70"/>
      <c r="AB21" s="70"/>
      <c r="AC21" s="70"/>
      <c r="AD21" s="70"/>
      <c r="AE21" s="70"/>
      <c r="AF21" s="70"/>
      <c r="AG21" s="70"/>
      <c r="AH21" s="70"/>
      <c r="AI21" s="70"/>
      <c r="AJ21" s="70"/>
      <c r="AK21" s="70"/>
      <c r="AL21" s="70"/>
      <c r="AM21" s="70"/>
      <c r="AN21" s="70"/>
      <c r="AO21" s="70"/>
      <c r="AP21" s="70"/>
      <c r="AQ21" s="70"/>
      <c r="AR21" s="70"/>
      <c r="AS21" s="70"/>
      <c r="AT21" s="70"/>
      <c r="AU21" s="70"/>
      <c r="AV21" s="70"/>
      <c r="AW21" s="70"/>
      <c r="AX21" s="70"/>
      <c r="AY21" s="70"/>
      <c r="AZ21" s="70"/>
      <c r="BA21" s="70"/>
      <c r="BB21" s="70"/>
      <c r="BC21" s="70"/>
      <c r="BD21" s="70"/>
      <c r="BE21" s="70"/>
      <c r="BF21" s="70"/>
      <c r="BG21" s="70"/>
      <c r="BH21" s="70"/>
      <c r="BI21" s="70"/>
      <c r="BJ21" s="70"/>
      <c r="BK21" s="70"/>
      <c r="BL21" s="70"/>
      <c r="BM21" s="70"/>
      <c r="BN21" s="70"/>
      <c r="BO21" s="70"/>
      <c r="BP21" s="70"/>
      <c r="BQ21" s="70"/>
      <c r="BR21" s="70"/>
      <c r="BS21" s="70"/>
      <c r="BT21" s="70"/>
      <c r="BU21" s="70"/>
      <c r="BV21" s="70"/>
      <c r="BW21" s="70"/>
      <c r="BX21" s="70"/>
      <c r="BY21" s="70"/>
      <c r="BZ21" s="70"/>
      <c r="CA21" s="70"/>
      <c r="CB21" s="70"/>
      <c r="CC21" s="70"/>
      <c r="CD21" s="70"/>
      <c r="CE21" s="70"/>
      <c r="CF21" s="70"/>
      <c r="CG21" s="70"/>
      <c r="CH21" s="70"/>
      <c r="CI21" s="70"/>
      <c r="CJ21" s="70"/>
      <c r="CK21" s="70"/>
      <c r="CL21" s="70"/>
      <c r="CM21" s="70"/>
      <c r="CN21" s="70"/>
      <c r="CO21" s="70"/>
      <c r="CP21" s="70"/>
      <c r="CQ21" s="70"/>
      <c r="CR21" s="70"/>
      <c r="CS21" s="70"/>
      <c r="CT21" s="70"/>
      <c r="CU21" s="70"/>
      <c r="CV21" s="70"/>
      <c r="CW21" s="70"/>
      <c r="CX21" s="70"/>
      <c r="CY21" s="70"/>
      <c r="CZ21" s="70"/>
      <c r="DA21" s="70"/>
      <c r="DB21" s="70"/>
      <c r="DC21" s="70"/>
      <c r="DD21" s="70"/>
      <c r="DE21" s="70"/>
      <c r="DF21" s="70"/>
      <c r="DG21" s="70"/>
    </row>
    <row r="22" spans="1:111" ht="15" customHeight="1" x14ac:dyDescent="0.25">
      <c r="A22" s="46">
        <v>20</v>
      </c>
      <c r="B22" s="17" t="s">
        <v>30</v>
      </c>
      <c r="C22" s="70"/>
      <c r="D22" s="70"/>
      <c r="E22" s="70"/>
      <c r="F22" s="70"/>
      <c r="G22" s="70"/>
      <c r="H22" s="70"/>
      <c r="I22" s="70"/>
      <c r="J22" s="70"/>
      <c r="K22" s="70"/>
      <c r="L22" s="70"/>
      <c r="M22" s="70"/>
      <c r="N22" s="70"/>
      <c r="O22" s="70"/>
      <c r="P22" s="70"/>
      <c r="Q22" s="70"/>
      <c r="R22" s="70"/>
      <c r="S22" s="70"/>
      <c r="T22" s="70"/>
      <c r="U22" s="70"/>
      <c r="V22" s="70"/>
      <c r="W22" s="70"/>
      <c r="X22" s="70"/>
      <c r="Y22" s="70"/>
      <c r="Z22" s="70"/>
      <c r="AA22" s="70"/>
      <c r="AB22" s="70"/>
      <c r="AC22" s="70"/>
      <c r="AD22" s="70"/>
      <c r="AE22" s="70"/>
      <c r="AF22" s="70"/>
      <c r="AG22" s="70"/>
      <c r="AH22" s="70"/>
      <c r="AI22" s="70"/>
      <c r="AJ22" s="70"/>
      <c r="AK22" s="70"/>
      <c r="AL22" s="70"/>
      <c r="AM22" s="70"/>
      <c r="AN22" s="70"/>
      <c r="AO22" s="70"/>
      <c r="AP22" s="70"/>
      <c r="AQ22" s="70"/>
      <c r="AR22" s="70"/>
      <c r="AS22" s="70"/>
      <c r="AT22" s="70"/>
      <c r="AU22" s="70"/>
      <c r="AV22" s="70"/>
      <c r="AW22" s="70"/>
      <c r="AX22" s="70"/>
      <c r="AY22" s="70"/>
      <c r="AZ22" s="70"/>
      <c r="BA22" s="70"/>
      <c r="BB22" s="70"/>
      <c r="BC22" s="70"/>
      <c r="BD22" s="70"/>
      <c r="BE22" s="70"/>
      <c r="BF22" s="70"/>
      <c r="BG22" s="70"/>
      <c r="BH22" s="70"/>
      <c r="BI22" s="70"/>
      <c r="BJ22" s="70"/>
      <c r="BK22" s="70"/>
      <c r="BL22" s="70"/>
      <c r="BM22" s="70"/>
      <c r="BN22" s="70"/>
      <c r="BO22" s="70"/>
      <c r="BP22" s="70"/>
      <c r="BQ22" s="70"/>
      <c r="BR22" s="70"/>
      <c r="BS22" s="70"/>
      <c r="BT22" s="70"/>
      <c r="BU22" s="70"/>
      <c r="BV22" s="70"/>
      <c r="BW22" s="70"/>
      <c r="BX22" s="70"/>
      <c r="BY22" s="70"/>
      <c r="BZ22" s="70"/>
      <c r="CA22" s="70"/>
      <c r="CB22" s="70"/>
      <c r="CC22" s="70"/>
      <c r="CD22" s="70"/>
      <c r="CE22" s="70"/>
      <c r="CF22" s="70"/>
      <c r="CG22" s="70"/>
      <c r="CH22" s="70"/>
      <c r="CI22" s="70"/>
      <c r="CJ22" s="70"/>
      <c r="CK22" s="70"/>
      <c r="CL22" s="70"/>
      <c r="CM22" s="70"/>
      <c r="CN22" s="70"/>
      <c r="CO22" s="70"/>
      <c r="CP22" s="70"/>
      <c r="CQ22" s="70"/>
      <c r="CR22" s="70"/>
      <c r="CS22" s="70"/>
      <c r="CT22" s="70"/>
      <c r="CU22" s="70"/>
      <c r="CV22" s="70"/>
      <c r="CW22" s="70"/>
      <c r="CX22" s="70"/>
      <c r="CY22" s="70"/>
      <c r="CZ22" s="70"/>
      <c r="DA22" s="70"/>
      <c r="DB22" s="70"/>
      <c r="DC22" s="70"/>
      <c r="DD22" s="70"/>
      <c r="DE22" s="70"/>
      <c r="DF22" s="70"/>
      <c r="DG22" s="70"/>
    </row>
    <row r="23" spans="1:111" ht="15" customHeight="1" x14ac:dyDescent="0.25">
      <c r="A23" s="46">
        <v>21</v>
      </c>
      <c r="B23" s="17" t="s">
        <v>31</v>
      </c>
      <c r="C23" s="70"/>
      <c r="D23" s="70"/>
      <c r="E23" s="70"/>
      <c r="F23" s="70"/>
      <c r="G23" s="70"/>
      <c r="H23" s="70"/>
      <c r="I23" s="70"/>
      <c r="J23" s="70"/>
      <c r="K23" s="70"/>
      <c r="L23" s="70"/>
      <c r="M23" s="70"/>
      <c r="N23" s="70"/>
      <c r="O23" s="70"/>
      <c r="P23" s="70"/>
      <c r="Q23" s="70"/>
      <c r="R23" s="70"/>
      <c r="S23" s="70"/>
      <c r="T23" s="70"/>
      <c r="U23" s="70"/>
      <c r="V23" s="70"/>
      <c r="W23" s="70"/>
      <c r="X23" s="70"/>
      <c r="Y23" s="70"/>
      <c r="Z23" s="70"/>
      <c r="AA23" s="70"/>
      <c r="AB23" s="70"/>
      <c r="AC23" s="70"/>
      <c r="AD23" s="70"/>
      <c r="AE23" s="70"/>
      <c r="AF23" s="70"/>
      <c r="AG23" s="70"/>
      <c r="AH23" s="70"/>
      <c r="AI23" s="70"/>
      <c r="AJ23" s="70"/>
      <c r="AK23" s="70"/>
      <c r="AL23" s="70"/>
      <c r="AM23" s="70"/>
      <c r="AN23" s="70"/>
      <c r="AO23" s="70"/>
      <c r="AP23" s="70"/>
      <c r="AQ23" s="70"/>
      <c r="AR23" s="70"/>
      <c r="AS23" s="70"/>
      <c r="AT23" s="70"/>
      <c r="AU23" s="70"/>
      <c r="AV23" s="70"/>
      <c r="AW23" s="70"/>
      <c r="AX23" s="70"/>
      <c r="AY23" s="70"/>
      <c r="AZ23" s="70"/>
      <c r="BA23" s="70"/>
      <c r="BB23" s="70"/>
      <c r="BC23" s="70"/>
      <c r="BD23" s="70"/>
      <c r="BE23" s="70"/>
      <c r="BF23" s="70"/>
      <c r="BG23" s="70"/>
      <c r="BH23" s="70"/>
      <c r="BI23" s="70"/>
      <c r="BJ23" s="70"/>
      <c r="BK23" s="70"/>
      <c r="BL23" s="70"/>
      <c r="BM23" s="70"/>
      <c r="BN23" s="70"/>
      <c r="BO23" s="70"/>
      <c r="BP23" s="70"/>
      <c r="BQ23" s="70"/>
      <c r="BR23" s="70"/>
      <c r="BS23" s="70"/>
      <c r="BT23" s="70"/>
      <c r="BU23" s="70"/>
      <c r="BV23" s="70"/>
      <c r="BW23" s="70"/>
      <c r="BX23" s="70"/>
      <c r="BY23" s="70"/>
      <c r="BZ23" s="70"/>
      <c r="CA23" s="70"/>
      <c r="CB23" s="70"/>
      <c r="CC23" s="70"/>
      <c r="CD23" s="70"/>
      <c r="CE23" s="70"/>
      <c r="CF23" s="70"/>
      <c r="CG23" s="70"/>
      <c r="CH23" s="70"/>
      <c r="CI23" s="70"/>
      <c r="CJ23" s="70"/>
      <c r="CK23" s="70"/>
      <c r="CL23" s="70"/>
      <c r="CM23" s="70"/>
      <c r="CN23" s="70"/>
      <c r="CO23" s="70"/>
      <c r="CP23" s="70"/>
      <c r="CQ23" s="70"/>
      <c r="CR23" s="70"/>
      <c r="CS23" s="70"/>
      <c r="CT23" s="70"/>
      <c r="CU23" s="70"/>
      <c r="CV23" s="70"/>
      <c r="CW23" s="70"/>
      <c r="CX23" s="70"/>
      <c r="CY23" s="70"/>
      <c r="CZ23" s="70"/>
      <c r="DA23" s="70"/>
      <c r="DB23" s="70"/>
      <c r="DC23" s="70"/>
      <c r="DD23" s="70"/>
      <c r="DE23" s="70"/>
      <c r="DF23" s="70"/>
      <c r="DG23" s="70"/>
    </row>
    <row r="24" spans="1:111" ht="15" customHeight="1" x14ac:dyDescent="0.25">
      <c r="A24" s="46">
        <v>22</v>
      </c>
      <c r="B24" s="17" t="s">
        <v>98</v>
      </c>
      <c r="C24" s="70"/>
      <c r="D24" s="70"/>
      <c r="E24" s="70"/>
      <c r="F24" s="70"/>
      <c r="G24" s="70"/>
      <c r="H24" s="70"/>
      <c r="I24" s="70"/>
      <c r="J24" s="70"/>
      <c r="K24" s="70"/>
      <c r="L24" s="70"/>
      <c r="M24" s="70"/>
      <c r="N24" s="70"/>
      <c r="O24" s="70"/>
      <c r="P24" s="70"/>
      <c r="Q24" s="70"/>
      <c r="R24" s="70"/>
      <c r="S24" s="70"/>
      <c r="T24" s="70"/>
      <c r="U24" s="70"/>
      <c r="V24" s="70"/>
      <c r="W24" s="70"/>
      <c r="X24" s="70"/>
      <c r="Y24" s="70"/>
      <c r="Z24" s="70"/>
      <c r="AA24" s="70"/>
      <c r="AB24" s="70"/>
      <c r="AC24" s="70"/>
      <c r="AD24" s="70"/>
      <c r="AE24" s="70"/>
      <c r="AF24" s="70"/>
      <c r="AG24" s="70"/>
      <c r="AH24" s="70"/>
      <c r="AI24" s="70"/>
      <c r="AJ24" s="70"/>
      <c r="AK24" s="70"/>
      <c r="AL24" s="70"/>
      <c r="AM24" s="70"/>
      <c r="AN24" s="70"/>
      <c r="AO24" s="70"/>
      <c r="AP24" s="70"/>
      <c r="AQ24" s="70"/>
      <c r="AR24" s="70"/>
      <c r="AS24" s="70"/>
      <c r="AT24" s="70"/>
      <c r="AU24" s="70"/>
      <c r="AV24" s="70"/>
      <c r="AW24" s="70"/>
      <c r="AX24" s="70"/>
      <c r="AY24" s="70"/>
      <c r="AZ24" s="70"/>
      <c r="BA24" s="70"/>
      <c r="BB24" s="70"/>
      <c r="BC24" s="70"/>
      <c r="BD24" s="70"/>
      <c r="BE24" s="70"/>
      <c r="BF24" s="70"/>
      <c r="BG24" s="70"/>
      <c r="BH24" s="70"/>
      <c r="BI24" s="70"/>
      <c r="BJ24" s="70"/>
      <c r="BK24" s="70"/>
      <c r="BL24" s="70"/>
      <c r="BM24" s="70"/>
      <c r="BN24" s="70"/>
      <c r="BO24" s="70"/>
      <c r="BP24" s="70"/>
      <c r="BQ24" s="70"/>
      <c r="BR24" s="70"/>
      <c r="BS24" s="70"/>
      <c r="BT24" s="70"/>
      <c r="BU24" s="70"/>
      <c r="BV24" s="70"/>
      <c r="BW24" s="70"/>
      <c r="BX24" s="70"/>
      <c r="BY24" s="70"/>
      <c r="BZ24" s="70"/>
      <c r="CA24" s="70"/>
      <c r="CB24" s="70"/>
      <c r="CC24" s="70"/>
      <c r="CD24" s="70"/>
      <c r="CE24" s="70"/>
      <c r="CF24" s="70"/>
      <c r="CG24" s="70"/>
      <c r="CH24" s="70"/>
      <c r="CI24" s="70"/>
      <c r="CJ24" s="70"/>
      <c r="CK24" s="70"/>
      <c r="CL24" s="70"/>
      <c r="CM24" s="70"/>
      <c r="CN24" s="70"/>
      <c r="CO24" s="70"/>
      <c r="CP24" s="70"/>
      <c r="CQ24" s="70"/>
      <c r="CR24" s="70"/>
      <c r="CS24" s="70"/>
      <c r="CT24" s="70"/>
      <c r="CU24" s="70"/>
      <c r="CV24" s="70"/>
      <c r="CW24" s="70"/>
      <c r="CX24" s="70"/>
      <c r="CY24" s="70"/>
      <c r="CZ24" s="70"/>
      <c r="DA24" s="70"/>
      <c r="DB24" s="70"/>
      <c r="DC24" s="70"/>
      <c r="DD24" s="70"/>
      <c r="DE24" s="70"/>
      <c r="DF24" s="70"/>
      <c r="DG24" s="70"/>
    </row>
    <row r="25" spans="1:111" ht="15" customHeight="1" x14ac:dyDescent="0.25">
      <c r="A25" s="46">
        <v>23</v>
      </c>
      <c r="B25" s="17" t="s">
        <v>33</v>
      </c>
      <c r="C25" s="70"/>
      <c r="D25" s="70"/>
      <c r="E25" s="70"/>
      <c r="F25" s="70"/>
      <c r="G25" s="70"/>
      <c r="H25" s="70"/>
      <c r="I25" s="70"/>
      <c r="J25" s="70"/>
      <c r="K25" s="70"/>
      <c r="L25" s="70"/>
      <c r="M25" s="70"/>
      <c r="N25" s="70"/>
      <c r="O25" s="70"/>
      <c r="P25" s="70"/>
      <c r="Q25" s="70"/>
      <c r="R25" s="70"/>
      <c r="S25" s="70"/>
      <c r="T25" s="70"/>
      <c r="U25" s="70"/>
      <c r="V25" s="70"/>
      <c r="W25" s="70"/>
      <c r="X25" s="70"/>
      <c r="Y25" s="70"/>
      <c r="Z25" s="70"/>
      <c r="AA25" s="70"/>
      <c r="AB25" s="70"/>
      <c r="AC25" s="70"/>
      <c r="AD25" s="70"/>
      <c r="AE25" s="70"/>
      <c r="AF25" s="70"/>
      <c r="AG25" s="70"/>
      <c r="AH25" s="70"/>
      <c r="AI25" s="70"/>
      <c r="AJ25" s="70"/>
      <c r="AK25" s="70"/>
      <c r="AL25" s="70"/>
      <c r="AM25" s="70"/>
      <c r="AN25" s="70"/>
      <c r="AO25" s="70"/>
      <c r="AP25" s="70"/>
      <c r="AQ25" s="70"/>
      <c r="AR25" s="70"/>
      <c r="AS25" s="70"/>
      <c r="AT25" s="70"/>
      <c r="AU25" s="70"/>
      <c r="AV25" s="70"/>
      <c r="AW25" s="70"/>
      <c r="AX25" s="70"/>
      <c r="AY25" s="70"/>
      <c r="AZ25" s="70"/>
      <c r="BA25" s="70"/>
      <c r="BB25" s="70"/>
      <c r="BC25" s="70"/>
      <c r="BD25" s="70"/>
      <c r="BE25" s="70"/>
      <c r="BF25" s="70"/>
      <c r="BG25" s="70"/>
      <c r="BH25" s="70"/>
      <c r="BI25" s="70"/>
      <c r="BJ25" s="70"/>
      <c r="BK25" s="70"/>
      <c r="BL25" s="70"/>
      <c r="BM25" s="70"/>
      <c r="BN25" s="70"/>
      <c r="BO25" s="70"/>
      <c r="BP25" s="70"/>
      <c r="BQ25" s="70"/>
      <c r="BR25" s="70"/>
      <c r="BS25" s="70"/>
      <c r="BT25" s="70"/>
      <c r="BU25" s="70"/>
      <c r="BV25" s="70"/>
      <c r="BW25" s="70"/>
      <c r="BX25" s="70"/>
      <c r="BY25" s="70"/>
      <c r="BZ25" s="70"/>
      <c r="CA25" s="70"/>
      <c r="CB25" s="70"/>
      <c r="CC25" s="70"/>
      <c r="CD25" s="70"/>
      <c r="CE25" s="70"/>
      <c r="CF25" s="70"/>
      <c r="CG25" s="70"/>
      <c r="CH25" s="70"/>
      <c r="CI25" s="70"/>
      <c r="CJ25" s="70"/>
      <c r="CK25" s="70"/>
      <c r="CL25" s="70"/>
      <c r="CM25" s="70"/>
      <c r="CN25" s="70"/>
      <c r="CO25" s="70"/>
      <c r="CP25" s="70"/>
      <c r="CQ25" s="70"/>
      <c r="CR25" s="70"/>
      <c r="CS25" s="70"/>
      <c r="CT25" s="70"/>
      <c r="CU25" s="70"/>
      <c r="CV25" s="70"/>
      <c r="CW25" s="70"/>
      <c r="CX25" s="70"/>
      <c r="CY25" s="70"/>
      <c r="CZ25" s="70"/>
      <c r="DA25" s="70"/>
      <c r="DB25" s="70"/>
      <c r="DC25" s="70"/>
      <c r="DD25" s="70"/>
      <c r="DE25" s="70"/>
      <c r="DF25" s="70"/>
      <c r="DG25" s="70"/>
    </row>
    <row r="26" spans="1:111" ht="15" customHeight="1" x14ac:dyDescent="0.25">
      <c r="A26" s="46">
        <v>24</v>
      </c>
      <c r="B26" s="17" t="s">
        <v>34</v>
      </c>
      <c r="C26" s="70"/>
      <c r="D26" s="70"/>
      <c r="E26" s="70"/>
      <c r="F26" s="70"/>
      <c r="G26" s="70"/>
      <c r="H26" s="70"/>
      <c r="I26" s="70"/>
      <c r="J26" s="70"/>
      <c r="K26" s="70"/>
      <c r="L26" s="70"/>
      <c r="M26" s="70"/>
      <c r="N26" s="70"/>
      <c r="O26" s="70"/>
      <c r="P26" s="70"/>
      <c r="Q26" s="70"/>
      <c r="R26" s="70"/>
      <c r="S26" s="70"/>
      <c r="T26" s="70"/>
      <c r="U26" s="70"/>
      <c r="V26" s="70"/>
      <c r="W26" s="70"/>
      <c r="X26" s="70"/>
      <c r="Y26" s="70"/>
      <c r="Z26" s="70"/>
      <c r="AA26" s="70"/>
      <c r="AB26" s="70"/>
      <c r="AC26" s="70"/>
      <c r="AD26" s="70"/>
      <c r="AE26" s="70"/>
      <c r="AF26" s="70"/>
      <c r="AG26" s="70"/>
      <c r="AH26" s="70"/>
      <c r="AI26" s="70"/>
      <c r="AJ26" s="70"/>
      <c r="AK26" s="70"/>
      <c r="AL26" s="70"/>
      <c r="AM26" s="70"/>
      <c r="AN26" s="70"/>
      <c r="AO26" s="70"/>
      <c r="AP26" s="70"/>
      <c r="AQ26" s="70"/>
      <c r="AR26" s="70"/>
      <c r="AS26" s="70"/>
      <c r="AT26" s="70"/>
      <c r="AU26" s="70"/>
      <c r="AV26" s="70"/>
      <c r="AW26" s="70"/>
      <c r="AX26" s="70"/>
      <c r="AY26" s="70"/>
      <c r="AZ26" s="70"/>
      <c r="BA26" s="70"/>
      <c r="BB26" s="70"/>
      <c r="BC26" s="70"/>
      <c r="BD26" s="70"/>
      <c r="BE26" s="70"/>
      <c r="BF26" s="70"/>
      <c r="BG26" s="70"/>
      <c r="BH26" s="70"/>
      <c r="BI26" s="70"/>
      <c r="BJ26" s="70"/>
      <c r="BK26" s="70"/>
      <c r="BL26" s="70"/>
      <c r="BM26" s="70"/>
      <c r="BN26" s="70"/>
      <c r="BO26" s="70"/>
      <c r="BP26" s="70"/>
      <c r="BQ26" s="70"/>
      <c r="BR26" s="70"/>
      <c r="BS26" s="70"/>
      <c r="BT26" s="70"/>
      <c r="BU26" s="70"/>
      <c r="BV26" s="70"/>
      <c r="BW26" s="70"/>
      <c r="BX26" s="70"/>
      <c r="BY26" s="70"/>
      <c r="BZ26" s="70"/>
      <c r="CA26" s="70"/>
      <c r="CB26" s="70"/>
      <c r="CC26" s="70"/>
      <c r="CD26" s="70"/>
      <c r="CE26" s="70"/>
      <c r="CF26" s="70"/>
      <c r="CG26" s="70"/>
      <c r="CH26" s="70"/>
      <c r="CI26" s="70"/>
      <c r="CJ26" s="70"/>
      <c r="CK26" s="70"/>
      <c r="CL26" s="70"/>
      <c r="CM26" s="70"/>
      <c r="CN26" s="70"/>
      <c r="CO26" s="70"/>
      <c r="CP26" s="70"/>
      <c r="CQ26" s="70"/>
      <c r="CR26" s="70"/>
      <c r="CS26" s="70"/>
      <c r="CT26" s="70"/>
      <c r="CU26" s="70"/>
      <c r="CV26" s="70"/>
      <c r="CW26" s="70"/>
      <c r="CX26" s="70"/>
      <c r="CY26" s="70"/>
      <c r="CZ26" s="70"/>
      <c r="DA26" s="70"/>
      <c r="DB26" s="70"/>
      <c r="DC26" s="70"/>
      <c r="DD26" s="70"/>
      <c r="DE26" s="70"/>
      <c r="DF26" s="70"/>
      <c r="DG26" s="70"/>
    </row>
    <row r="27" spans="1:111" ht="15" customHeight="1" x14ac:dyDescent="0.25">
      <c r="A27" s="46">
        <v>25</v>
      </c>
      <c r="B27" s="17" t="s">
        <v>35</v>
      </c>
      <c r="C27" s="70"/>
      <c r="D27" s="70"/>
      <c r="E27" s="70"/>
      <c r="F27" s="70"/>
      <c r="G27" s="70"/>
      <c r="H27" s="70"/>
      <c r="I27" s="70"/>
      <c r="J27" s="70"/>
      <c r="K27" s="70"/>
      <c r="L27" s="70"/>
      <c r="M27" s="70"/>
      <c r="N27" s="70"/>
      <c r="O27" s="70"/>
      <c r="P27" s="70"/>
      <c r="Q27" s="70"/>
      <c r="R27" s="70"/>
      <c r="S27" s="70"/>
      <c r="T27" s="70"/>
      <c r="U27" s="70"/>
      <c r="V27" s="70"/>
      <c r="W27" s="70"/>
      <c r="X27" s="70"/>
      <c r="Y27" s="70"/>
      <c r="Z27" s="70"/>
      <c r="AA27" s="70"/>
      <c r="AB27" s="70"/>
      <c r="AC27" s="70"/>
      <c r="AD27" s="70"/>
      <c r="AE27" s="70"/>
      <c r="AF27" s="70"/>
      <c r="AG27" s="70"/>
      <c r="AH27" s="70"/>
      <c r="AI27" s="70"/>
      <c r="AJ27" s="70"/>
      <c r="AK27" s="70"/>
      <c r="AL27" s="70"/>
      <c r="AM27" s="70"/>
      <c r="AN27" s="70"/>
      <c r="AO27" s="70"/>
      <c r="AP27" s="70"/>
      <c r="AQ27" s="70"/>
      <c r="AR27" s="70"/>
      <c r="AS27" s="70"/>
      <c r="AT27" s="70"/>
      <c r="AU27" s="70"/>
      <c r="AV27" s="70"/>
      <c r="AW27" s="70"/>
      <c r="AX27" s="70"/>
      <c r="AY27" s="70"/>
      <c r="AZ27" s="70"/>
      <c r="BA27" s="70"/>
      <c r="BB27" s="70"/>
      <c r="BC27" s="70"/>
      <c r="BD27" s="70"/>
      <c r="BE27" s="70"/>
      <c r="BF27" s="70"/>
      <c r="BG27" s="70"/>
      <c r="BH27" s="70"/>
      <c r="BI27" s="70"/>
      <c r="BJ27" s="70"/>
      <c r="BK27" s="70"/>
      <c r="BL27" s="70"/>
      <c r="BM27" s="70"/>
      <c r="BN27" s="70"/>
      <c r="BO27" s="70"/>
      <c r="BP27" s="70"/>
      <c r="BQ27" s="70"/>
      <c r="BR27" s="70"/>
      <c r="BS27" s="70"/>
      <c r="BT27" s="70"/>
      <c r="BU27" s="70"/>
      <c r="BV27" s="70"/>
      <c r="BW27" s="70"/>
      <c r="BX27" s="70"/>
      <c r="BY27" s="70"/>
      <c r="BZ27" s="70"/>
      <c r="CA27" s="70"/>
      <c r="CB27" s="70"/>
      <c r="CC27" s="70"/>
      <c r="CD27" s="70"/>
      <c r="CE27" s="70"/>
      <c r="CF27" s="70"/>
      <c r="CG27" s="70"/>
      <c r="CH27" s="70"/>
      <c r="CI27" s="70"/>
      <c r="CJ27" s="70"/>
      <c r="CK27" s="70"/>
      <c r="CL27" s="70"/>
      <c r="CM27" s="70"/>
      <c r="CN27" s="70"/>
      <c r="CO27" s="70"/>
      <c r="CP27" s="70"/>
      <c r="CQ27" s="70"/>
      <c r="CR27" s="70"/>
      <c r="CS27" s="70"/>
      <c r="CT27" s="70"/>
      <c r="CU27" s="70"/>
      <c r="CV27" s="70"/>
      <c r="CW27" s="70"/>
      <c r="CX27" s="70"/>
      <c r="CY27" s="70"/>
      <c r="CZ27" s="70"/>
      <c r="DA27" s="70"/>
      <c r="DB27" s="70"/>
      <c r="DC27" s="70"/>
      <c r="DD27" s="70"/>
      <c r="DE27" s="70"/>
      <c r="DF27" s="70"/>
      <c r="DG27" s="70"/>
    </row>
    <row r="28" spans="1:111" ht="15" customHeight="1" x14ac:dyDescent="0.25">
      <c r="A28" s="46">
        <v>26</v>
      </c>
      <c r="B28" s="17" t="s">
        <v>36</v>
      </c>
      <c r="C28" s="70"/>
      <c r="D28" s="70"/>
      <c r="E28" s="70"/>
      <c r="F28" s="70"/>
      <c r="G28" s="70"/>
      <c r="H28" s="70"/>
      <c r="I28" s="70"/>
      <c r="J28" s="70"/>
      <c r="K28" s="70"/>
      <c r="L28" s="70"/>
      <c r="M28" s="70"/>
      <c r="N28" s="70"/>
      <c r="O28" s="70"/>
      <c r="P28" s="70"/>
      <c r="Q28" s="70"/>
      <c r="R28" s="70"/>
      <c r="S28" s="70"/>
      <c r="T28" s="70"/>
      <c r="U28" s="70"/>
      <c r="V28" s="70"/>
      <c r="W28" s="70"/>
      <c r="X28" s="70"/>
      <c r="Y28" s="70"/>
      <c r="Z28" s="70"/>
      <c r="AA28" s="70"/>
      <c r="AB28" s="70"/>
      <c r="AC28" s="70"/>
      <c r="AD28" s="70"/>
      <c r="AE28" s="70"/>
      <c r="AF28" s="70"/>
      <c r="AG28" s="70"/>
      <c r="AH28" s="70"/>
      <c r="AI28" s="70"/>
      <c r="AJ28" s="70"/>
      <c r="AK28" s="70"/>
      <c r="AL28" s="70"/>
      <c r="AM28" s="70"/>
      <c r="AN28" s="70"/>
      <c r="AO28" s="70"/>
      <c r="AP28" s="70"/>
      <c r="AQ28" s="70"/>
      <c r="AR28" s="70"/>
      <c r="AS28" s="70"/>
      <c r="AT28" s="70"/>
      <c r="AU28" s="70"/>
      <c r="AV28" s="70"/>
      <c r="AW28" s="70"/>
      <c r="AX28" s="70"/>
      <c r="AY28" s="70"/>
      <c r="AZ28" s="70"/>
      <c r="BA28" s="70"/>
      <c r="BB28" s="70"/>
      <c r="BC28" s="70"/>
      <c r="BD28" s="70"/>
      <c r="BE28" s="70"/>
      <c r="BF28" s="70"/>
      <c r="BG28" s="70"/>
      <c r="BH28" s="70"/>
      <c r="BI28" s="70"/>
      <c r="BJ28" s="70"/>
      <c r="BK28" s="70"/>
      <c r="BL28" s="70"/>
      <c r="BM28" s="70"/>
      <c r="BN28" s="70"/>
      <c r="BO28" s="70"/>
      <c r="BP28" s="70"/>
      <c r="BQ28" s="70"/>
      <c r="BR28" s="70"/>
      <c r="BS28" s="70"/>
      <c r="BT28" s="70"/>
      <c r="BU28" s="70"/>
      <c r="BV28" s="70"/>
      <c r="BW28" s="70"/>
      <c r="BX28" s="70"/>
      <c r="BY28" s="70"/>
      <c r="BZ28" s="70"/>
      <c r="CA28" s="70"/>
      <c r="CB28" s="70"/>
      <c r="CC28" s="70"/>
      <c r="CD28" s="70"/>
      <c r="CE28" s="70"/>
      <c r="CF28" s="70"/>
      <c r="CG28" s="70"/>
      <c r="CH28" s="70"/>
      <c r="CI28" s="70"/>
      <c r="CJ28" s="70"/>
      <c r="CK28" s="70"/>
      <c r="CL28" s="70"/>
      <c r="CM28" s="70"/>
      <c r="CN28" s="70"/>
      <c r="CO28" s="70"/>
      <c r="CP28" s="70"/>
      <c r="CQ28" s="70"/>
      <c r="CR28" s="70"/>
      <c r="CS28" s="70"/>
      <c r="CT28" s="70"/>
      <c r="CU28" s="70"/>
      <c r="CV28" s="70"/>
      <c r="CW28" s="70"/>
      <c r="CX28" s="70"/>
      <c r="CY28" s="70"/>
      <c r="CZ28" s="70"/>
      <c r="DA28" s="70"/>
      <c r="DB28" s="70"/>
      <c r="DC28" s="70"/>
      <c r="DD28" s="70"/>
      <c r="DE28" s="70"/>
      <c r="DF28" s="70"/>
      <c r="DG28" s="70"/>
    </row>
    <row r="29" spans="1:111" ht="15" customHeight="1" x14ac:dyDescent="0.25">
      <c r="A29" s="46">
        <v>27</v>
      </c>
      <c r="B29" s="17" t="s">
        <v>37</v>
      </c>
      <c r="C29" s="70"/>
      <c r="D29" s="70"/>
      <c r="E29" s="70"/>
      <c r="F29" s="70"/>
      <c r="G29" s="70"/>
      <c r="H29" s="70"/>
      <c r="I29" s="70"/>
      <c r="J29" s="70"/>
      <c r="K29" s="70"/>
      <c r="L29" s="70"/>
      <c r="M29" s="70"/>
      <c r="N29" s="70"/>
      <c r="O29" s="70"/>
      <c r="P29" s="70"/>
      <c r="Q29" s="70"/>
      <c r="R29" s="70"/>
      <c r="S29" s="70"/>
      <c r="T29" s="70"/>
      <c r="U29" s="70"/>
      <c r="V29" s="70"/>
      <c r="W29" s="70"/>
      <c r="X29" s="70"/>
      <c r="Y29" s="70"/>
      <c r="Z29" s="70"/>
      <c r="AA29" s="70"/>
      <c r="AB29" s="70"/>
      <c r="AC29" s="70"/>
      <c r="AD29" s="70"/>
      <c r="AE29" s="70"/>
      <c r="AF29" s="70"/>
      <c r="AG29" s="70"/>
      <c r="AH29" s="70"/>
      <c r="AI29" s="70"/>
      <c r="AJ29" s="70"/>
      <c r="AK29" s="70"/>
      <c r="AL29" s="70"/>
      <c r="AM29" s="70"/>
      <c r="AN29" s="70"/>
      <c r="AO29" s="70"/>
      <c r="AP29" s="70"/>
      <c r="AQ29" s="70"/>
      <c r="AR29" s="70"/>
      <c r="AS29" s="70"/>
      <c r="AT29" s="70"/>
      <c r="AU29" s="70"/>
      <c r="AV29" s="70"/>
      <c r="AW29" s="70"/>
      <c r="AX29" s="70"/>
      <c r="AY29" s="70"/>
      <c r="AZ29" s="70"/>
      <c r="BA29" s="70"/>
      <c r="BB29" s="70"/>
      <c r="BC29" s="70"/>
      <c r="BD29" s="70"/>
      <c r="BE29" s="70"/>
      <c r="BF29" s="70"/>
      <c r="BG29" s="70"/>
      <c r="BH29" s="70"/>
      <c r="BI29" s="70"/>
      <c r="BJ29" s="70"/>
      <c r="BK29" s="70"/>
      <c r="BL29" s="70"/>
      <c r="BM29" s="70"/>
      <c r="BN29" s="70"/>
      <c r="BO29" s="70"/>
      <c r="BP29" s="70"/>
      <c r="BQ29" s="70"/>
      <c r="BR29" s="70"/>
      <c r="BS29" s="70"/>
      <c r="BT29" s="70"/>
      <c r="BU29" s="70"/>
      <c r="BV29" s="70"/>
      <c r="BW29" s="70"/>
      <c r="BX29" s="70"/>
      <c r="BY29" s="70"/>
      <c r="BZ29" s="70"/>
      <c r="CA29" s="70"/>
      <c r="CB29" s="70"/>
      <c r="CC29" s="70"/>
      <c r="CD29" s="70"/>
      <c r="CE29" s="70"/>
      <c r="CF29" s="70"/>
      <c r="CG29" s="70"/>
      <c r="CH29" s="70"/>
      <c r="CI29" s="70"/>
      <c r="CJ29" s="70"/>
      <c r="CK29" s="70"/>
      <c r="CL29" s="70"/>
      <c r="CM29" s="70"/>
      <c r="CN29" s="70"/>
      <c r="CO29" s="70"/>
      <c r="CP29" s="70"/>
      <c r="CQ29" s="70"/>
      <c r="CR29" s="70"/>
      <c r="CS29" s="70"/>
      <c r="CT29" s="70"/>
      <c r="CU29" s="70"/>
      <c r="CV29" s="70"/>
      <c r="CW29" s="70"/>
      <c r="CX29" s="70"/>
      <c r="CY29" s="70"/>
      <c r="CZ29" s="70"/>
      <c r="DA29" s="70"/>
      <c r="DB29" s="70"/>
      <c r="DC29" s="70"/>
      <c r="DD29" s="70"/>
      <c r="DE29" s="70"/>
      <c r="DF29" s="70"/>
      <c r="DG29" s="70"/>
    </row>
    <row r="30" spans="1:111" ht="15" customHeight="1" x14ac:dyDescent="0.25">
      <c r="A30" s="46">
        <v>28</v>
      </c>
      <c r="B30" s="17" t="s">
        <v>38</v>
      </c>
      <c r="C30" s="70"/>
      <c r="D30" s="70"/>
      <c r="E30" s="70"/>
      <c r="F30" s="70"/>
      <c r="G30" s="70"/>
      <c r="H30" s="70"/>
      <c r="I30" s="70"/>
      <c r="J30" s="70"/>
      <c r="K30" s="70"/>
      <c r="L30" s="70"/>
      <c r="M30" s="70"/>
      <c r="N30" s="70"/>
      <c r="O30" s="70"/>
      <c r="P30" s="70"/>
      <c r="Q30" s="70"/>
      <c r="R30" s="70"/>
      <c r="S30" s="70"/>
      <c r="T30" s="70"/>
      <c r="U30" s="70"/>
      <c r="V30" s="70"/>
      <c r="W30" s="70"/>
      <c r="X30" s="70"/>
      <c r="Y30" s="70"/>
      <c r="Z30" s="70"/>
      <c r="AA30" s="70"/>
      <c r="AB30" s="70"/>
      <c r="AC30" s="70"/>
      <c r="AD30" s="70"/>
      <c r="AE30" s="70"/>
      <c r="AF30" s="70"/>
      <c r="AG30" s="70"/>
      <c r="AH30" s="70"/>
      <c r="AI30" s="70"/>
      <c r="AJ30" s="70"/>
      <c r="AK30" s="70"/>
      <c r="AL30" s="70"/>
      <c r="AM30" s="70"/>
      <c r="AN30" s="70"/>
      <c r="AO30" s="70"/>
      <c r="AP30" s="70"/>
      <c r="AQ30" s="70"/>
      <c r="AR30" s="70"/>
      <c r="AS30" s="70"/>
      <c r="AT30" s="70"/>
      <c r="AU30" s="70"/>
      <c r="AV30" s="70"/>
      <c r="AW30" s="70"/>
      <c r="AX30" s="70"/>
      <c r="AY30" s="70"/>
      <c r="AZ30" s="70"/>
      <c r="BA30" s="70"/>
      <c r="BB30" s="70"/>
      <c r="BC30" s="70"/>
      <c r="BD30" s="70"/>
      <c r="BE30" s="70"/>
      <c r="BF30" s="70"/>
      <c r="BG30" s="70"/>
      <c r="BH30" s="70"/>
      <c r="BI30" s="70"/>
      <c r="BJ30" s="70"/>
      <c r="BK30" s="70"/>
      <c r="BL30" s="70"/>
      <c r="BM30" s="70"/>
      <c r="BN30" s="70"/>
      <c r="BO30" s="70"/>
      <c r="BP30" s="70"/>
      <c r="BQ30" s="70"/>
      <c r="BR30" s="70"/>
      <c r="BS30" s="70"/>
      <c r="BT30" s="70"/>
      <c r="BU30" s="70"/>
      <c r="BV30" s="70"/>
      <c r="BW30" s="70"/>
      <c r="BX30" s="70"/>
      <c r="BY30" s="70"/>
      <c r="BZ30" s="70"/>
      <c r="CA30" s="70"/>
      <c r="CB30" s="70"/>
      <c r="CC30" s="70"/>
      <c r="CD30" s="70"/>
      <c r="CE30" s="70"/>
      <c r="CF30" s="70"/>
      <c r="CG30" s="70"/>
      <c r="CH30" s="70"/>
      <c r="CI30" s="70"/>
      <c r="CJ30" s="70"/>
      <c r="CK30" s="70"/>
      <c r="CL30" s="70"/>
      <c r="CM30" s="70"/>
      <c r="CN30" s="70"/>
      <c r="CO30" s="70"/>
      <c r="CP30" s="70"/>
      <c r="CQ30" s="70"/>
      <c r="CR30" s="70"/>
      <c r="CS30" s="70"/>
      <c r="CT30" s="70"/>
      <c r="CU30" s="70"/>
      <c r="CV30" s="70"/>
      <c r="CW30" s="70"/>
      <c r="CX30" s="70"/>
      <c r="CY30" s="70"/>
      <c r="CZ30" s="70"/>
      <c r="DA30" s="70"/>
      <c r="DB30" s="70"/>
      <c r="DC30" s="70"/>
      <c r="DD30" s="70"/>
      <c r="DE30" s="70"/>
      <c r="DF30" s="70"/>
      <c r="DG30" s="70"/>
    </row>
    <row r="31" spans="1:111" ht="15" customHeight="1" x14ac:dyDescent="0.25">
      <c r="A31" s="46">
        <v>29</v>
      </c>
      <c r="B31" s="17" t="s">
        <v>39</v>
      </c>
      <c r="C31" s="70"/>
      <c r="D31" s="70"/>
      <c r="E31" s="70"/>
      <c r="F31" s="70"/>
      <c r="G31" s="70"/>
      <c r="H31" s="70"/>
      <c r="I31" s="70"/>
      <c r="J31" s="70"/>
      <c r="K31" s="70"/>
      <c r="L31" s="70"/>
      <c r="M31" s="70"/>
      <c r="N31" s="70"/>
      <c r="O31" s="70"/>
      <c r="P31" s="70"/>
      <c r="Q31" s="70"/>
      <c r="R31" s="70"/>
      <c r="S31" s="70"/>
      <c r="T31" s="70"/>
      <c r="U31" s="70"/>
      <c r="V31" s="70"/>
      <c r="W31" s="70"/>
      <c r="X31" s="70"/>
      <c r="Y31" s="70"/>
      <c r="Z31" s="70"/>
      <c r="AA31" s="70"/>
      <c r="AB31" s="70"/>
      <c r="AC31" s="70"/>
      <c r="AD31" s="70"/>
      <c r="AE31" s="70"/>
      <c r="AF31" s="70"/>
      <c r="AG31" s="70"/>
      <c r="AH31" s="70"/>
      <c r="AI31" s="70"/>
      <c r="AJ31" s="70"/>
      <c r="AK31" s="70"/>
      <c r="AL31" s="70"/>
      <c r="AM31" s="70"/>
      <c r="AN31" s="70"/>
      <c r="AO31" s="70"/>
      <c r="AP31" s="70"/>
      <c r="AQ31" s="70"/>
      <c r="AR31" s="70"/>
      <c r="AS31" s="70"/>
      <c r="AT31" s="70"/>
      <c r="AU31" s="70"/>
      <c r="AV31" s="70"/>
      <c r="AW31" s="70"/>
      <c r="AX31" s="70"/>
      <c r="AY31" s="70"/>
      <c r="AZ31" s="70"/>
      <c r="BA31" s="70"/>
      <c r="BB31" s="70"/>
      <c r="BC31" s="70"/>
      <c r="BD31" s="70"/>
      <c r="BE31" s="70"/>
      <c r="BF31" s="70"/>
      <c r="BG31" s="70"/>
      <c r="BH31" s="70"/>
      <c r="BI31" s="70"/>
      <c r="BJ31" s="70"/>
      <c r="BK31" s="70"/>
      <c r="BL31" s="70"/>
      <c r="BM31" s="70"/>
      <c r="BN31" s="70"/>
      <c r="BO31" s="70"/>
      <c r="BP31" s="70"/>
      <c r="BQ31" s="70"/>
      <c r="BR31" s="70"/>
      <c r="BS31" s="70"/>
      <c r="BT31" s="70"/>
      <c r="BU31" s="70"/>
      <c r="BV31" s="70"/>
      <c r="BW31" s="70"/>
      <c r="BX31" s="70"/>
      <c r="BY31" s="70"/>
      <c r="BZ31" s="70"/>
      <c r="CA31" s="70"/>
      <c r="CB31" s="70"/>
      <c r="CC31" s="70"/>
      <c r="CD31" s="70"/>
      <c r="CE31" s="70"/>
      <c r="CF31" s="70"/>
      <c r="CG31" s="70"/>
      <c r="CH31" s="70"/>
      <c r="CI31" s="70"/>
      <c r="CJ31" s="70"/>
      <c r="CK31" s="70"/>
      <c r="CL31" s="70"/>
      <c r="CM31" s="70"/>
      <c r="CN31" s="70"/>
      <c r="CO31" s="70"/>
      <c r="CP31" s="70"/>
      <c r="CQ31" s="70"/>
      <c r="CR31" s="70"/>
      <c r="CS31" s="70"/>
      <c r="CT31" s="70"/>
      <c r="CU31" s="70"/>
      <c r="CV31" s="70"/>
      <c r="CW31" s="70"/>
      <c r="CX31" s="70"/>
      <c r="CY31" s="70"/>
      <c r="CZ31" s="70"/>
      <c r="DA31" s="70"/>
      <c r="DB31" s="70"/>
      <c r="DC31" s="70"/>
      <c r="DD31" s="70"/>
      <c r="DE31" s="70"/>
      <c r="DF31" s="70"/>
      <c r="DG31" s="70"/>
    </row>
    <row r="32" spans="1:111" ht="15" customHeight="1" x14ac:dyDescent="0.25">
      <c r="A32" s="46">
        <v>30</v>
      </c>
      <c r="B32" s="17" t="s">
        <v>40</v>
      </c>
      <c r="C32" s="70"/>
      <c r="D32" s="70"/>
      <c r="E32" s="70"/>
      <c r="F32" s="70"/>
      <c r="G32" s="70"/>
      <c r="H32" s="70"/>
      <c r="I32" s="70"/>
      <c r="J32" s="70"/>
      <c r="K32" s="70"/>
      <c r="L32" s="70"/>
      <c r="M32" s="70"/>
      <c r="N32" s="70"/>
      <c r="O32" s="70"/>
      <c r="P32" s="70"/>
      <c r="Q32" s="70"/>
      <c r="R32" s="70"/>
      <c r="S32" s="70"/>
      <c r="T32" s="70"/>
      <c r="U32" s="70"/>
      <c r="V32" s="70"/>
      <c r="W32" s="70"/>
      <c r="X32" s="70"/>
      <c r="Y32" s="70"/>
      <c r="Z32" s="70"/>
      <c r="AA32" s="70"/>
      <c r="AB32" s="70"/>
      <c r="AC32" s="70"/>
      <c r="AD32" s="70"/>
      <c r="AE32" s="70"/>
      <c r="AF32" s="70"/>
      <c r="AG32" s="70"/>
      <c r="AH32" s="70"/>
      <c r="AI32" s="70"/>
      <c r="AJ32" s="70"/>
      <c r="AK32" s="70"/>
      <c r="AL32" s="70"/>
      <c r="AM32" s="70"/>
      <c r="AN32" s="70"/>
      <c r="AO32" s="70"/>
      <c r="AP32" s="70"/>
      <c r="AQ32" s="70"/>
      <c r="AR32" s="70"/>
      <c r="AS32" s="70"/>
      <c r="AT32" s="70"/>
      <c r="AU32" s="70"/>
      <c r="AV32" s="70"/>
      <c r="AW32" s="70"/>
      <c r="AX32" s="70"/>
      <c r="AY32" s="70"/>
      <c r="AZ32" s="70"/>
      <c r="BA32" s="70"/>
      <c r="BB32" s="70"/>
      <c r="BC32" s="70"/>
      <c r="BD32" s="70"/>
      <c r="BE32" s="70"/>
      <c r="BF32" s="70"/>
      <c r="BG32" s="70"/>
      <c r="BH32" s="70"/>
      <c r="BI32" s="70"/>
      <c r="BJ32" s="70"/>
      <c r="BK32" s="70"/>
      <c r="BL32" s="70"/>
      <c r="BM32" s="70"/>
      <c r="BN32" s="70"/>
      <c r="BO32" s="70"/>
      <c r="BP32" s="70"/>
      <c r="BQ32" s="70"/>
      <c r="BR32" s="70"/>
      <c r="BS32" s="70"/>
      <c r="BT32" s="70"/>
      <c r="BU32" s="70"/>
      <c r="BV32" s="70"/>
      <c r="BW32" s="70"/>
      <c r="BX32" s="70"/>
      <c r="BY32" s="70"/>
      <c r="BZ32" s="70"/>
      <c r="CA32" s="70"/>
      <c r="CB32" s="70"/>
      <c r="CC32" s="70"/>
      <c r="CD32" s="70"/>
      <c r="CE32" s="70"/>
      <c r="CF32" s="70"/>
      <c r="CG32" s="70"/>
      <c r="CH32" s="70"/>
      <c r="CI32" s="70"/>
      <c r="CJ32" s="70"/>
      <c r="CK32" s="70"/>
      <c r="CL32" s="70"/>
      <c r="CM32" s="70"/>
      <c r="CN32" s="70"/>
      <c r="CO32" s="70"/>
      <c r="CP32" s="70"/>
      <c r="CQ32" s="70"/>
      <c r="CR32" s="70"/>
      <c r="CS32" s="70"/>
      <c r="CT32" s="70"/>
      <c r="CU32" s="70"/>
      <c r="CV32" s="70"/>
      <c r="CW32" s="70"/>
      <c r="CX32" s="70"/>
      <c r="CY32" s="70"/>
      <c r="CZ32" s="70"/>
      <c r="DA32" s="70"/>
      <c r="DB32" s="70"/>
      <c r="DC32" s="70"/>
      <c r="DD32" s="70"/>
      <c r="DE32" s="70"/>
      <c r="DF32" s="70"/>
      <c r="DG32" s="70"/>
    </row>
    <row r="33" spans="1:111" ht="15" customHeight="1" x14ac:dyDescent="0.25">
      <c r="A33" s="46">
        <v>31</v>
      </c>
      <c r="B33" s="17" t="s">
        <v>41</v>
      </c>
      <c r="C33" s="70"/>
      <c r="D33" s="70"/>
      <c r="E33" s="70"/>
      <c r="F33" s="70"/>
      <c r="G33" s="70"/>
      <c r="H33" s="70"/>
      <c r="I33" s="70"/>
      <c r="J33" s="70"/>
      <c r="K33" s="70"/>
      <c r="L33" s="70"/>
      <c r="M33" s="70"/>
      <c r="N33" s="70"/>
      <c r="O33" s="70"/>
      <c r="P33" s="70"/>
      <c r="Q33" s="70"/>
      <c r="R33" s="70"/>
      <c r="S33" s="70"/>
      <c r="T33" s="70"/>
      <c r="U33" s="70"/>
      <c r="V33" s="70"/>
      <c r="W33" s="70"/>
      <c r="X33" s="70"/>
      <c r="Y33" s="70"/>
      <c r="Z33" s="70"/>
      <c r="AA33" s="70"/>
      <c r="AB33" s="70"/>
      <c r="AC33" s="70"/>
      <c r="AD33" s="70"/>
      <c r="AE33" s="70"/>
      <c r="AF33" s="70"/>
      <c r="AG33" s="70"/>
      <c r="AH33" s="70"/>
      <c r="AI33" s="70"/>
      <c r="AJ33" s="70"/>
      <c r="AK33" s="70"/>
      <c r="AL33" s="70"/>
      <c r="AM33" s="70"/>
      <c r="AN33" s="70"/>
      <c r="AO33" s="70"/>
      <c r="AP33" s="70"/>
      <c r="AQ33" s="70"/>
      <c r="AR33" s="70"/>
      <c r="AS33" s="70"/>
      <c r="AT33" s="70"/>
      <c r="AU33" s="70"/>
      <c r="AV33" s="70"/>
      <c r="AW33" s="70"/>
      <c r="AX33" s="70"/>
      <c r="AY33" s="70"/>
      <c r="AZ33" s="70"/>
      <c r="BA33" s="70"/>
      <c r="BB33" s="70"/>
      <c r="BC33" s="70"/>
      <c r="BD33" s="70"/>
      <c r="BE33" s="70"/>
      <c r="BF33" s="70"/>
      <c r="BG33" s="70"/>
      <c r="BH33" s="70"/>
      <c r="BI33" s="70"/>
      <c r="BJ33" s="70"/>
      <c r="BK33" s="70"/>
      <c r="BL33" s="70"/>
      <c r="BM33" s="70"/>
      <c r="BN33" s="70"/>
      <c r="BO33" s="70"/>
      <c r="BP33" s="70"/>
      <c r="BQ33" s="70"/>
      <c r="BR33" s="70"/>
      <c r="BS33" s="70"/>
      <c r="BT33" s="70"/>
      <c r="BU33" s="70"/>
      <c r="BV33" s="70"/>
      <c r="BW33" s="70"/>
      <c r="BX33" s="70"/>
      <c r="BY33" s="70"/>
      <c r="BZ33" s="70"/>
      <c r="CA33" s="70"/>
      <c r="CB33" s="70"/>
      <c r="CC33" s="70"/>
      <c r="CD33" s="70"/>
      <c r="CE33" s="70"/>
      <c r="CF33" s="70"/>
      <c r="CG33" s="70"/>
      <c r="CH33" s="70"/>
      <c r="CI33" s="70"/>
      <c r="CJ33" s="70"/>
      <c r="CK33" s="70"/>
      <c r="CL33" s="70"/>
      <c r="CM33" s="70"/>
      <c r="CN33" s="70"/>
      <c r="CO33" s="70"/>
      <c r="CP33" s="70"/>
      <c r="CQ33" s="70"/>
      <c r="CR33" s="70"/>
      <c r="CS33" s="70"/>
      <c r="CT33" s="70"/>
      <c r="CU33" s="70"/>
      <c r="CV33" s="70"/>
      <c r="CW33" s="70"/>
      <c r="CX33" s="70"/>
      <c r="CY33" s="70"/>
      <c r="CZ33" s="70"/>
      <c r="DA33" s="70"/>
      <c r="DB33" s="70"/>
      <c r="DC33" s="70"/>
      <c r="DD33" s="70"/>
      <c r="DE33" s="70"/>
      <c r="DF33" s="70"/>
      <c r="DG33" s="70"/>
    </row>
    <row r="34" spans="1:111" ht="15" customHeight="1" x14ac:dyDescent="0.25">
      <c r="A34" s="46">
        <v>32</v>
      </c>
      <c r="B34" s="17" t="s">
        <v>42</v>
      </c>
      <c r="C34" s="70"/>
      <c r="D34" s="70"/>
      <c r="E34" s="70"/>
      <c r="F34" s="70"/>
      <c r="G34" s="70"/>
      <c r="H34" s="70"/>
      <c r="I34" s="70"/>
      <c r="J34" s="70"/>
      <c r="K34" s="70"/>
      <c r="L34" s="70"/>
      <c r="M34" s="70"/>
      <c r="N34" s="70"/>
      <c r="O34" s="70"/>
      <c r="P34" s="70"/>
      <c r="Q34" s="70"/>
      <c r="R34" s="70"/>
      <c r="S34" s="70"/>
      <c r="T34" s="70"/>
      <c r="U34" s="70"/>
      <c r="V34" s="70"/>
      <c r="W34" s="70"/>
      <c r="X34" s="70"/>
      <c r="Y34" s="70"/>
      <c r="Z34" s="70"/>
      <c r="AA34" s="70"/>
      <c r="AB34" s="70"/>
      <c r="AC34" s="70"/>
      <c r="AD34" s="70"/>
      <c r="AE34" s="70"/>
      <c r="AF34" s="70"/>
      <c r="AG34" s="70"/>
      <c r="AH34" s="70"/>
      <c r="AI34" s="70"/>
      <c r="AJ34" s="70"/>
      <c r="AK34" s="70"/>
      <c r="AL34" s="70"/>
      <c r="AM34" s="70"/>
      <c r="AN34" s="70"/>
      <c r="AO34" s="70"/>
      <c r="AP34" s="70"/>
      <c r="AQ34" s="70"/>
      <c r="AR34" s="70"/>
      <c r="AS34" s="70"/>
      <c r="AT34" s="70"/>
      <c r="AU34" s="70"/>
      <c r="AV34" s="70"/>
      <c r="AW34" s="70"/>
      <c r="AX34" s="70"/>
      <c r="AY34" s="70"/>
      <c r="AZ34" s="70"/>
      <c r="BA34" s="70"/>
      <c r="BB34" s="70"/>
      <c r="BC34" s="70"/>
      <c r="BD34" s="70"/>
      <c r="BE34" s="70"/>
      <c r="BF34" s="70"/>
      <c r="BG34" s="70"/>
      <c r="BH34" s="70"/>
      <c r="BI34" s="70"/>
      <c r="BJ34" s="70"/>
      <c r="BK34" s="70"/>
      <c r="BL34" s="70"/>
      <c r="BM34" s="70"/>
      <c r="BN34" s="70"/>
      <c r="BO34" s="70"/>
      <c r="BP34" s="70"/>
      <c r="BQ34" s="70"/>
      <c r="BR34" s="70"/>
      <c r="BS34" s="70"/>
      <c r="BT34" s="70"/>
      <c r="BU34" s="70"/>
      <c r="BV34" s="70"/>
      <c r="BW34" s="70"/>
      <c r="BX34" s="70"/>
      <c r="BY34" s="70"/>
      <c r="BZ34" s="70"/>
      <c r="CA34" s="70"/>
      <c r="CB34" s="70"/>
      <c r="CC34" s="70"/>
      <c r="CD34" s="70"/>
      <c r="CE34" s="70"/>
      <c r="CF34" s="70"/>
      <c r="CG34" s="70"/>
      <c r="CH34" s="70"/>
      <c r="CI34" s="70"/>
      <c r="CJ34" s="70"/>
      <c r="CK34" s="70"/>
      <c r="CL34" s="70"/>
      <c r="CM34" s="70"/>
      <c r="CN34" s="70"/>
      <c r="CO34" s="70"/>
      <c r="CP34" s="70"/>
      <c r="CQ34" s="70"/>
      <c r="CR34" s="70"/>
      <c r="CS34" s="70"/>
      <c r="CT34" s="70"/>
      <c r="CU34" s="70"/>
      <c r="CV34" s="70"/>
      <c r="CW34" s="70"/>
      <c r="CX34" s="70"/>
      <c r="CY34" s="70"/>
      <c r="CZ34" s="70"/>
      <c r="DA34" s="70"/>
      <c r="DB34" s="70"/>
      <c r="DC34" s="70"/>
      <c r="DD34" s="70"/>
      <c r="DE34" s="70"/>
      <c r="DF34" s="70"/>
      <c r="DG34" s="70"/>
    </row>
    <row r="35" spans="1:111" ht="15" customHeight="1" x14ac:dyDescent="0.25">
      <c r="A35" s="46">
        <v>33</v>
      </c>
      <c r="B35" s="17" t="s">
        <v>43</v>
      </c>
      <c r="C35" s="70"/>
      <c r="D35" s="70"/>
      <c r="E35" s="70"/>
      <c r="F35" s="70"/>
      <c r="G35" s="70"/>
      <c r="H35" s="70"/>
      <c r="I35" s="70"/>
      <c r="J35" s="70"/>
      <c r="K35" s="70"/>
      <c r="L35" s="70"/>
      <c r="M35" s="70"/>
      <c r="N35" s="70"/>
      <c r="O35" s="70"/>
      <c r="P35" s="70"/>
      <c r="Q35" s="70"/>
      <c r="R35" s="70"/>
      <c r="S35" s="70"/>
      <c r="T35" s="70"/>
      <c r="U35" s="70"/>
      <c r="V35" s="70"/>
      <c r="W35" s="70"/>
      <c r="X35" s="70"/>
      <c r="Y35" s="70"/>
      <c r="Z35" s="70"/>
      <c r="AA35" s="70"/>
      <c r="AB35" s="70"/>
      <c r="AC35" s="70"/>
      <c r="AD35" s="70"/>
      <c r="AE35" s="70"/>
      <c r="AF35" s="70"/>
      <c r="AG35" s="70"/>
      <c r="AH35" s="70"/>
      <c r="AI35" s="70"/>
      <c r="AJ35" s="70"/>
      <c r="AK35" s="70"/>
      <c r="AL35" s="70"/>
      <c r="AM35" s="70"/>
      <c r="AN35" s="70"/>
      <c r="AO35" s="70"/>
      <c r="AP35" s="70"/>
      <c r="AQ35" s="70"/>
      <c r="AR35" s="70"/>
      <c r="AS35" s="70"/>
      <c r="AT35" s="70"/>
      <c r="AU35" s="70"/>
      <c r="AV35" s="70"/>
      <c r="AW35" s="70"/>
      <c r="AX35" s="70"/>
      <c r="AY35" s="70"/>
      <c r="AZ35" s="70"/>
      <c r="BA35" s="70"/>
      <c r="BB35" s="70"/>
      <c r="BC35" s="70"/>
      <c r="BD35" s="70"/>
      <c r="BE35" s="70"/>
      <c r="BF35" s="70"/>
      <c r="BG35" s="70"/>
      <c r="BH35" s="70"/>
      <c r="BI35" s="70"/>
      <c r="BJ35" s="70"/>
      <c r="BK35" s="70"/>
      <c r="BL35" s="70"/>
      <c r="BM35" s="70"/>
      <c r="BN35" s="70"/>
      <c r="BO35" s="70"/>
      <c r="BP35" s="70"/>
      <c r="BQ35" s="70"/>
      <c r="BR35" s="70"/>
      <c r="BS35" s="70"/>
      <c r="BT35" s="70"/>
      <c r="BU35" s="70"/>
      <c r="BV35" s="70"/>
      <c r="BW35" s="70"/>
      <c r="BX35" s="70"/>
      <c r="BY35" s="70"/>
      <c r="BZ35" s="70"/>
      <c r="CA35" s="70"/>
      <c r="CB35" s="70"/>
      <c r="CC35" s="70"/>
      <c r="CD35" s="70"/>
      <c r="CE35" s="70"/>
      <c r="CF35" s="70"/>
      <c r="CG35" s="70"/>
      <c r="CH35" s="70"/>
      <c r="CI35" s="70"/>
      <c r="CJ35" s="70"/>
      <c r="CK35" s="70"/>
      <c r="CL35" s="70"/>
      <c r="CM35" s="70"/>
      <c r="CN35" s="70"/>
      <c r="CO35" s="70"/>
      <c r="CP35" s="70"/>
      <c r="CQ35" s="70"/>
      <c r="CR35" s="70"/>
      <c r="CS35" s="70"/>
      <c r="CT35" s="70"/>
      <c r="CU35" s="70"/>
      <c r="CV35" s="70"/>
      <c r="CW35" s="70"/>
      <c r="CX35" s="70"/>
      <c r="CY35" s="70"/>
      <c r="CZ35" s="70"/>
      <c r="DA35" s="70"/>
      <c r="DB35" s="70"/>
      <c r="DC35" s="70"/>
      <c r="DD35" s="70"/>
      <c r="DE35" s="70"/>
      <c r="DF35" s="70"/>
      <c r="DG35" s="70"/>
    </row>
    <row r="36" spans="1:111" ht="15" customHeight="1" x14ac:dyDescent="0.25">
      <c r="A36" s="46">
        <v>34</v>
      </c>
      <c r="B36" s="17" t="s">
        <v>44</v>
      </c>
      <c r="C36" s="70"/>
      <c r="D36" s="70"/>
      <c r="E36" s="70"/>
      <c r="F36" s="70"/>
      <c r="G36" s="70"/>
      <c r="H36" s="70"/>
      <c r="I36" s="70"/>
      <c r="J36" s="70"/>
      <c r="K36" s="70"/>
      <c r="L36" s="70"/>
      <c r="M36" s="70"/>
      <c r="N36" s="70"/>
      <c r="O36" s="70"/>
      <c r="P36" s="70"/>
      <c r="Q36" s="70"/>
      <c r="R36" s="70"/>
      <c r="S36" s="70"/>
      <c r="T36" s="70"/>
      <c r="U36" s="70"/>
      <c r="V36" s="70"/>
      <c r="W36" s="70"/>
      <c r="X36" s="70"/>
      <c r="Y36" s="70"/>
      <c r="Z36" s="70"/>
      <c r="AA36" s="70"/>
      <c r="AB36" s="70"/>
      <c r="AC36" s="70"/>
      <c r="AD36" s="70"/>
      <c r="AE36" s="70"/>
      <c r="AF36" s="70"/>
      <c r="AG36" s="70"/>
      <c r="AH36" s="70"/>
      <c r="AI36" s="70"/>
      <c r="AJ36" s="70"/>
      <c r="AK36" s="70"/>
      <c r="AL36" s="70"/>
      <c r="AM36" s="70"/>
      <c r="AN36" s="70"/>
      <c r="AO36" s="70"/>
      <c r="AP36" s="70"/>
      <c r="AQ36" s="70"/>
      <c r="AR36" s="70"/>
      <c r="AS36" s="70"/>
      <c r="AT36" s="70"/>
      <c r="AU36" s="70"/>
      <c r="AV36" s="70"/>
      <c r="AW36" s="70"/>
      <c r="AX36" s="70"/>
      <c r="AY36" s="70"/>
      <c r="AZ36" s="70"/>
      <c r="BA36" s="70"/>
      <c r="BB36" s="70"/>
      <c r="BC36" s="70"/>
      <c r="BD36" s="70"/>
      <c r="BE36" s="70"/>
      <c r="BF36" s="70"/>
      <c r="BG36" s="70"/>
      <c r="BH36" s="70"/>
      <c r="BI36" s="70"/>
      <c r="BJ36" s="70"/>
      <c r="BK36" s="70"/>
      <c r="BL36" s="70"/>
      <c r="BM36" s="70"/>
      <c r="BN36" s="70"/>
      <c r="BO36" s="70"/>
      <c r="BP36" s="70"/>
      <c r="BQ36" s="70"/>
      <c r="BR36" s="70"/>
      <c r="BS36" s="70"/>
      <c r="BT36" s="70"/>
      <c r="BU36" s="70"/>
      <c r="BV36" s="70"/>
      <c r="BW36" s="70"/>
      <c r="BX36" s="70"/>
      <c r="BY36" s="70"/>
      <c r="BZ36" s="70"/>
      <c r="CA36" s="70"/>
      <c r="CB36" s="70"/>
      <c r="CC36" s="70"/>
      <c r="CD36" s="70"/>
      <c r="CE36" s="70"/>
      <c r="CF36" s="70"/>
      <c r="CG36" s="70"/>
      <c r="CH36" s="70"/>
      <c r="CI36" s="70"/>
      <c r="CJ36" s="70"/>
      <c r="CK36" s="70"/>
      <c r="CL36" s="70"/>
      <c r="CM36" s="70"/>
      <c r="CN36" s="70"/>
      <c r="CO36" s="70"/>
      <c r="CP36" s="70"/>
      <c r="CQ36" s="70"/>
      <c r="CR36" s="70"/>
      <c r="CS36" s="70"/>
      <c r="CT36" s="70"/>
      <c r="CU36" s="70"/>
      <c r="CV36" s="70"/>
      <c r="CW36" s="70"/>
      <c r="CX36" s="70"/>
      <c r="CY36" s="70"/>
      <c r="CZ36" s="70"/>
      <c r="DA36" s="70"/>
      <c r="DB36" s="70"/>
      <c r="DC36" s="70"/>
      <c r="DD36" s="70"/>
      <c r="DE36" s="70"/>
      <c r="DF36" s="70"/>
      <c r="DG36" s="70"/>
    </row>
    <row r="37" spans="1:111" ht="15" customHeight="1" x14ac:dyDescent="0.25">
      <c r="A37" s="46">
        <v>35</v>
      </c>
      <c r="B37" s="17" t="s">
        <v>45</v>
      </c>
      <c r="C37" s="70"/>
      <c r="D37" s="70"/>
      <c r="E37" s="70"/>
      <c r="F37" s="70"/>
      <c r="G37" s="70"/>
      <c r="H37" s="70"/>
      <c r="I37" s="70"/>
      <c r="J37" s="70"/>
      <c r="K37" s="70"/>
      <c r="L37" s="70"/>
      <c r="M37" s="70"/>
      <c r="N37" s="70"/>
      <c r="O37" s="70"/>
      <c r="P37" s="70"/>
      <c r="Q37" s="70"/>
      <c r="R37" s="70"/>
      <c r="S37" s="70"/>
      <c r="T37" s="70"/>
      <c r="U37" s="70"/>
      <c r="V37" s="70"/>
      <c r="W37" s="70"/>
      <c r="X37" s="70"/>
      <c r="Y37" s="70"/>
      <c r="Z37" s="70"/>
      <c r="AA37" s="70"/>
      <c r="AB37" s="70"/>
      <c r="AC37" s="70"/>
      <c r="AD37" s="70"/>
      <c r="AE37" s="70"/>
      <c r="AF37" s="70"/>
      <c r="AG37" s="70"/>
      <c r="AH37" s="70"/>
      <c r="AI37" s="70"/>
      <c r="AJ37" s="70"/>
      <c r="AK37" s="70"/>
      <c r="AL37" s="70"/>
      <c r="AM37" s="70"/>
      <c r="AN37" s="70"/>
      <c r="AO37" s="70"/>
      <c r="AP37" s="70"/>
      <c r="AQ37" s="70"/>
      <c r="AR37" s="70"/>
      <c r="AS37" s="70"/>
      <c r="AT37" s="70"/>
      <c r="AU37" s="70"/>
      <c r="AV37" s="70"/>
      <c r="AW37" s="70"/>
      <c r="AX37" s="70"/>
      <c r="AY37" s="70"/>
      <c r="AZ37" s="70"/>
      <c r="BA37" s="70"/>
      <c r="BB37" s="70"/>
      <c r="BC37" s="70"/>
      <c r="BD37" s="70"/>
      <c r="BE37" s="70"/>
      <c r="BF37" s="70"/>
      <c r="BG37" s="70"/>
      <c r="BH37" s="70"/>
      <c r="BI37" s="70"/>
      <c r="BJ37" s="70"/>
      <c r="BK37" s="70"/>
      <c r="BL37" s="70"/>
      <c r="BM37" s="70"/>
      <c r="BN37" s="70"/>
      <c r="BO37" s="70"/>
      <c r="BP37" s="70"/>
      <c r="BQ37" s="70"/>
      <c r="BR37" s="70"/>
      <c r="BS37" s="70"/>
      <c r="BT37" s="70"/>
      <c r="BU37" s="70"/>
      <c r="BV37" s="70"/>
      <c r="BW37" s="70"/>
      <c r="BX37" s="70"/>
      <c r="BY37" s="70"/>
      <c r="BZ37" s="70"/>
      <c r="CA37" s="70"/>
      <c r="CB37" s="70"/>
      <c r="CC37" s="70"/>
      <c r="CD37" s="70"/>
      <c r="CE37" s="70"/>
      <c r="CF37" s="70"/>
      <c r="CG37" s="70"/>
      <c r="CH37" s="70"/>
      <c r="CI37" s="70"/>
      <c r="CJ37" s="70"/>
      <c r="CK37" s="70"/>
      <c r="CL37" s="70"/>
      <c r="CM37" s="70"/>
      <c r="CN37" s="70"/>
      <c r="CO37" s="70"/>
      <c r="CP37" s="70"/>
      <c r="CQ37" s="70"/>
      <c r="CR37" s="70"/>
      <c r="CS37" s="70"/>
      <c r="CT37" s="70"/>
      <c r="CU37" s="70"/>
      <c r="CV37" s="70"/>
      <c r="CW37" s="70"/>
      <c r="CX37" s="70"/>
      <c r="CY37" s="70"/>
      <c r="CZ37" s="70"/>
      <c r="DA37" s="70"/>
      <c r="DB37" s="70"/>
      <c r="DC37" s="70"/>
      <c r="DD37" s="70"/>
      <c r="DE37" s="70"/>
      <c r="DF37" s="70"/>
      <c r="DG37" s="70"/>
    </row>
    <row r="38" spans="1:111" ht="15" customHeight="1" x14ac:dyDescent="0.25">
      <c r="A38" s="46">
        <v>36</v>
      </c>
      <c r="B38" s="17" t="s">
        <v>46</v>
      </c>
      <c r="C38" s="70"/>
      <c r="D38" s="70"/>
      <c r="E38" s="70"/>
      <c r="F38" s="70"/>
      <c r="G38" s="70"/>
      <c r="H38" s="70"/>
      <c r="I38" s="70"/>
      <c r="J38" s="70"/>
      <c r="K38" s="70"/>
      <c r="L38" s="70"/>
      <c r="M38" s="70"/>
      <c r="N38" s="70"/>
      <c r="O38" s="70"/>
      <c r="P38" s="70"/>
      <c r="Q38" s="70"/>
      <c r="R38" s="70"/>
      <c r="S38" s="70"/>
      <c r="T38" s="70"/>
      <c r="U38" s="70"/>
      <c r="V38" s="70"/>
      <c r="W38" s="70"/>
      <c r="X38" s="70"/>
      <c r="Y38" s="70"/>
      <c r="Z38" s="70"/>
      <c r="AA38" s="70"/>
      <c r="AB38" s="70"/>
      <c r="AC38" s="70"/>
      <c r="AD38" s="70"/>
      <c r="AE38" s="70"/>
      <c r="AF38" s="70"/>
      <c r="AG38" s="70"/>
      <c r="AH38" s="70"/>
      <c r="AI38" s="70"/>
      <c r="AJ38" s="70"/>
      <c r="AK38" s="70"/>
      <c r="AL38" s="70"/>
      <c r="AM38" s="70"/>
      <c r="AN38" s="70"/>
      <c r="AO38" s="70"/>
      <c r="AP38" s="70"/>
      <c r="AQ38" s="70"/>
      <c r="AR38" s="70"/>
      <c r="AS38" s="70"/>
      <c r="AT38" s="70"/>
      <c r="AU38" s="70"/>
      <c r="AV38" s="70"/>
      <c r="AW38" s="70"/>
      <c r="AX38" s="70"/>
      <c r="AY38" s="70"/>
      <c r="AZ38" s="70"/>
      <c r="BA38" s="70"/>
      <c r="BB38" s="70"/>
      <c r="BC38" s="70"/>
      <c r="BD38" s="70"/>
      <c r="BE38" s="70"/>
      <c r="BF38" s="70"/>
      <c r="BG38" s="70"/>
      <c r="BH38" s="70"/>
      <c r="BI38" s="70"/>
      <c r="BJ38" s="70"/>
      <c r="BK38" s="70"/>
      <c r="BL38" s="70"/>
      <c r="BM38" s="70"/>
      <c r="BN38" s="70"/>
      <c r="BO38" s="70"/>
      <c r="BP38" s="70"/>
      <c r="BQ38" s="70"/>
      <c r="BR38" s="70"/>
      <c r="BS38" s="70"/>
      <c r="BT38" s="70"/>
      <c r="BU38" s="70"/>
      <c r="BV38" s="70"/>
      <c r="BW38" s="70"/>
      <c r="BX38" s="70"/>
      <c r="BY38" s="70"/>
      <c r="BZ38" s="70"/>
      <c r="CA38" s="70"/>
      <c r="CB38" s="70"/>
      <c r="CC38" s="70"/>
      <c r="CD38" s="70"/>
      <c r="CE38" s="70"/>
      <c r="CF38" s="70"/>
      <c r="CG38" s="70"/>
      <c r="CH38" s="70"/>
      <c r="CI38" s="70"/>
      <c r="CJ38" s="70"/>
      <c r="CK38" s="70"/>
      <c r="CL38" s="70"/>
      <c r="CM38" s="70"/>
      <c r="CN38" s="70"/>
      <c r="CO38" s="70"/>
      <c r="CP38" s="70"/>
      <c r="CQ38" s="70"/>
      <c r="CR38" s="70"/>
      <c r="CS38" s="70"/>
      <c r="CT38" s="70"/>
      <c r="CU38" s="70"/>
      <c r="CV38" s="70"/>
      <c r="CW38" s="70"/>
      <c r="CX38" s="70"/>
      <c r="CY38" s="70"/>
      <c r="CZ38" s="70"/>
      <c r="DA38" s="70"/>
      <c r="DB38" s="70"/>
      <c r="DC38" s="70"/>
      <c r="DD38" s="70"/>
      <c r="DE38" s="70"/>
      <c r="DF38" s="70"/>
      <c r="DG38" s="70"/>
    </row>
    <row r="39" spans="1:111" ht="15" customHeight="1" thickBot="1" x14ac:dyDescent="0.3">
      <c r="A39" s="44">
        <v>37</v>
      </c>
      <c r="B39" s="15" t="s">
        <v>47</v>
      </c>
      <c r="C39" s="68"/>
      <c r="D39" s="68"/>
      <c r="E39" s="68"/>
      <c r="F39" s="68"/>
      <c r="G39" s="68"/>
      <c r="H39" s="68"/>
      <c r="I39" s="68"/>
      <c r="J39" s="68"/>
      <c r="K39" s="68"/>
      <c r="L39" s="68"/>
      <c r="M39" s="68"/>
      <c r="N39" s="68"/>
      <c r="O39" s="68"/>
      <c r="P39" s="68"/>
      <c r="Q39" s="68"/>
      <c r="R39" s="68"/>
      <c r="S39" s="68"/>
      <c r="T39" s="68"/>
      <c r="U39" s="68"/>
      <c r="V39" s="68"/>
      <c r="W39" s="68"/>
      <c r="X39" s="68"/>
      <c r="Y39" s="68"/>
      <c r="Z39" s="68"/>
      <c r="AA39" s="68"/>
      <c r="AB39" s="68"/>
      <c r="AC39" s="68"/>
      <c r="AD39" s="68"/>
      <c r="AE39" s="68"/>
      <c r="AF39" s="68"/>
      <c r="AG39" s="68"/>
      <c r="AH39" s="68"/>
      <c r="AI39" s="68"/>
      <c r="AJ39" s="68"/>
      <c r="AK39" s="68"/>
      <c r="AL39" s="68"/>
      <c r="AM39" s="68"/>
      <c r="AN39" s="68"/>
      <c r="AO39" s="68"/>
      <c r="AP39" s="68"/>
      <c r="AQ39" s="68"/>
      <c r="AR39" s="68"/>
      <c r="AS39" s="68"/>
      <c r="AT39" s="68"/>
      <c r="AU39" s="68"/>
      <c r="AV39" s="68"/>
      <c r="AW39" s="68"/>
      <c r="AX39" s="68"/>
      <c r="AY39" s="68"/>
      <c r="AZ39" s="68"/>
      <c r="BA39" s="68"/>
      <c r="BB39" s="68"/>
      <c r="BC39" s="68"/>
      <c r="BD39" s="68"/>
      <c r="BE39" s="68"/>
      <c r="BF39" s="68"/>
      <c r="BG39" s="68"/>
      <c r="BH39" s="68"/>
      <c r="BI39" s="68"/>
      <c r="BJ39" s="68"/>
      <c r="BK39" s="68"/>
      <c r="BL39" s="68"/>
      <c r="BM39" s="68"/>
      <c r="BN39" s="68"/>
      <c r="BO39" s="68"/>
      <c r="BP39" s="68"/>
      <c r="BQ39" s="68"/>
      <c r="BR39" s="68"/>
      <c r="BS39" s="68"/>
      <c r="BT39" s="68"/>
      <c r="BU39" s="68"/>
      <c r="BV39" s="68"/>
      <c r="BW39" s="68"/>
      <c r="BX39" s="68"/>
      <c r="BY39" s="68"/>
      <c r="BZ39" s="68"/>
      <c r="CA39" s="68"/>
      <c r="CB39" s="68"/>
      <c r="CC39" s="68"/>
      <c r="CD39" s="68"/>
      <c r="CE39" s="68"/>
      <c r="CF39" s="68"/>
      <c r="CG39" s="68"/>
      <c r="CH39" s="68"/>
      <c r="CI39" s="68"/>
      <c r="CJ39" s="68"/>
      <c r="CK39" s="68"/>
      <c r="CL39" s="68"/>
      <c r="CM39" s="68"/>
      <c r="CN39" s="68"/>
      <c r="CO39" s="68"/>
      <c r="CP39" s="68"/>
      <c r="CQ39" s="68"/>
      <c r="CR39" s="68"/>
      <c r="CS39" s="68"/>
      <c r="CT39" s="68"/>
      <c r="CU39" s="68"/>
      <c r="CV39" s="68"/>
      <c r="CW39" s="68"/>
      <c r="CX39" s="68"/>
      <c r="CY39" s="68"/>
      <c r="CZ39" s="68"/>
      <c r="DA39" s="68"/>
      <c r="DB39" s="68"/>
      <c r="DC39" s="68"/>
      <c r="DD39" s="68"/>
      <c r="DE39" s="68"/>
      <c r="DF39" s="68"/>
      <c r="DG39" s="68"/>
    </row>
    <row r="40" spans="1:111" ht="15" customHeight="1" thickBot="1" x14ac:dyDescent="0.3">
      <c r="A40" s="40" t="s">
        <v>48</v>
      </c>
      <c r="B40" s="9" t="s">
        <v>49</v>
      </c>
      <c r="C40" s="64" t="e">
        <f>+'Partidos de GBA'!C39+'Capital Federal'!C39+'Resto de Buenos Aires'!C39+Catamarca!C39+Cordoba!C39+Corrientes!C39+Chaco!C39+Chubut!C39+'Entre Rios'!C39+Formosa!C39+Jujuy!C39+'La Pampa'!C39+'La Rioja'!C39+Mendoza!C39+Misiones!C39+Neuquen!C39+'Rio Negro'!C39+Salta!C39+'San Juan'!C39+'San Luis'!C39+'Santa Cruz'!C39+'Santa Fe'!C39+'Santiago del Estero'!C39+Tucuman!C39+'Tierra del Fuego'!C39</f>
        <v>#VALUE!</v>
      </c>
      <c r="D40" s="64" t="e">
        <f>+'Partidos de GBA'!D39+'Capital Federal'!D39+'Resto de Buenos Aires'!D39+Catamarca!D39+Cordoba!D39+Corrientes!D39+Chaco!D39+Chubut!D39+'Entre Rios'!D39+Formosa!D39+Jujuy!D39+'La Pampa'!D39+'La Rioja'!D39+Mendoza!D39+Misiones!D39+Neuquen!D39+'Rio Negro'!D39+Salta!D39+'San Juan'!D39+'San Luis'!D39+'Santa Cruz'!D39+'Santa Fe'!D39+'Santiago del Estero'!D39+Tucuman!D39+'Tierra del Fuego'!D39</f>
        <v>#VALUE!</v>
      </c>
      <c r="E40" s="64">
        <f>+'Partidos de GBA'!E39+'Capital Federal'!E39+'Resto de Buenos Aires'!E39+Catamarca!E39+Cordoba!E39+Corrientes!E39+Chaco!E39+Chubut!E39+'Entre Rios'!E39+Formosa!E39+Jujuy!E39+'La Pampa'!E39+'La Rioja'!E39+Mendoza!E39+Misiones!E39+Neuquen!E39+'Rio Negro'!E39+Salta!E39+'San Juan'!E39+'San Luis'!E39+'Santa Cruz'!E39+'Santa Fe'!E39+'Santiago del Estero'!E39+Tucuman!E39+'Tierra del Fuego'!E39</f>
        <v>1208</v>
      </c>
      <c r="F40" s="64" t="e">
        <f>+'Partidos de GBA'!F39+'Capital Federal'!F39+'Resto de Buenos Aires'!F39+Catamarca!F39+Cordoba!F39+Corrientes!F39+Chaco!F39+Chubut!F39+'Entre Rios'!F39+Formosa!F39+Jujuy!F39+'La Pampa'!F39+'La Rioja'!F39+Mendoza!F39+Misiones!F39+Neuquen!F39+'Rio Negro'!F39+Salta!F39+'San Juan'!F39+'San Luis'!F39+'Santa Cruz'!F39+'Santa Fe'!F39+'Santiago del Estero'!F39+Tucuman!F39+'Tierra del Fuego'!F39</f>
        <v>#VALUE!</v>
      </c>
      <c r="G40" s="64" t="e">
        <f>+'Partidos de GBA'!G39+'Capital Federal'!G39+'Resto de Buenos Aires'!G39+Catamarca!G39+Cordoba!G39+Corrientes!G39+Chaco!G39+Chubut!G39+'Entre Rios'!G39+Formosa!G39+Jujuy!G39+'La Pampa'!G39+'La Rioja'!G39+Mendoza!G39+Misiones!G39+Neuquen!G39+'Rio Negro'!G39+Salta!G39+'San Juan'!G39+'San Luis'!G39+'Santa Cruz'!G39+'Santa Fe'!G39+'Santiago del Estero'!G39+Tucuman!G39+'Tierra del Fuego'!G39</f>
        <v>#VALUE!</v>
      </c>
      <c r="H40" s="64" t="e">
        <f>+'Partidos de GBA'!H39+'Capital Federal'!H39+'Resto de Buenos Aires'!H39+Catamarca!H39+Cordoba!H39+Corrientes!H39+Chaco!H39+Chubut!H39+'Entre Rios'!H39+Formosa!H39+Jujuy!H39+'La Pampa'!H39+'La Rioja'!H39+Mendoza!H39+Misiones!H39+Neuquen!H39+'Rio Negro'!H39+Salta!H39+'San Juan'!H39+'San Luis'!H39+'Santa Cruz'!H39+'Santa Fe'!H39+'Santiago del Estero'!H39+Tucuman!H39+'Tierra del Fuego'!H39</f>
        <v>#VALUE!</v>
      </c>
      <c r="I40" s="64" t="e">
        <f>+'Partidos de GBA'!I39+'Capital Federal'!I39+'Resto de Buenos Aires'!I39+Catamarca!I39+Cordoba!I39+Corrientes!I39+Chaco!I39+Chubut!I39+'Entre Rios'!I39+Formosa!I39+Jujuy!I39+'La Pampa'!I39+'La Rioja'!I39+Mendoza!I39+Misiones!I39+Neuquen!I39+'Rio Negro'!I39+Salta!I39+'San Juan'!I39+'San Luis'!I39+'Santa Cruz'!I39+'Santa Fe'!I39+'Santiago del Estero'!I39+Tucuman!I39+'Tierra del Fuego'!I39</f>
        <v>#VALUE!</v>
      </c>
      <c r="J40" s="64" t="e">
        <f>+'Partidos de GBA'!J39+'Capital Federal'!J39+'Resto de Buenos Aires'!J39+Catamarca!J39+Cordoba!J39+Corrientes!J39+Chaco!J39+Chubut!J39+'Entre Rios'!J39+Formosa!J39+Jujuy!J39+'La Pampa'!J39+'La Rioja'!J39+Mendoza!J39+Misiones!J39+Neuquen!J39+'Rio Negro'!J39+Salta!J39+'San Juan'!J39+'San Luis'!J39+'Santa Cruz'!J39+'Santa Fe'!J39+'Santiago del Estero'!J39+Tucuman!J39+'Tierra del Fuego'!J39</f>
        <v>#VALUE!</v>
      </c>
      <c r="K40" s="64" t="e">
        <f>+'Partidos de GBA'!K39+'Capital Federal'!K39+'Resto de Buenos Aires'!K39+Catamarca!K39+Cordoba!K39+Corrientes!K39+Chaco!K39+Chubut!K39+'Entre Rios'!K39+Formosa!K39+Jujuy!K39+'La Pampa'!K39+'La Rioja'!K39+Mendoza!K39+Misiones!K39+Neuquen!K39+'Rio Negro'!K39+Salta!K39+'San Juan'!K39+'San Luis'!K39+'Santa Cruz'!K39+'Santa Fe'!K39+'Santiago del Estero'!K39+Tucuman!K39+'Tierra del Fuego'!K39</f>
        <v>#VALUE!</v>
      </c>
      <c r="L40" s="64" t="e">
        <f>+'Partidos de GBA'!L39+'Capital Federal'!L39+'Resto de Buenos Aires'!L39+Catamarca!L39+Cordoba!L39+Corrientes!L39+Chaco!L39+Chubut!L39+'Entre Rios'!L39+Formosa!L39+Jujuy!L39+'La Pampa'!L39+'La Rioja'!L39+Mendoza!L39+Misiones!L39+Neuquen!L39+'Rio Negro'!L39+Salta!L39+'San Juan'!L39+'San Luis'!L39+'Santa Cruz'!L39+'Santa Fe'!L39+'Santiago del Estero'!L39+Tucuman!L39+'Tierra del Fuego'!L39</f>
        <v>#VALUE!</v>
      </c>
      <c r="M40" s="64" t="e">
        <f>+'Partidos de GBA'!M39+'Capital Federal'!M39+'Resto de Buenos Aires'!M39+Catamarca!M39+Cordoba!M39+Corrientes!M39+Chaco!M39+Chubut!M39+'Entre Rios'!M39+Formosa!M39+Jujuy!M39+'La Pampa'!M39+'La Rioja'!M39+Mendoza!M39+Misiones!M39+Neuquen!M39+'Rio Negro'!M39+Salta!M39+'San Juan'!M39+'San Luis'!M39+'Santa Cruz'!M39+'Santa Fe'!M39+'Santiago del Estero'!M39+Tucuman!M39+'Tierra del Fuego'!M39</f>
        <v>#VALUE!</v>
      </c>
      <c r="N40" s="64" t="e">
        <f>+'Partidos de GBA'!N39+'Capital Federal'!N39+'Resto de Buenos Aires'!N39+Catamarca!N39+Cordoba!N39+Corrientes!N39+Chaco!N39+Chubut!N39+'Entre Rios'!N39+Formosa!N39+Jujuy!N39+'La Pampa'!N39+'La Rioja'!N39+Mendoza!N39+Misiones!N39+Neuquen!N39+'Rio Negro'!N39+Salta!N39+'San Juan'!N39+'San Luis'!N39+'Santa Cruz'!N39+'Santa Fe'!N39+'Santiago del Estero'!N39+Tucuman!N39+'Tierra del Fuego'!N39</f>
        <v>#VALUE!</v>
      </c>
      <c r="O40" s="64" t="e">
        <f>+'Partidos de GBA'!O39+'Capital Federal'!O39+'Resto de Buenos Aires'!O39+Catamarca!O39+Cordoba!O39+Corrientes!O39+Chaco!O39+Chubut!O39+'Entre Rios'!O39+Formosa!O39+Jujuy!O39+'La Pampa'!O39+'La Rioja'!O39+Mendoza!O39+Misiones!O39+Neuquen!O39+'Rio Negro'!O39+Salta!O39+'San Juan'!O39+'San Luis'!O39+'Santa Cruz'!O39+'Santa Fe'!O39+'Santiago del Estero'!O39+Tucuman!O39+'Tierra del Fuego'!O39</f>
        <v>#VALUE!</v>
      </c>
      <c r="P40" s="64">
        <f>+'Partidos de GBA'!P39+'Capital Federal'!P39+'Resto de Buenos Aires'!P39+Catamarca!P39+Cordoba!P39+Corrientes!P39+Chaco!P39+Chubut!P39+'Entre Rios'!P39+Formosa!P39+Jujuy!P39+'La Pampa'!P39+'La Rioja'!P39+Mendoza!P39+Misiones!P39+Neuquen!P39+'Rio Negro'!P39+Salta!P39+'San Juan'!P39+'San Luis'!P39+'Santa Cruz'!P39+'Santa Fe'!P39+'Santiago del Estero'!P39+Tucuman!P39+'Tierra del Fuego'!P39</f>
        <v>1268</v>
      </c>
      <c r="Q40" s="64">
        <f>+'Partidos de GBA'!W39+'Capital Federal'!W39+'Resto de Buenos Aires'!W39+Catamarca!W39+Cordoba!W39+Corrientes!W39+Chaco!W39+Chubut!W39+'Entre Rios'!W39+Formosa!W39+Jujuy!W39+'La Pampa'!W39+'La Rioja'!W39+Mendoza!W39+Misiones!W39+Neuquen!W39+'Rio Negro'!W39+Salta!W39+'San Juan'!W39+'San Luis'!W39+'Santa Cruz'!W39+'Santa Fe'!W39+'Santiago del Estero'!W39+Tucuman!W39+'Tierra del Fuego'!W39</f>
        <v>1326</v>
      </c>
      <c r="R40" s="64">
        <f>+'Partidos de GBA'!X39+'Capital Federal'!X39+'Resto de Buenos Aires'!X39+Catamarca!X39+Cordoba!X39+Corrientes!X39+Chaco!X39+Chubut!X39+'Entre Rios'!X39+Formosa!X39+Jujuy!X39+'La Pampa'!X39+'La Rioja'!X39+Mendoza!X39+Misiones!X39+Neuquen!X39+'Rio Negro'!X39+Salta!X39+'San Juan'!X39+'San Luis'!X39+'Santa Cruz'!X39+'Santa Fe'!X39+'Santiago del Estero'!X39+Tucuman!X39+'Tierra del Fuego'!X39</f>
        <v>1343</v>
      </c>
      <c r="S40"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T40"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U40"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V40"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W40"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X40"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Y40"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Z40"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A40"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B40"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C40"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D40"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E40"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F40"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G40"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H40"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I40"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J40"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K40"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L40"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M40"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N40"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O40"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P40"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Q40"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R40"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S40"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T40"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U40"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V40"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W40"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X40"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Y40"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Z40"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A40"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B40"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C40"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D40"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E40"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F40"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G40"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H40"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I40"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J40"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K40"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L40"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M40"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N40"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O40"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P40"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Q40"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R40"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S40"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T40"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U40"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V40"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W40"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X40"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Y40"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Z40"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A40"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B40"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C40"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D40"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E40"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F40"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G40"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H40"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I40"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J40"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K40"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L40"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M40"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N40"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O40"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P40"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Q40"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R40"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S40"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T40"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U40"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V40"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W40"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X40"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Y40"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Z40"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DA40"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DB40"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DC40"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DD40"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DE40"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DF40" s="64">
        <f>+'Partidos de GBA'!Y39+'Capital Federal'!Y39+'Resto de Buenos Aires'!Y39+Catamarca!Y39+Cordoba!Y39+Corrientes!Y39+Chaco!Y39+Chubut!Y39+'Entre Rios'!Y39+Formosa!Y39+Jujuy!Y39+'La Pampa'!Y39+'La Rioja'!Y39+Mendoza!Y39+Misiones!Y39+Neuquen!Y39+'Rio Negro'!Y39+Salta!Y39+'San Juan'!Y39+'San Luis'!Y39+'Santa Cruz'!Y39+'Santa Fe'!Y39+'Santiago del Estero'!Y39+Tucuman!Y39+'Tierra del Fuego'!Y39</f>
        <v>1346</v>
      </c>
      <c r="DG40" s="64">
        <f>+'Partidos de GBA'!AE39+'Capital Federal'!AE39+'Resto de Buenos Aires'!AE39+Catamarca!AE39+Cordoba!AE39+Corrientes!AE39+Chaco!AE39+Chubut!AE39+'Entre Rios'!AE39+Formosa!AE39+Jujuy!AE39+'La Pampa'!AE39+'La Rioja'!AE39+Mendoza!AE39+Misiones!AE39+Neuquen!AE39+'Rio Negro'!AE39+Salta!AE39+'San Juan'!AE39+'San Luis'!AE39+'Santa Cruz'!AE39+'Santa Fe'!AE39+'Santiago del Estero'!AE39+Tucuman!AE39+'Tierra del Fuego'!AE39</f>
        <v>1408</v>
      </c>
    </row>
    <row r="41" spans="1:111" ht="15" customHeight="1" x14ac:dyDescent="0.25">
      <c r="A41" s="41">
        <v>40</v>
      </c>
      <c r="B41" s="12" t="s">
        <v>50</v>
      </c>
      <c r="C41" s="65"/>
      <c r="D41" s="65"/>
      <c r="E41" s="65"/>
      <c r="F41" s="65"/>
      <c r="G41" s="65"/>
      <c r="H41" s="65"/>
      <c r="I41" s="65"/>
      <c r="J41" s="65"/>
      <c r="K41" s="65"/>
      <c r="L41" s="65"/>
      <c r="M41" s="65"/>
      <c r="N41" s="65"/>
      <c r="O41" s="65"/>
      <c r="P41" s="65"/>
      <c r="Q41" s="65"/>
      <c r="R41" s="65"/>
      <c r="S41" s="65"/>
      <c r="T41" s="65"/>
      <c r="U41" s="65"/>
      <c r="V41" s="65"/>
      <c r="W41" s="65"/>
      <c r="X41" s="65"/>
      <c r="Y41" s="65"/>
      <c r="Z41" s="65"/>
      <c r="AA41" s="65"/>
      <c r="AB41" s="65"/>
      <c r="AC41" s="65"/>
      <c r="AD41" s="65"/>
      <c r="AE41" s="65"/>
      <c r="AF41" s="65"/>
      <c r="AG41" s="65"/>
      <c r="AH41" s="65"/>
      <c r="AI41" s="65"/>
      <c r="AJ41" s="65"/>
      <c r="AK41" s="65"/>
      <c r="AL41" s="65"/>
      <c r="AM41" s="65"/>
      <c r="AN41" s="65"/>
      <c r="AO41" s="65"/>
      <c r="AP41" s="65"/>
      <c r="AQ41" s="65"/>
      <c r="AR41" s="65"/>
      <c r="AS41" s="65"/>
      <c r="AT41" s="65"/>
      <c r="AU41" s="65"/>
      <c r="AV41" s="65"/>
      <c r="AW41" s="65"/>
      <c r="AX41" s="65"/>
      <c r="AY41" s="65"/>
      <c r="AZ41" s="65"/>
      <c r="BA41" s="65"/>
      <c r="BB41" s="65"/>
      <c r="BC41" s="65"/>
      <c r="BD41" s="65"/>
      <c r="BE41" s="65"/>
      <c r="BF41" s="65"/>
      <c r="BG41" s="65"/>
      <c r="BH41" s="65"/>
      <c r="BI41" s="65"/>
      <c r="BJ41" s="65"/>
      <c r="BK41" s="65"/>
      <c r="BL41" s="65"/>
      <c r="BM41" s="65"/>
      <c r="BN41" s="65"/>
      <c r="BO41" s="65"/>
      <c r="BP41" s="65"/>
      <c r="BQ41" s="65"/>
      <c r="BR41" s="65"/>
      <c r="BS41" s="65"/>
      <c r="BT41" s="65"/>
      <c r="BU41" s="65"/>
      <c r="BV41" s="65"/>
      <c r="BW41" s="65"/>
      <c r="BX41" s="65"/>
      <c r="BY41" s="65"/>
      <c r="BZ41" s="65"/>
      <c r="CA41" s="65"/>
      <c r="CB41" s="65"/>
      <c r="CC41" s="65"/>
      <c r="CD41" s="65"/>
      <c r="CE41" s="65"/>
      <c r="CF41" s="65"/>
      <c r="CG41" s="65"/>
      <c r="CH41" s="65"/>
      <c r="CI41" s="65"/>
      <c r="CJ41" s="65"/>
      <c r="CK41" s="65"/>
      <c r="CL41" s="65"/>
      <c r="CM41" s="65"/>
      <c r="CN41" s="65"/>
      <c r="CO41" s="65"/>
      <c r="CP41" s="65"/>
      <c r="CQ41" s="65"/>
      <c r="CR41" s="65"/>
      <c r="CS41" s="65"/>
      <c r="CT41" s="65"/>
      <c r="CU41" s="65"/>
      <c r="CV41" s="65"/>
      <c r="CW41" s="65"/>
      <c r="CX41" s="65"/>
      <c r="CY41" s="65"/>
      <c r="CZ41" s="65"/>
      <c r="DA41" s="65"/>
      <c r="DB41" s="65"/>
      <c r="DC41" s="65"/>
      <c r="DD41" s="65"/>
      <c r="DE41" s="65"/>
      <c r="DF41" s="65"/>
      <c r="DG41" s="65"/>
    </row>
    <row r="42" spans="1:111" ht="15" customHeight="1" thickBot="1" x14ac:dyDescent="0.3">
      <c r="A42" s="47">
        <v>41</v>
      </c>
      <c r="B42" s="18" t="s">
        <v>51</v>
      </c>
      <c r="C42" s="71"/>
      <c r="D42" s="71"/>
      <c r="E42" s="71"/>
      <c r="F42" s="71"/>
      <c r="G42" s="71"/>
      <c r="H42" s="71"/>
      <c r="I42" s="71"/>
      <c r="J42" s="71"/>
      <c r="K42" s="71"/>
      <c r="L42" s="71"/>
      <c r="M42" s="71"/>
      <c r="N42" s="71"/>
      <c r="O42" s="71"/>
      <c r="P42" s="71"/>
      <c r="Q42" s="71"/>
      <c r="R42" s="71"/>
      <c r="S42" s="71"/>
      <c r="T42" s="71"/>
      <c r="U42" s="71"/>
      <c r="V42" s="71"/>
      <c r="W42" s="71"/>
      <c r="X42" s="71"/>
      <c r="Y42" s="71"/>
      <c r="Z42" s="71"/>
      <c r="AA42" s="71"/>
      <c r="AB42" s="71"/>
      <c r="AC42" s="71"/>
      <c r="AD42" s="71"/>
      <c r="AE42" s="71"/>
      <c r="AF42" s="71"/>
      <c r="AG42" s="71"/>
      <c r="AH42" s="71"/>
      <c r="AI42" s="71"/>
      <c r="AJ42" s="71"/>
      <c r="AK42" s="71"/>
      <c r="AL42" s="71"/>
      <c r="AM42" s="71"/>
      <c r="AN42" s="71"/>
      <c r="AO42" s="71"/>
      <c r="AP42" s="71"/>
      <c r="AQ42" s="71"/>
      <c r="AR42" s="71"/>
      <c r="AS42" s="71"/>
      <c r="AT42" s="71"/>
      <c r="AU42" s="71"/>
      <c r="AV42" s="71"/>
      <c r="AW42" s="71"/>
      <c r="AX42" s="71"/>
      <c r="AY42" s="71"/>
      <c r="AZ42" s="71"/>
      <c r="BA42" s="71"/>
      <c r="BB42" s="71"/>
      <c r="BC42" s="71"/>
      <c r="BD42" s="71"/>
      <c r="BE42" s="71"/>
      <c r="BF42" s="71"/>
      <c r="BG42" s="71"/>
      <c r="BH42" s="71"/>
      <c r="BI42" s="71"/>
      <c r="BJ42" s="71"/>
      <c r="BK42" s="71"/>
      <c r="BL42" s="71"/>
      <c r="BM42" s="71"/>
      <c r="BN42" s="71"/>
      <c r="BO42" s="71"/>
      <c r="BP42" s="71"/>
      <c r="BQ42" s="71"/>
      <c r="BR42" s="71"/>
      <c r="BS42" s="71"/>
      <c r="BT42" s="71"/>
      <c r="BU42" s="71"/>
      <c r="BV42" s="71"/>
      <c r="BW42" s="71"/>
      <c r="BX42" s="71"/>
      <c r="BY42" s="71"/>
      <c r="BZ42" s="71"/>
      <c r="CA42" s="71"/>
      <c r="CB42" s="71"/>
      <c r="CC42" s="71"/>
      <c r="CD42" s="71"/>
      <c r="CE42" s="71"/>
      <c r="CF42" s="71"/>
      <c r="CG42" s="71"/>
      <c r="CH42" s="71"/>
      <c r="CI42" s="71"/>
      <c r="CJ42" s="71"/>
      <c r="CK42" s="71"/>
      <c r="CL42" s="71"/>
      <c r="CM42" s="71"/>
      <c r="CN42" s="71"/>
      <c r="CO42" s="71"/>
      <c r="CP42" s="71"/>
      <c r="CQ42" s="71"/>
      <c r="CR42" s="71"/>
      <c r="CS42" s="71"/>
      <c r="CT42" s="71"/>
      <c r="CU42" s="71"/>
      <c r="CV42" s="71"/>
      <c r="CW42" s="71"/>
      <c r="CX42" s="71"/>
      <c r="CY42" s="71"/>
      <c r="CZ42" s="71"/>
      <c r="DA42" s="71"/>
      <c r="DB42" s="71"/>
      <c r="DC42" s="71"/>
      <c r="DD42" s="71"/>
      <c r="DE42" s="71"/>
      <c r="DF42" s="71"/>
      <c r="DG42" s="71"/>
    </row>
    <row r="43" spans="1:111" ht="15" customHeight="1" thickBot="1" x14ac:dyDescent="0.3">
      <c r="A43" s="48" t="s">
        <v>52</v>
      </c>
      <c r="B43" s="19" t="s">
        <v>53</v>
      </c>
      <c r="C43" s="72">
        <f>+'Partidos de GBA'!C42+'Capital Federal'!C42+'Resto de Buenos Aires'!C42+Catamarca!C42+Cordoba!C42+Corrientes!C42+Chaco!C42+Chubut!C42+'Entre Rios'!C42+Formosa!C42+Jujuy!C42+'La Pampa'!C42+'La Rioja'!C42+Mendoza!C42+Misiones!C42+Neuquen!C42+'Rio Negro'!C42+Salta!C42+'San Juan'!C42+'San Luis'!C42+'Santa Cruz'!C42+'Santa Fe'!C42+'Santiago del Estero'!C42+Tucuman!C42+'Tierra del Fuego'!C42</f>
        <v>14736</v>
      </c>
      <c r="D43" s="72">
        <f>+'Partidos de GBA'!D42+'Capital Federal'!D42+'Resto de Buenos Aires'!D42+Catamarca!D42+Cordoba!D42+Corrientes!D42+Chaco!D42+Chubut!D42+'Entre Rios'!D42+Formosa!D42+Jujuy!D42+'La Pampa'!D42+'La Rioja'!D42+Mendoza!D42+Misiones!D42+Neuquen!D42+'Rio Negro'!D42+Salta!D42+'San Juan'!D42+'San Luis'!D42+'Santa Cruz'!D42+'Santa Fe'!D42+'Santiago del Estero'!D42+Tucuman!D42+'Tierra del Fuego'!D42</f>
        <v>15548</v>
      </c>
      <c r="E43" s="72">
        <f>+'Partidos de GBA'!E42+'Capital Federal'!E42+'Resto de Buenos Aires'!E42+Catamarca!E42+Cordoba!E42+Corrientes!E42+Chaco!E42+Chubut!E42+'Entre Rios'!E42+Formosa!E42+Jujuy!E42+'La Pampa'!E42+'La Rioja'!E42+Mendoza!E42+Misiones!E42+Neuquen!E42+'Rio Negro'!E42+Salta!E42+'San Juan'!E42+'San Luis'!E42+'Santa Cruz'!E42+'Santa Fe'!E42+'Santiago del Estero'!E42+Tucuman!E42+'Tierra del Fuego'!E42</f>
        <v>16242</v>
      </c>
      <c r="F43" s="72">
        <f>+'Partidos de GBA'!F42+'Capital Federal'!F42+'Resto de Buenos Aires'!F42+Catamarca!F42+Cordoba!F42+Corrientes!F42+Chaco!F42+Chubut!F42+'Entre Rios'!F42+Formosa!F42+Jujuy!F42+'La Pampa'!F42+'La Rioja'!F42+Mendoza!F42+Misiones!F42+Neuquen!F42+'Rio Negro'!F42+Salta!F42+'San Juan'!F42+'San Luis'!F42+'Santa Cruz'!F42+'Santa Fe'!F42+'Santiago del Estero'!F42+Tucuman!F42+'Tierra del Fuego'!F42</f>
        <v>16568</v>
      </c>
      <c r="G43" s="72">
        <f>+'Partidos de GBA'!G42+'Capital Federal'!G42+'Resto de Buenos Aires'!G42+Catamarca!G42+Cordoba!G42+Corrientes!G42+Chaco!G42+Chubut!G42+'Entre Rios'!G42+Formosa!G42+Jujuy!G42+'La Pampa'!G42+'La Rioja'!G42+Mendoza!G42+Misiones!G42+Neuquen!G42+'Rio Negro'!G42+Salta!G42+'San Juan'!G42+'San Luis'!G42+'Santa Cruz'!G42+'Santa Fe'!G42+'Santiago del Estero'!G42+Tucuman!G42+'Tierra del Fuego'!G42</f>
        <v>15800</v>
      </c>
      <c r="H43" s="72">
        <f>+'Partidos de GBA'!H42+'Capital Federal'!H42+'Resto de Buenos Aires'!H42+Catamarca!H42+Cordoba!H42+Corrientes!H42+Chaco!H42+Chubut!H42+'Entre Rios'!H42+Formosa!H42+Jujuy!H42+'La Pampa'!H42+'La Rioja'!H42+Mendoza!H42+Misiones!H42+Neuquen!H42+'Rio Negro'!H42+Salta!H42+'San Juan'!H42+'San Luis'!H42+'Santa Cruz'!H42+'Santa Fe'!H42+'Santiago del Estero'!H42+Tucuman!H42+'Tierra del Fuego'!H42</f>
        <v>13731</v>
      </c>
      <c r="I43" s="72">
        <f>+'Partidos de GBA'!I42+'Capital Federal'!I42+'Resto de Buenos Aires'!I42+Catamarca!I42+Cordoba!I42+Corrientes!I42+Chaco!I42+Chubut!I42+'Entre Rios'!I42+Formosa!I42+Jujuy!I42+'La Pampa'!I42+'La Rioja'!I42+Mendoza!I42+Misiones!I42+Neuquen!I42+'Rio Negro'!I42+Salta!I42+'San Juan'!I42+'San Luis'!I42+'Santa Cruz'!I42+'Santa Fe'!I42+'Santiago del Estero'!I42+Tucuman!I42+'Tierra del Fuego'!I42</f>
        <v>11651</v>
      </c>
      <c r="J43" s="72">
        <f>+'Partidos de GBA'!J42+'Capital Federal'!J42+'Resto de Buenos Aires'!J42+Catamarca!J42+Cordoba!J42+Corrientes!J42+Chaco!J42+Chubut!J42+'Entre Rios'!J42+Formosa!J42+Jujuy!J42+'La Pampa'!J42+'La Rioja'!J42+Mendoza!J42+Misiones!J42+Neuquen!J42+'Rio Negro'!J42+Salta!J42+'San Juan'!J42+'San Luis'!J42+'Santa Cruz'!J42+'Santa Fe'!J42+'Santiago del Estero'!J42+Tucuman!J42+'Tierra del Fuego'!J42</f>
        <v>13753</v>
      </c>
      <c r="K43" s="72">
        <f>+'Partidos de GBA'!K42+'Capital Federal'!K42+'Resto de Buenos Aires'!K42+Catamarca!K42+Cordoba!K42+Corrientes!K42+Chaco!K42+Chubut!K42+'Entre Rios'!K42+Formosa!K42+Jujuy!K42+'La Pampa'!K42+'La Rioja'!K42+Mendoza!K42+Misiones!K42+Neuquen!K42+'Rio Negro'!K42+Salta!K42+'San Juan'!K42+'San Luis'!K42+'Santa Cruz'!K42+'Santa Fe'!K42+'Santiago del Estero'!K42+Tucuman!K42+'Tierra del Fuego'!K42</f>
        <v>16578</v>
      </c>
      <c r="L43" s="72">
        <f>+'Partidos de GBA'!L42+'Capital Federal'!L42+'Resto de Buenos Aires'!L42+Catamarca!L42+Cordoba!L42+Corrientes!L42+Chaco!L42+Chubut!L42+'Entre Rios'!L42+Formosa!L42+Jujuy!L42+'La Pampa'!L42+'La Rioja'!L42+Mendoza!L42+Misiones!L42+Neuquen!L42+'Rio Negro'!L42+Salta!L42+'San Juan'!L42+'San Luis'!L42+'Santa Cruz'!L42+'Santa Fe'!L42+'Santiago del Estero'!L42+Tucuman!L42+'Tierra del Fuego'!L42</f>
        <v>19665</v>
      </c>
      <c r="M43" s="72">
        <f>+'Partidos de GBA'!M42+'Capital Federal'!M42+'Resto de Buenos Aires'!M42+Catamarca!M42+Cordoba!M42+Corrientes!M42+Chaco!M42+Chubut!M42+'Entre Rios'!M42+Formosa!M42+Jujuy!M42+'La Pampa'!M42+'La Rioja'!M42+Mendoza!M42+Misiones!M42+Neuquen!M42+'Rio Negro'!M42+Salta!M42+'San Juan'!M42+'San Luis'!M42+'Santa Cruz'!M42+'Santa Fe'!M42+'Santiago del Estero'!M42+Tucuman!M42+'Tierra del Fuego'!M42</f>
        <v>22536</v>
      </c>
      <c r="N43" s="72">
        <f>+'Partidos de GBA'!N42+'Capital Federal'!N42+'Resto de Buenos Aires'!N42+Catamarca!N42+Cordoba!N42+Corrientes!N42+Chaco!N42+Chubut!N42+'Entre Rios'!N42+Formosa!N42+Jujuy!N42+'La Pampa'!N42+'La Rioja'!N42+Mendoza!N42+Misiones!N42+Neuquen!N42+'Rio Negro'!N42+Salta!N42+'San Juan'!N42+'San Luis'!N42+'Santa Cruz'!N42+'Santa Fe'!N42+'Santiago del Estero'!N42+Tucuman!N42+'Tierra del Fuego'!N42</f>
        <v>25011</v>
      </c>
      <c r="O43" s="72">
        <f>+'Partidos de GBA'!O42+'Capital Federal'!O42+'Resto de Buenos Aires'!O42+Catamarca!O42+Cordoba!O42+Corrientes!O42+Chaco!O42+Chubut!O42+'Entre Rios'!O42+Formosa!O42+Jujuy!O42+'La Pampa'!O42+'La Rioja'!O42+Mendoza!O42+Misiones!O42+Neuquen!O42+'Rio Negro'!O42+Salta!O42+'San Juan'!O42+'San Luis'!O42+'Santa Cruz'!O42+'Santa Fe'!O42+'Santiago del Estero'!O42+Tucuman!O42+'Tierra del Fuego'!O42</f>
        <v>26402</v>
      </c>
      <c r="P43" s="72">
        <f>+'Partidos de GBA'!P42+'Capital Federal'!P42+'Resto de Buenos Aires'!P42+Catamarca!P42+Cordoba!P42+Corrientes!P42+Chaco!P42+Chubut!P42+'Entre Rios'!P42+Formosa!P42+Jujuy!P42+'La Pampa'!P42+'La Rioja'!P42+Mendoza!P42+Misiones!P42+Neuquen!P42+'Rio Negro'!P42+Salta!P42+'San Juan'!P42+'San Luis'!P42+'Santa Cruz'!P42+'Santa Fe'!P42+'Santiago del Estero'!P42+Tucuman!P42+'Tierra del Fuego'!P42</f>
        <v>25906</v>
      </c>
      <c r="Q43" s="72">
        <f>+'Partidos de GBA'!W42+'Capital Federal'!W42+'Resto de Buenos Aires'!W42+Catamarca!W42+Cordoba!W42+Corrientes!W42+Chaco!W42+Chubut!W42+'Entre Rios'!W42+Formosa!W42+Jujuy!W42+'La Pampa'!W42+'La Rioja'!W42+Mendoza!W42+Misiones!W42+Neuquen!W42+'Rio Negro'!W42+Salta!W42+'San Juan'!W42+'San Luis'!W42+'Santa Cruz'!W42+'Santa Fe'!W42+'Santiago del Estero'!W42+Tucuman!W42+'Tierra del Fuego'!W42</f>
        <v>27995</v>
      </c>
      <c r="R43" s="72">
        <f>+'Partidos de GBA'!X42+'Capital Federal'!X42+'Resto de Buenos Aires'!X42+Catamarca!X42+Cordoba!X42+Corrientes!X42+Chaco!X42+Chubut!X42+'Entre Rios'!X42+Formosa!X42+Jujuy!X42+'La Pampa'!X42+'La Rioja'!X42+Mendoza!X42+Misiones!X42+Neuquen!X42+'Rio Negro'!X42+Salta!X42+'San Juan'!X42+'San Luis'!X42+'Santa Cruz'!X42+'Santa Fe'!X42+'Santiago del Estero'!X42+Tucuman!X42+'Tierra del Fuego'!X42</f>
        <v>28814</v>
      </c>
      <c r="S43" s="72"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T43" s="72"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U43" s="72"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V43" s="72"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W43" s="72"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X43" s="72"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Y43" s="72"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Z43" s="72"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A43" s="72"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B43" s="72"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C43" s="72"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D43" s="72"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E43" s="72"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F43" s="72"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G43" s="72"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H43" s="72"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I43" s="72"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J43" s="72"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K43" s="72"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L43" s="72"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M43" s="72"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N43" s="72"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O43" s="72"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P43" s="72"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Q43" s="72"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R43" s="72"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S43" s="72"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T43" s="72"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U43" s="72"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V43" s="72"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W43" s="72"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X43" s="72"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Y43" s="72"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Z43" s="72"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A43" s="72"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B43" s="72"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C43" s="72"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D43" s="72"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E43" s="72"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F43" s="72"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G43" s="72"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H43" s="72"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I43" s="72"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J43" s="72"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K43" s="72"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L43" s="72"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M43" s="72"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N43" s="72"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O43" s="72"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P43" s="72"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Q43" s="72"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R43" s="72"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S43" s="72"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T43" s="72"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U43" s="72"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V43" s="72"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W43" s="72"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X43" s="72"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Y43" s="72"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Z43" s="72"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A43" s="72"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B43" s="72"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C43" s="72"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D43" s="72"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E43" s="72"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F43" s="72"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G43" s="72"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H43" s="72"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I43" s="72"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J43" s="72"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K43" s="72"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L43" s="72"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M43" s="72"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N43" s="72"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O43" s="72"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P43" s="72"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Q43" s="72"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R43" s="72"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S43" s="72"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T43" s="72"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U43" s="72"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V43" s="72"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W43" s="72"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X43" s="72"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Y43" s="72"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Z43" s="72"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DA43" s="72"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DB43" s="72"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DC43" s="72"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DD43" s="72"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DE43" s="72"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DF43" s="72">
        <f>+'Partidos de GBA'!Y42+'Capital Federal'!Y42+'Resto de Buenos Aires'!Y42+Catamarca!Y42+Cordoba!Y42+Corrientes!Y42+Chaco!Y42+Chubut!Y42+'Entre Rios'!Y42+Formosa!Y42+Jujuy!Y42+'La Pampa'!Y42+'La Rioja'!Y42+Mendoza!Y42+Misiones!Y42+Neuquen!Y42+'Rio Negro'!Y42+Salta!Y42+'San Juan'!Y42+'San Luis'!Y42+'Santa Cruz'!Y42+'Santa Fe'!Y42+'Santiago del Estero'!Y42+Tucuman!Y42+'Tierra del Fuego'!Y42</f>
        <v>28648</v>
      </c>
      <c r="DG43" s="72">
        <f>+'Partidos de GBA'!AE42+'Capital Federal'!AE42+'Resto de Buenos Aires'!AE42+Catamarca!AE42+Cordoba!AE42+Corrientes!AE42+Chaco!AE42+Chubut!AE42+'Entre Rios'!AE42+Formosa!AE42+Jujuy!AE42+'La Pampa'!AE42+'La Rioja'!AE42+Mendoza!AE42+Misiones!AE42+Neuquen!AE42+'Rio Negro'!AE42+Salta!AE42+'San Juan'!AE42+'San Luis'!AE42+'Santa Cruz'!AE42+'Santa Fe'!AE42+'Santiago del Estero'!AE42+Tucuman!AE42+'Tierra del Fuego'!AE42</f>
        <v>26412</v>
      </c>
    </row>
    <row r="44" spans="1:111" ht="15" customHeight="1" thickBot="1" x14ac:dyDescent="0.3">
      <c r="A44" s="43">
        <v>45</v>
      </c>
      <c r="B44" s="14" t="s">
        <v>54</v>
      </c>
      <c r="C44" s="67">
        <f>+'Partidos de GBA'!C43+'Capital Federal'!C43+'Resto de Buenos Aires'!C43+Catamarca!C43+Cordoba!C43+Corrientes!C43+Chaco!C43+Chubut!C43+'Entre Rios'!C43+Formosa!C43+Jujuy!C43+'La Pampa'!C43+'La Rioja'!C43+Mendoza!C43+Misiones!C43+Neuquen!C43+'Rio Negro'!C43+Salta!C43+'San Juan'!C43+'San Luis'!C43+'Santa Cruz'!C43+'Santa Fe'!C43+'Santiago del Estero'!C43+Tucuman!C43+'Tierra del Fuego'!C43</f>
        <v>14736</v>
      </c>
      <c r="D44" s="67">
        <f>+'Partidos de GBA'!D43+'Capital Federal'!D43+'Resto de Buenos Aires'!D43+Catamarca!D43+Cordoba!D43+Corrientes!D43+Chaco!D43+Chubut!D43+'Entre Rios'!D43+Formosa!D43+Jujuy!D43+'La Pampa'!D43+'La Rioja'!D43+Mendoza!D43+Misiones!D43+Neuquen!D43+'Rio Negro'!D43+Salta!D43+'San Juan'!D43+'San Luis'!D43+'Santa Cruz'!D43+'Santa Fe'!D43+'Santiago del Estero'!D43+Tucuman!D43+'Tierra del Fuego'!D43</f>
        <v>15548</v>
      </c>
      <c r="E44" s="67">
        <f>+'Partidos de GBA'!E43+'Capital Federal'!E43+'Resto de Buenos Aires'!E43+Catamarca!E43+Cordoba!E43+Corrientes!E43+Chaco!E43+Chubut!E43+'Entre Rios'!E43+Formosa!E43+Jujuy!E43+'La Pampa'!E43+'La Rioja'!E43+Mendoza!E43+Misiones!E43+Neuquen!E43+'Rio Negro'!E43+Salta!E43+'San Juan'!E43+'San Luis'!E43+'Santa Cruz'!E43+'Santa Fe'!E43+'Santiago del Estero'!E43+Tucuman!E43+'Tierra del Fuego'!E43</f>
        <v>16242</v>
      </c>
      <c r="F44" s="67">
        <f>+'Partidos de GBA'!F43+'Capital Federal'!F43+'Resto de Buenos Aires'!F43+Catamarca!F43+Cordoba!F43+Corrientes!F43+Chaco!F43+Chubut!F43+'Entre Rios'!F43+Formosa!F43+Jujuy!F43+'La Pampa'!F43+'La Rioja'!F43+Mendoza!F43+Misiones!F43+Neuquen!F43+'Rio Negro'!F43+Salta!F43+'San Juan'!F43+'San Luis'!F43+'Santa Cruz'!F43+'Santa Fe'!F43+'Santiago del Estero'!F43+Tucuman!F43+'Tierra del Fuego'!F43</f>
        <v>16568</v>
      </c>
      <c r="G44" s="67">
        <f>+'Partidos de GBA'!G43+'Capital Federal'!G43+'Resto de Buenos Aires'!G43+Catamarca!G43+Cordoba!G43+Corrientes!G43+Chaco!G43+Chubut!G43+'Entre Rios'!G43+Formosa!G43+Jujuy!G43+'La Pampa'!G43+'La Rioja'!G43+Mendoza!G43+Misiones!G43+Neuquen!G43+'Rio Negro'!G43+Salta!G43+'San Juan'!G43+'San Luis'!G43+'Santa Cruz'!G43+'Santa Fe'!G43+'Santiago del Estero'!G43+Tucuman!G43+'Tierra del Fuego'!G43</f>
        <v>15800</v>
      </c>
      <c r="H44" s="67">
        <f>+'Partidos de GBA'!H43+'Capital Federal'!H43+'Resto de Buenos Aires'!H43+Catamarca!H43+Cordoba!H43+Corrientes!H43+Chaco!H43+Chubut!H43+'Entre Rios'!H43+Formosa!H43+Jujuy!H43+'La Pampa'!H43+'La Rioja'!H43+Mendoza!H43+Misiones!H43+Neuquen!H43+'Rio Negro'!H43+Salta!H43+'San Juan'!H43+'San Luis'!H43+'Santa Cruz'!H43+'Santa Fe'!H43+'Santiago del Estero'!H43+Tucuman!H43+'Tierra del Fuego'!H43</f>
        <v>13731</v>
      </c>
      <c r="I44" s="67">
        <f>+'Partidos de GBA'!I43+'Capital Federal'!I43+'Resto de Buenos Aires'!I43+Catamarca!I43+Cordoba!I43+Corrientes!I43+Chaco!I43+Chubut!I43+'Entre Rios'!I43+Formosa!I43+Jujuy!I43+'La Pampa'!I43+'La Rioja'!I43+Mendoza!I43+Misiones!I43+Neuquen!I43+'Rio Negro'!I43+Salta!I43+'San Juan'!I43+'San Luis'!I43+'Santa Cruz'!I43+'Santa Fe'!I43+'Santiago del Estero'!I43+Tucuman!I43+'Tierra del Fuego'!I43</f>
        <v>11651</v>
      </c>
      <c r="J44" s="67">
        <f>+'Partidos de GBA'!J43+'Capital Federal'!J43+'Resto de Buenos Aires'!J43+Catamarca!J43+Cordoba!J43+Corrientes!J43+Chaco!J43+Chubut!J43+'Entre Rios'!J43+Formosa!J43+Jujuy!J43+'La Pampa'!J43+'La Rioja'!J43+Mendoza!J43+Misiones!J43+Neuquen!J43+'Rio Negro'!J43+Salta!J43+'San Juan'!J43+'San Luis'!J43+'Santa Cruz'!J43+'Santa Fe'!J43+'Santiago del Estero'!J43+Tucuman!J43+'Tierra del Fuego'!J43</f>
        <v>13753</v>
      </c>
      <c r="K44" s="67">
        <f>+'Partidos de GBA'!K43+'Capital Federal'!K43+'Resto de Buenos Aires'!K43+Catamarca!K43+Cordoba!K43+Corrientes!K43+Chaco!K43+Chubut!K43+'Entre Rios'!K43+Formosa!K43+Jujuy!K43+'La Pampa'!K43+'La Rioja'!K43+Mendoza!K43+Misiones!K43+Neuquen!K43+'Rio Negro'!K43+Salta!K43+'San Juan'!K43+'San Luis'!K43+'Santa Cruz'!K43+'Santa Fe'!K43+'Santiago del Estero'!K43+Tucuman!K43+'Tierra del Fuego'!K43</f>
        <v>16578</v>
      </c>
      <c r="L44" s="67">
        <f>+'Partidos de GBA'!L43+'Capital Federal'!L43+'Resto de Buenos Aires'!L43+Catamarca!L43+Cordoba!L43+Corrientes!L43+Chaco!L43+Chubut!L43+'Entre Rios'!L43+Formosa!L43+Jujuy!L43+'La Pampa'!L43+'La Rioja'!L43+Mendoza!L43+Misiones!L43+Neuquen!L43+'Rio Negro'!L43+Salta!L43+'San Juan'!L43+'San Luis'!L43+'Santa Cruz'!L43+'Santa Fe'!L43+'Santiago del Estero'!L43+Tucuman!L43+'Tierra del Fuego'!L43</f>
        <v>19665</v>
      </c>
      <c r="M44" s="67">
        <f>+'Partidos de GBA'!M43+'Capital Federal'!M43+'Resto de Buenos Aires'!M43+Catamarca!M43+Cordoba!M43+Corrientes!M43+Chaco!M43+Chubut!M43+'Entre Rios'!M43+Formosa!M43+Jujuy!M43+'La Pampa'!M43+'La Rioja'!M43+Mendoza!M43+Misiones!M43+Neuquen!M43+'Rio Negro'!M43+Salta!M43+'San Juan'!M43+'San Luis'!M43+'Santa Cruz'!M43+'Santa Fe'!M43+'Santiago del Estero'!M43+Tucuman!M43+'Tierra del Fuego'!M43</f>
        <v>22536</v>
      </c>
      <c r="N44" s="67">
        <f>+'Partidos de GBA'!N43+'Capital Federal'!N43+'Resto de Buenos Aires'!N43+Catamarca!N43+Cordoba!N43+Corrientes!N43+Chaco!N43+Chubut!N43+'Entre Rios'!N43+Formosa!N43+Jujuy!N43+'La Pampa'!N43+'La Rioja'!N43+Mendoza!N43+Misiones!N43+Neuquen!N43+'Rio Negro'!N43+Salta!N43+'San Juan'!N43+'San Luis'!N43+'Santa Cruz'!N43+'Santa Fe'!N43+'Santiago del Estero'!N43+Tucuman!N43+'Tierra del Fuego'!N43</f>
        <v>25011</v>
      </c>
      <c r="O44" s="67">
        <f>+'Partidos de GBA'!O43+'Capital Federal'!O43+'Resto de Buenos Aires'!O43+Catamarca!O43+Cordoba!O43+Corrientes!O43+Chaco!O43+Chubut!O43+'Entre Rios'!O43+Formosa!O43+Jujuy!O43+'La Pampa'!O43+'La Rioja'!O43+Mendoza!O43+Misiones!O43+Neuquen!O43+'Rio Negro'!O43+Salta!O43+'San Juan'!O43+'San Luis'!O43+'Santa Cruz'!O43+'Santa Fe'!O43+'Santiago del Estero'!O43+Tucuman!O43+'Tierra del Fuego'!O43</f>
        <v>26402</v>
      </c>
      <c r="P44" s="67">
        <f>+'Partidos de GBA'!P43+'Capital Federal'!P43+'Resto de Buenos Aires'!P43+Catamarca!P43+Cordoba!P43+Corrientes!P43+Chaco!P43+Chubut!P43+'Entre Rios'!P43+Formosa!P43+Jujuy!P43+'La Pampa'!P43+'La Rioja'!P43+Mendoza!P43+Misiones!P43+Neuquen!P43+'Rio Negro'!P43+Salta!P43+'San Juan'!P43+'San Luis'!P43+'Santa Cruz'!P43+'Santa Fe'!P43+'Santiago del Estero'!P43+Tucuman!P43+'Tierra del Fuego'!P43</f>
        <v>25906</v>
      </c>
      <c r="Q44" s="67">
        <f>+'Partidos de GBA'!W43+'Capital Federal'!W43+'Resto de Buenos Aires'!W43+Catamarca!W43+Cordoba!W43+Corrientes!W43+Chaco!W43+Chubut!W43+'Entre Rios'!W43+Formosa!W43+Jujuy!W43+'La Pampa'!W43+'La Rioja'!W43+Mendoza!W43+Misiones!W43+Neuquen!W43+'Rio Negro'!W43+Salta!W43+'San Juan'!W43+'San Luis'!W43+'Santa Cruz'!W43+'Santa Fe'!W43+'Santiago del Estero'!W43+Tucuman!W43+'Tierra del Fuego'!W43</f>
        <v>27995</v>
      </c>
      <c r="R44" s="67">
        <f>+'Partidos de GBA'!X43+'Capital Federal'!X43+'Resto de Buenos Aires'!X43+Catamarca!X43+Cordoba!X43+Corrientes!X43+Chaco!X43+Chubut!X43+'Entre Rios'!X43+Formosa!X43+Jujuy!X43+'La Pampa'!X43+'La Rioja'!X43+Mendoza!X43+Misiones!X43+Neuquen!X43+'Rio Negro'!X43+Salta!X43+'San Juan'!X43+'San Luis'!X43+'Santa Cruz'!X43+'Santa Fe'!X43+'Santiago del Estero'!X43+Tucuman!X43+'Tierra del Fuego'!X43</f>
        <v>28814</v>
      </c>
      <c r="S44" s="67"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T44" s="67"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U44" s="67"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V44" s="67"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W44" s="67"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X44" s="67"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Y44" s="67"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Z44" s="67"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A44" s="67"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B44" s="67"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C44" s="67"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D44" s="67"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E44" s="67"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F44" s="67"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G44" s="67"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H44" s="67"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I44" s="67"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J44" s="67"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K44" s="67"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L44" s="67"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M44" s="67"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N44" s="67"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O44" s="67"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P44" s="67"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Q44" s="67"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R44" s="67"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S44" s="67"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T44" s="67"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U44" s="67"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V44" s="67"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W44" s="67"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X44" s="67"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Y44" s="67"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Z44" s="67"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A44" s="67"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B44" s="67"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C44" s="67"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D44" s="67"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E44" s="67"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F44" s="67"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G44" s="67"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H44" s="67"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I44" s="67"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J44" s="67"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K44" s="67"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L44" s="67"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M44" s="67"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N44" s="67"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O44" s="67"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P44" s="67"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Q44" s="67"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R44" s="67"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S44" s="67"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T44" s="67"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U44" s="67"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V44" s="67"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W44" s="67"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X44" s="67"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Y44" s="67"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Z44" s="67"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A44" s="67"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B44" s="67"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C44" s="67"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D44" s="67"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E44" s="67"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F44" s="67"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G44" s="67"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H44" s="67"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I44" s="67"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J44" s="67"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K44" s="67"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L44" s="67"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M44" s="67"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N44" s="67"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O44" s="67"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P44" s="67"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Q44" s="67"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R44" s="67"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S44" s="67"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T44" s="67"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U44" s="67"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V44" s="67"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W44" s="67"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X44" s="67"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Y44" s="67"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Z44" s="67"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DA44" s="67"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DB44" s="67"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DC44" s="67"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DD44" s="67"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DE44" s="67"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DF44" s="67">
        <f>+'Partidos de GBA'!Y43+'Capital Federal'!Y43+'Resto de Buenos Aires'!Y43+Catamarca!Y43+Cordoba!Y43+Corrientes!Y43+Chaco!Y43+Chubut!Y43+'Entre Rios'!Y43+Formosa!Y43+Jujuy!Y43+'La Pampa'!Y43+'La Rioja'!Y43+Mendoza!Y43+Misiones!Y43+Neuquen!Y43+'Rio Negro'!Y43+Salta!Y43+'San Juan'!Y43+'San Luis'!Y43+'Santa Cruz'!Y43+'Santa Fe'!Y43+'Santiago del Estero'!Y43+Tucuman!Y43+'Tierra del Fuego'!Y43</f>
        <v>28648</v>
      </c>
      <c r="DG44" s="67">
        <f>+'Partidos de GBA'!AE43+'Capital Federal'!AE43+'Resto de Buenos Aires'!AE43+Catamarca!AE43+Cordoba!AE43+Corrientes!AE43+Chaco!AE43+Chubut!AE43+'Entre Rios'!AE43+Formosa!AE43+Jujuy!AE43+'La Pampa'!AE43+'La Rioja'!AE43+Mendoza!AE43+Misiones!AE43+Neuquen!AE43+'Rio Negro'!AE43+Salta!AE43+'San Juan'!AE43+'San Luis'!AE43+'Santa Cruz'!AE43+'Santa Fe'!AE43+'Santiago del Estero'!AE43+Tucuman!AE43+'Tierra del Fuego'!AE43</f>
        <v>26412</v>
      </c>
    </row>
    <row r="45" spans="1:111" ht="15" customHeight="1" thickBot="1" x14ac:dyDescent="0.3">
      <c r="A45" s="40" t="s">
        <v>55</v>
      </c>
      <c r="B45" s="9" t="s">
        <v>56</v>
      </c>
      <c r="C45" s="64">
        <f>+'Partidos de GBA'!C44+'Capital Federal'!C44+'Resto de Buenos Aires'!C44+Catamarca!C44+Cordoba!C44+Corrientes!C44+Chaco!C44+Chubut!C44+'Entre Rios'!C44+Formosa!C44+Jujuy!C44+'La Pampa'!C44+'La Rioja'!C44+Mendoza!C44+Misiones!C44+Neuquen!C44+'Rio Negro'!C44+Salta!C44+'San Juan'!C44+'San Luis'!C44+'Santa Cruz'!C44+'Santa Fe'!C44+'Santiago del Estero'!C44+Tucuman!C44+'Tierra del Fuego'!C44</f>
        <v>96377</v>
      </c>
      <c r="D45" s="64">
        <f>+'Partidos de GBA'!D44+'Capital Federal'!D44+'Resto de Buenos Aires'!D44+Catamarca!D44+Cordoba!D44+Corrientes!D44+Chaco!D44+Chubut!D44+'Entre Rios'!D44+Formosa!D44+Jujuy!D44+'La Pampa'!D44+'La Rioja'!D44+Mendoza!D44+Misiones!D44+Neuquen!D44+'Rio Negro'!D44+Salta!D44+'San Juan'!D44+'San Luis'!D44+'Santa Cruz'!D44+'Santa Fe'!D44+'Santiago del Estero'!D44+Tucuman!D44+'Tierra del Fuego'!D44</f>
        <v>96747</v>
      </c>
      <c r="E45" s="64">
        <f>+'Partidos de GBA'!E44+'Capital Federal'!E44+'Resto de Buenos Aires'!E44+Catamarca!E44+Cordoba!E44+Corrientes!E44+Chaco!E44+Chubut!E44+'Entre Rios'!E44+Formosa!E44+Jujuy!E44+'La Pampa'!E44+'La Rioja'!E44+Mendoza!E44+Misiones!E44+Neuquen!E44+'Rio Negro'!E44+Salta!E44+'San Juan'!E44+'San Luis'!E44+'Santa Cruz'!E44+'Santa Fe'!E44+'Santiago del Estero'!E44+Tucuman!E44+'Tierra del Fuego'!E44</f>
        <v>96498</v>
      </c>
      <c r="F45" s="64">
        <f>+'Partidos de GBA'!F44+'Capital Federal'!F44+'Resto de Buenos Aires'!F44+Catamarca!F44+Cordoba!F44+Corrientes!F44+Chaco!F44+Chubut!F44+'Entre Rios'!F44+Formosa!F44+Jujuy!F44+'La Pampa'!F44+'La Rioja'!F44+Mendoza!F44+Misiones!F44+Neuquen!F44+'Rio Negro'!F44+Salta!F44+'San Juan'!F44+'San Luis'!F44+'Santa Cruz'!F44+'Santa Fe'!F44+'Santiago del Estero'!F44+Tucuman!F44+'Tierra del Fuego'!F44</f>
        <v>95483</v>
      </c>
      <c r="G45" s="64">
        <f>+'Partidos de GBA'!G44+'Capital Federal'!G44+'Resto de Buenos Aires'!G44+Catamarca!G44+Cordoba!G44+Corrientes!G44+Chaco!G44+Chubut!G44+'Entre Rios'!G44+Formosa!G44+Jujuy!G44+'La Pampa'!G44+'La Rioja'!G44+Mendoza!G44+Misiones!G44+Neuquen!G44+'Rio Negro'!G44+Salta!G44+'San Juan'!G44+'San Luis'!G44+'Santa Cruz'!G44+'Santa Fe'!G44+'Santiago del Estero'!G44+Tucuman!G44+'Tierra del Fuego'!G44</f>
        <v>92415</v>
      </c>
      <c r="H45" s="64">
        <f>+'Partidos de GBA'!H44+'Capital Federal'!H44+'Resto de Buenos Aires'!H44+Catamarca!H44+Cordoba!H44+Corrientes!H44+Chaco!H44+Chubut!H44+'Entre Rios'!H44+Formosa!H44+Jujuy!H44+'La Pampa'!H44+'La Rioja'!H44+Mendoza!H44+Misiones!H44+Neuquen!H44+'Rio Negro'!H44+Salta!H44+'San Juan'!H44+'San Luis'!H44+'Santa Cruz'!H44+'Santa Fe'!H44+'Santiago del Estero'!H44+Tucuman!H44+'Tierra del Fuego'!H44</f>
        <v>88580</v>
      </c>
      <c r="I45" s="64">
        <f>+'Partidos de GBA'!I44+'Capital Federal'!I44+'Resto de Buenos Aires'!I44+Catamarca!I44+Cordoba!I44+Corrientes!I44+Chaco!I44+Chubut!I44+'Entre Rios'!I44+Formosa!I44+Jujuy!I44+'La Pampa'!I44+'La Rioja'!I44+Mendoza!I44+Misiones!I44+Neuquen!I44+'Rio Negro'!I44+Salta!I44+'San Juan'!I44+'San Luis'!I44+'Santa Cruz'!I44+'Santa Fe'!I44+'Santiago del Estero'!I44+Tucuman!I44+'Tierra del Fuego'!I44</f>
        <v>83366</v>
      </c>
      <c r="J45" s="64">
        <f>+'Partidos de GBA'!J44+'Capital Federal'!J44+'Resto de Buenos Aires'!J44+Catamarca!J44+Cordoba!J44+Corrientes!J44+Chaco!J44+Chubut!J44+'Entre Rios'!J44+Formosa!J44+Jujuy!J44+'La Pampa'!J44+'La Rioja'!J44+Mendoza!J44+Misiones!J44+Neuquen!J44+'Rio Negro'!J44+Salta!J44+'San Juan'!J44+'San Luis'!J44+'Santa Cruz'!J44+'Santa Fe'!J44+'Santiago del Estero'!J44+Tucuman!J44+'Tierra del Fuego'!J44</f>
        <v>92214</v>
      </c>
      <c r="K45" s="64">
        <f>+'Partidos de GBA'!K44+'Capital Federal'!K44+'Resto de Buenos Aires'!K44+Catamarca!K44+Cordoba!K44+Corrientes!K44+Chaco!K44+Chubut!K44+'Entre Rios'!K44+Formosa!K44+Jujuy!K44+'La Pampa'!K44+'La Rioja'!K44+Mendoza!K44+Misiones!K44+Neuquen!K44+'Rio Negro'!K44+Salta!K44+'San Juan'!K44+'San Luis'!K44+'Santa Cruz'!K44+'Santa Fe'!K44+'Santiago del Estero'!K44+Tucuman!K44+'Tierra del Fuego'!K44</f>
        <v>110540</v>
      </c>
      <c r="L45" s="64">
        <f>+'Partidos de GBA'!L44+'Capital Federal'!L44+'Resto de Buenos Aires'!L44+Catamarca!L44+Cordoba!L44+Corrientes!L44+Chaco!L44+Chubut!L44+'Entre Rios'!L44+Formosa!L44+Jujuy!L44+'La Pampa'!L44+'La Rioja'!L44+Mendoza!L44+Misiones!L44+Neuquen!L44+'Rio Negro'!L44+Salta!L44+'San Juan'!L44+'San Luis'!L44+'Santa Cruz'!L44+'Santa Fe'!L44+'Santiago del Estero'!L44+Tucuman!L44+'Tierra del Fuego'!L44</f>
        <v>121363</v>
      </c>
      <c r="M45" s="64">
        <f>+'Partidos de GBA'!M44+'Capital Federal'!M44+'Resto de Buenos Aires'!M44+Catamarca!M44+Cordoba!M44+Corrientes!M44+Chaco!M44+Chubut!M44+'Entre Rios'!M44+Formosa!M44+Jujuy!M44+'La Pampa'!M44+'La Rioja'!M44+Mendoza!M44+Misiones!M44+Neuquen!M44+'Rio Negro'!M44+Salta!M44+'San Juan'!M44+'San Luis'!M44+'Santa Cruz'!M44+'Santa Fe'!M44+'Santiago del Estero'!M44+Tucuman!M44+'Tierra del Fuego'!M44</f>
        <v>132483</v>
      </c>
      <c r="N45" s="64">
        <f>+'Partidos de GBA'!N44+'Capital Federal'!N44+'Resto de Buenos Aires'!N44+Catamarca!N44+Cordoba!N44+Corrientes!N44+Chaco!N44+Chubut!N44+'Entre Rios'!N44+Formosa!N44+Jujuy!N44+'La Pampa'!N44+'La Rioja'!N44+Mendoza!N44+Misiones!N44+Neuquen!N44+'Rio Negro'!N44+Salta!N44+'San Juan'!N44+'San Luis'!N44+'Santa Cruz'!N44+'Santa Fe'!N44+'Santiago del Estero'!N44+Tucuman!N44+'Tierra del Fuego'!N44</f>
        <v>141658</v>
      </c>
      <c r="O45" s="64">
        <f>+'Partidos de GBA'!O44+'Capital Federal'!O44+'Resto de Buenos Aires'!O44+Catamarca!O44+Cordoba!O44+Corrientes!O44+Chaco!O44+Chubut!O44+'Entre Rios'!O44+Formosa!O44+Jujuy!O44+'La Pampa'!O44+'La Rioja'!O44+Mendoza!O44+Misiones!O44+Neuquen!O44+'Rio Negro'!O44+Salta!O44+'San Juan'!O44+'San Luis'!O44+'Santa Cruz'!O44+'Santa Fe'!O44+'Santiago del Estero'!O44+Tucuman!O44+'Tierra del Fuego'!O44</f>
        <v>150408</v>
      </c>
      <c r="P45" s="64">
        <f>+'Partidos de GBA'!P44+'Capital Federal'!P44+'Resto de Buenos Aires'!P44+Catamarca!P44+Cordoba!P44+Corrientes!P44+Chaco!P44+Chubut!P44+'Entre Rios'!P44+Formosa!P44+Jujuy!P44+'La Pampa'!P44+'La Rioja'!P44+Mendoza!P44+Misiones!P44+Neuquen!P44+'Rio Negro'!P44+Salta!P44+'San Juan'!P44+'San Luis'!P44+'Santa Cruz'!P44+'Santa Fe'!P44+'Santiago del Estero'!P44+Tucuman!P44+'Tierra del Fuego'!P44</f>
        <v>154587</v>
      </c>
      <c r="Q45" s="64">
        <f>+'Partidos de GBA'!W44+'Capital Federal'!W44+'Resto de Buenos Aires'!W44+Catamarca!W44+Cordoba!W44+Corrientes!W44+Chaco!W44+Chubut!W44+'Entre Rios'!W44+Formosa!W44+Jujuy!W44+'La Pampa'!W44+'La Rioja'!W44+Mendoza!W44+Misiones!W44+Neuquen!W44+'Rio Negro'!W44+Salta!W44+'San Juan'!W44+'San Luis'!W44+'Santa Cruz'!W44+'Santa Fe'!W44+'Santiago del Estero'!W44+Tucuman!W44+'Tierra del Fuego'!W44</f>
        <v>173813</v>
      </c>
      <c r="R45" s="64">
        <f>+'Partidos de GBA'!X44+'Capital Federal'!X44+'Resto de Buenos Aires'!X44+Catamarca!X44+Cordoba!X44+Corrientes!X44+Chaco!X44+Chubut!X44+'Entre Rios'!X44+Formosa!X44+Jujuy!X44+'La Pampa'!X44+'La Rioja'!X44+Mendoza!X44+Misiones!X44+Neuquen!X44+'Rio Negro'!X44+Salta!X44+'San Juan'!X44+'San Luis'!X44+'Santa Cruz'!X44+'Santa Fe'!X44+'Santiago del Estero'!X44+Tucuman!X44+'Tierra del Fuego'!X44</f>
        <v>176834</v>
      </c>
      <c r="S45"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T45"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U45"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V45"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W45"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X45"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Y45"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Z45"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A45"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B45"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C45"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D45"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E45"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F45"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G45"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H45"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I45"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J45"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K45"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L45"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M45"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N45"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O45"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P45"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Q45"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R45"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S45"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T45"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U45"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V45"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W45"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X45"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Y45"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Z45"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A45"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B45"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C45"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D45"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E45"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F45"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G45"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H45"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I45"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J45"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K45"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L45"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M45"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N45"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O45"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P45"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Q45"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R45"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S45"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T45"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U45"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V45"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W45"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X45"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Y45"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Z45"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A45"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B45"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C45"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D45"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E45"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F45"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G45"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H45"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I45"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J45"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K45"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L45"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M45"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N45"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O45"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P45"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Q45"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R45"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S45"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T45"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U45"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V45"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W45"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X45"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Y45"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Z45"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DA45"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DB45"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DC45"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DD45"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DE45"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DF45" s="64">
        <f>+'Partidos de GBA'!Y44+'Capital Federal'!Y44+'Resto de Buenos Aires'!Y44+Catamarca!Y44+Cordoba!Y44+Corrientes!Y44+Chaco!Y44+Chubut!Y44+'Entre Rios'!Y44+Formosa!Y44+Jujuy!Y44+'La Pampa'!Y44+'La Rioja'!Y44+Mendoza!Y44+Misiones!Y44+Neuquen!Y44+'Rio Negro'!Y44+Salta!Y44+'San Juan'!Y44+'San Luis'!Y44+'Santa Cruz'!Y44+'Santa Fe'!Y44+'Santiago del Estero'!Y44+Tucuman!Y44+'Tierra del Fuego'!Y44</f>
        <v>174009</v>
      </c>
      <c r="DG45" s="64">
        <f>+'Partidos de GBA'!AE44+'Capital Federal'!AE44+'Resto de Buenos Aires'!AE44+Catamarca!AE44+Cordoba!AE44+Corrientes!AE44+Chaco!AE44+Chubut!AE44+'Entre Rios'!AE44+Formosa!AE44+Jujuy!AE44+'La Pampa'!AE44+'La Rioja'!AE44+Mendoza!AE44+Misiones!AE44+Neuquen!AE44+'Rio Negro'!AE44+Salta!AE44+'San Juan'!AE44+'San Luis'!AE44+'Santa Cruz'!AE44+'Santa Fe'!AE44+'Santiago del Estero'!AE44+Tucuman!AE44+'Tierra del Fuego'!AE44</f>
        <v>181438</v>
      </c>
    </row>
    <row r="46" spans="1:111" ht="15" customHeight="1" x14ac:dyDescent="0.25">
      <c r="A46" s="41">
        <v>50</v>
      </c>
      <c r="B46" s="12" t="s">
        <v>57</v>
      </c>
      <c r="C46" s="65">
        <f>+'Partidos de GBA'!C45+'Capital Federal'!C45+'Resto de Buenos Aires'!C45+Catamarca!C45+Cordoba!C45+Corrientes!C45+Chaco!C45+Chubut!C45+'Entre Rios'!C45+Formosa!C45+Jujuy!C45+'La Pampa'!C45+'La Rioja'!C45+Mendoza!C45+Misiones!C45+Neuquen!C45+'Rio Negro'!C45+Salta!C45+'San Juan'!C45+'San Luis'!C45+'Santa Cruz'!C45+'Santa Fe'!C45+'Santiago del Estero'!C45+Tucuman!C45+'Tierra del Fuego'!C45</f>
        <v>15227</v>
      </c>
      <c r="D46" s="65">
        <f>+'Partidos de GBA'!D45+'Capital Federal'!D45+'Resto de Buenos Aires'!D45+Catamarca!D45+Cordoba!D45+Corrientes!D45+Chaco!D45+Chubut!D45+'Entre Rios'!D45+Formosa!D45+Jujuy!D45+'La Pampa'!D45+'La Rioja'!D45+Mendoza!D45+Misiones!D45+Neuquen!D45+'Rio Negro'!D45+Salta!D45+'San Juan'!D45+'San Luis'!D45+'Santa Cruz'!D45+'Santa Fe'!D45+'Santiago del Estero'!D45+Tucuman!D45+'Tierra del Fuego'!D45</f>
        <v>15469</v>
      </c>
      <c r="E46" s="65">
        <f>+'Partidos de GBA'!E45+'Capital Federal'!E45+'Resto de Buenos Aires'!E45+Catamarca!E45+Cordoba!E45+Corrientes!E45+Chaco!E45+Chubut!E45+'Entre Rios'!E45+Formosa!E45+Jujuy!E45+'La Pampa'!E45+'La Rioja'!E45+Mendoza!E45+Misiones!E45+Neuquen!E45+'Rio Negro'!E45+Salta!E45+'San Juan'!E45+'San Luis'!E45+'Santa Cruz'!E45+'Santa Fe'!E45+'Santiago del Estero'!E45+Tucuman!E45+'Tierra del Fuego'!E45</f>
        <v>15614</v>
      </c>
      <c r="F46" s="65">
        <f>+'Partidos de GBA'!F45+'Capital Federal'!F45+'Resto de Buenos Aires'!F45+Catamarca!F45+Cordoba!F45+Corrientes!F45+Chaco!F45+Chubut!F45+'Entre Rios'!F45+Formosa!F45+Jujuy!F45+'La Pampa'!F45+'La Rioja'!F45+Mendoza!F45+Misiones!F45+Neuquen!F45+'Rio Negro'!F45+Salta!F45+'San Juan'!F45+'San Luis'!F45+'Santa Cruz'!F45+'Santa Fe'!F45+'Santiago del Estero'!F45+Tucuman!F45+'Tierra del Fuego'!F45</f>
        <v>15515</v>
      </c>
      <c r="G46" s="65">
        <f>+'Partidos de GBA'!G45+'Capital Federal'!G45+'Resto de Buenos Aires'!G45+Catamarca!G45+Cordoba!G45+Corrientes!G45+Chaco!G45+Chubut!G45+'Entre Rios'!G45+Formosa!G45+Jujuy!G45+'La Pampa'!G45+'La Rioja'!G45+Mendoza!G45+Misiones!G45+Neuquen!G45+'Rio Negro'!G45+Salta!G45+'San Juan'!G45+'San Luis'!G45+'Santa Cruz'!G45+'Santa Fe'!G45+'Santiago del Estero'!G45+Tucuman!G45+'Tierra del Fuego'!G45</f>
        <v>14723</v>
      </c>
      <c r="H46" s="65">
        <f>+'Partidos de GBA'!H45+'Capital Federal'!H45+'Resto de Buenos Aires'!H45+Catamarca!H45+Cordoba!H45+Corrientes!H45+Chaco!H45+Chubut!H45+'Entre Rios'!H45+Formosa!H45+Jujuy!H45+'La Pampa'!H45+'La Rioja'!H45+Mendoza!H45+Misiones!H45+Neuquen!H45+'Rio Negro'!H45+Salta!H45+'San Juan'!H45+'San Luis'!H45+'Santa Cruz'!H45+'Santa Fe'!H45+'Santiago del Estero'!H45+Tucuman!H45+'Tierra del Fuego'!H45</f>
        <v>14102</v>
      </c>
      <c r="I46" s="65">
        <f>+'Partidos de GBA'!I45+'Capital Federal'!I45+'Resto de Buenos Aires'!I45+Catamarca!I45+Cordoba!I45+Corrientes!I45+Chaco!I45+Chubut!I45+'Entre Rios'!I45+Formosa!I45+Jujuy!I45+'La Pampa'!I45+'La Rioja'!I45+Mendoza!I45+Misiones!I45+Neuquen!I45+'Rio Negro'!I45+Salta!I45+'San Juan'!I45+'San Luis'!I45+'Santa Cruz'!I45+'Santa Fe'!I45+'Santiago del Estero'!I45+Tucuman!I45+'Tierra del Fuego'!I45</f>
        <v>13334</v>
      </c>
      <c r="J46" s="65">
        <f>+'Partidos de GBA'!J45+'Capital Federal'!J45+'Resto de Buenos Aires'!J45+Catamarca!J45+Cordoba!J45+Corrientes!J45+Chaco!J45+Chubut!J45+'Entre Rios'!J45+Formosa!J45+Jujuy!J45+'La Pampa'!J45+'La Rioja'!J45+Mendoza!J45+Misiones!J45+Neuquen!J45+'Rio Negro'!J45+Salta!J45+'San Juan'!J45+'San Luis'!J45+'Santa Cruz'!J45+'Santa Fe'!J45+'Santiago del Estero'!J45+Tucuman!J45+'Tierra del Fuego'!J45</f>
        <v>14505</v>
      </c>
      <c r="K46" s="65">
        <f>+'Partidos de GBA'!K45+'Capital Federal'!K45+'Resto de Buenos Aires'!K45+Catamarca!K45+Cordoba!K45+Corrientes!K45+Chaco!K45+Chubut!K45+'Entre Rios'!K45+Formosa!K45+Jujuy!K45+'La Pampa'!K45+'La Rioja'!K45+Mendoza!K45+Misiones!K45+Neuquen!K45+'Rio Negro'!K45+Salta!K45+'San Juan'!K45+'San Luis'!K45+'Santa Cruz'!K45+'Santa Fe'!K45+'Santiago del Estero'!K45+Tucuman!K45+'Tierra del Fuego'!K45</f>
        <v>16755</v>
      </c>
      <c r="L46" s="65">
        <f>+'Partidos de GBA'!L45+'Capital Federal'!L45+'Resto de Buenos Aires'!L45+Catamarca!L45+Cordoba!L45+Corrientes!L45+Chaco!L45+Chubut!L45+'Entre Rios'!L45+Formosa!L45+Jujuy!L45+'La Pampa'!L45+'La Rioja'!L45+Mendoza!L45+Misiones!L45+Neuquen!L45+'Rio Negro'!L45+Salta!L45+'San Juan'!L45+'San Luis'!L45+'Santa Cruz'!L45+'Santa Fe'!L45+'Santiago del Estero'!L45+Tucuman!L45+'Tierra del Fuego'!L45</f>
        <v>18087</v>
      </c>
      <c r="M46" s="65">
        <f>+'Partidos de GBA'!M45+'Capital Federal'!M45+'Resto de Buenos Aires'!M45+Catamarca!M45+Cordoba!M45+Corrientes!M45+Chaco!M45+Chubut!M45+'Entre Rios'!M45+Formosa!M45+Jujuy!M45+'La Pampa'!M45+'La Rioja'!M45+Mendoza!M45+Misiones!M45+Neuquen!M45+'Rio Negro'!M45+Salta!M45+'San Juan'!M45+'San Luis'!M45+'Santa Cruz'!M45+'Santa Fe'!M45+'Santiago del Estero'!M45+Tucuman!M45+'Tierra del Fuego'!M45</f>
        <v>19206</v>
      </c>
      <c r="N46" s="65">
        <f>+'Partidos de GBA'!N45+'Capital Federal'!N45+'Resto de Buenos Aires'!N45+Catamarca!N45+Cordoba!N45+Corrientes!N45+Chaco!N45+Chubut!N45+'Entre Rios'!N45+Formosa!N45+Jujuy!N45+'La Pampa'!N45+'La Rioja'!N45+Mendoza!N45+Misiones!N45+Neuquen!N45+'Rio Negro'!N45+Salta!N45+'San Juan'!N45+'San Luis'!N45+'Santa Cruz'!N45+'Santa Fe'!N45+'Santiago del Estero'!N45+Tucuman!N45+'Tierra del Fuego'!N45</f>
        <v>20283</v>
      </c>
      <c r="O46" s="65">
        <f>+'Partidos de GBA'!O45+'Capital Federal'!O45+'Resto de Buenos Aires'!O45+Catamarca!O45+Cordoba!O45+Corrientes!O45+Chaco!O45+Chubut!O45+'Entre Rios'!O45+Formosa!O45+Jujuy!O45+'La Pampa'!O45+'La Rioja'!O45+Mendoza!O45+Misiones!O45+Neuquen!O45+'Rio Negro'!O45+Salta!O45+'San Juan'!O45+'San Luis'!O45+'Santa Cruz'!O45+'Santa Fe'!O45+'Santiago del Estero'!O45+Tucuman!O45+'Tierra del Fuego'!O45</f>
        <v>21133</v>
      </c>
      <c r="P46" s="65">
        <f>+'Partidos de GBA'!P45+'Capital Federal'!P45+'Resto de Buenos Aires'!P45+Catamarca!P45+Cordoba!P45+Corrientes!P45+Chaco!P45+Chubut!P45+'Entre Rios'!P45+Formosa!P45+Jujuy!P45+'La Pampa'!P45+'La Rioja'!P45+Mendoza!P45+Misiones!P45+Neuquen!P45+'Rio Negro'!P45+Salta!P45+'San Juan'!P45+'San Luis'!P45+'Santa Cruz'!P45+'Santa Fe'!P45+'Santiago del Estero'!P45+Tucuman!P45+'Tierra del Fuego'!P45</f>
        <v>21352</v>
      </c>
      <c r="Q46" s="65">
        <f>+'Partidos de GBA'!W45+'Capital Federal'!W45+'Resto de Buenos Aires'!W45+Catamarca!W45+Cordoba!W45+Corrientes!W45+Chaco!W45+Chubut!W45+'Entre Rios'!W45+Formosa!W45+Jujuy!W45+'La Pampa'!W45+'La Rioja'!W45+Mendoza!W45+Misiones!W45+Neuquen!W45+'Rio Negro'!W45+Salta!W45+'San Juan'!W45+'San Luis'!W45+'Santa Cruz'!W45+'Santa Fe'!W45+'Santiago del Estero'!W45+Tucuman!W45+'Tierra del Fuego'!W45</f>
        <v>22252</v>
      </c>
      <c r="R46" s="65">
        <f>+'Partidos de GBA'!X45+'Capital Federal'!X45+'Resto de Buenos Aires'!X45+Catamarca!X45+Cordoba!X45+Corrientes!X45+Chaco!X45+Chubut!X45+'Entre Rios'!X45+Formosa!X45+Jujuy!X45+'La Pampa'!X45+'La Rioja'!X45+Mendoza!X45+Misiones!X45+Neuquen!X45+'Rio Negro'!X45+Salta!X45+'San Juan'!X45+'San Luis'!X45+'Santa Cruz'!X45+'Santa Fe'!X45+'Santiago del Estero'!X45+Tucuman!X45+'Tierra del Fuego'!X45</f>
        <v>22370</v>
      </c>
      <c r="S46" s="65"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T46" s="65"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U46" s="65"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V46" s="65"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W46" s="65"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X46" s="65"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Y46" s="65"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Z46" s="65"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A46" s="65"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B46" s="65"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C46" s="65"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D46" s="65"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E46" s="65"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F46" s="65"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G46" s="65"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H46" s="65"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I46" s="65"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J46" s="65"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K46" s="65"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L46" s="65"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M46" s="65"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N46" s="65"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O46" s="65"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P46" s="65"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Q46" s="65"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R46" s="65"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S46" s="65"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T46" s="65"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U46" s="65"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V46" s="65"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W46" s="65"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X46" s="65"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Y46" s="65"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Z46" s="65"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A46" s="65"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B46" s="65"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C46" s="65"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D46" s="65"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E46" s="65"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F46" s="65"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G46" s="65"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H46" s="65"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I46" s="65"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J46" s="65"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K46" s="65"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L46" s="65"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M46" s="65"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N46" s="65"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O46" s="65"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P46" s="65"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Q46" s="65"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R46" s="65"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S46" s="65"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T46" s="65"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U46" s="65"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V46" s="65"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W46" s="65"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X46" s="65"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Y46" s="65"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Z46" s="65"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A46" s="65"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B46" s="65"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C46" s="65"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D46" s="65"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E46" s="65"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F46" s="65"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G46" s="65"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H46" s="65"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I46" s="65"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J46" s="65"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K46" s="65"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L46" s="65"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M46" s="65"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N46" s="65"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O46" s="65"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P46" s="65"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Q46" s="65"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R46" s="65"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S46" s="65"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T46" s="65"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U46" s="65"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V46" s="65"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W46" s="65"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X46" s="65"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Y46" s="65"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Z46" s="65"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DA46" s="65"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DB46" s="65"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DC46" s="65"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DD46" s="65"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DE46" s="65"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DF46" s="65">
        <f>+'Partidos de GBA'!Y45+'Capital Federal'!Y45+'Resto de Buenos Aires'!Y45+Catamarca!Y45+Cordoba!Y45+Corrientes!Y45+Chaco!Y45+Chubut!Y45+'Entre Rios'!Y45+Formosa!Y45+Jujuy!Y45+'La Pampa'!Y45+'La Rioja'!Y45+Mendoza!Y45+Misiones!Y45+Neuquen!Y45+'Rio Negro'!Y45+Salta!Y45+'San Juan'!Y45+'San Luis'!Y45+'Santa Cruz'!Y45+'Santa Fe'!Y45+'Santiago del Estero'!Y45+Tucuman!Y45+'Tierra del Fuego'!Y45</f>
        <v>22028</v>
      </c>
      <c r="DG46" s="65">
        <f>+'Partidos de GBA'!AE45+'Capital Federal'!AE45+'Resto de Buenos Aires'!AE45+Catamarca!AE45+Cordoba!AE45+Corrientes!AE45+Chaco!AE45+Chubut!AE45+'Entre Rios'!AE45+Formosa!AE45+Jujuy!AE45+'La Pampa'!AE45+'La Rioja'!AE45+Mendoza!AE45+Misiones!AE45+Neuquen!AE45+'Rio Negro'!AE45+Salta!AE45+'San Juan'!AE45+'San Luis'!AE45+'Santa Cruz'!AE45+'Santa Fe'!AE45+'Santiago del Estero'!AE45+Tucuman!AE45+'Tierra del Fuego'!AE45</f>
        <v>22518</v>
      </c>
    </row>
    <row r="47" spans="1:111" ht="15" customHeight="1" x14ac:dyDescent="0.25">
      <c r="A47" s="46">
        <v>51</v>
      </c>
      <c r="B47" s="17" t="s">
        <v>58</v>
      </c>
      <c r="C47" s="70">
        <f>+'Partidos de GBA'!C46+'Capital Federal'!C46+'Resto de Buenos Aires'!C46+Catamarca!C46+Cordoba!C46+Corrientes!C46+Chaco!C46+Chubut!C46+'Entre Rios'!C46+Formosa!C46+Jujuy!C46+'La Pampa'!C46+'La Rioja'!C46+Mendoza!C46+Misiones!C46+Neuquen!C46+'Rio Negro'!C46+Salta!C46+'San Juan'!C46+'San Luis'!C46+'Santa Cruz'!C46+'Santa Fe'!C46+'Santiago del Estero'!C46+Tucuman!C46+'Tierra del Fuego'!C46</f>
        <v>24351</v>
      </c>
      <c r="D47" s="70">
        <f>+'Partidos de GBA'!D46+'Capital Federal'!D46+'Resto de Buenos Aires'!D46+Catamarca!D46+Cordoba!D46+Corrientes!D46+Chaco!D46+Chubut!D46+'Entre Rios'!D46+Formosa!D46+Jujuy!D46+'La Pampa'!D46+'La Rioja'!D46+Mendoza!D46+Misiones!D46+Neuquen!D46+'Rio Negro'!D46+Salta!D46+'San Juan'!D46+'San Luis'!D46+'Santa Cruz'!D46+'Santa Fe'!D46+'Santiago del Estero'!D46+Tucuman!D46+'Tierra del Fuego'!D46</f>
        <v>24622</v>
      </c>
      <c r="E47" s="70">
        <f>+'Partidos de GBA'!E46+'Capital Federal'!E46+'Resto de Buenos Aires'!E46+Catamarca!E46+Cordoba!E46+Corrientes!E46+Chaco!E46+Chubut!E46+'Entre Rios'!E46+Formosa!E46+Jujuy!E46+'La Pampa'!E46+'La Rioja'!E46+Mendoza!E46+Misiones!E46+Neuquen!E46+'Rio Negro'!E46+Salta!E46+'San Juan'!E46+'San Luis'!E46+'Santa Cruz'!E46+'Santa Fe'!E46+'Santiago del Estero'!E46+Tucuman!E46+'Tierra del Fuego'!E46</f>
        <v>24470</v>
      </c>
      <c r="F47" s="70">
        <f>+'Partidos de GBA'!F46+'Capital Federal'!F46+'Resto de Buenos Aires'!F46+Catamarca!F46+Cordoba!F46+Corrientes!F46+Chaco!F46+Chubut!F46+'Entre Rios'!F46+Formosa!F46+Jujuy!F46+'La Pampa'!F46+'La Rioja'!F46+Mendoza!F46+Misiones!F46+Neuquen!F46+'Rio Negro'!F46+Salta!F46+'San Juan'!F46+'San Luis'!F46+'Santa Cruz'!F46+'Santa Fe'!F46+'Santiago del Estero'!F46+Tucuman!F46+'Tierra del Fuego'!F46</f>
        <v>25075</v>
      </c>
      <c r="G47" s="70">
        <f>+'Partidos de GBA'!G46+'Capital Federal'!G46+'Resto de Buenos Aires'!G46+Catamarca!G46+Cordoba!G46+Corrientes!G46+Chaco!G46+Chubut!G46+'Entre Rios'!G46+Formosa!G46+Jujuy!G46+'La Pampa'!G46+'La Rioja'!G46+Mendoza!G46+Misiones!G46+Neuquen!G46+'Rio Negro'!G46+Salta!G46+'San Juan'!G46+'San Luis'!G46+'Santa Cruz'!G46+'Santa Fe'!G46+'Santiago del Estero'!G46+Tucuman!G46+'Tierra del Fuego'!G46</f>
        <v>23793</v>
      </c>
      <c r="H47" s="70">
        <f>+'Partidos de GBA'!H46+'Capital Federal'!H46+'Resto de Buenos Aires'!H46+Catamarca!H46+Cordoba!H46+Corrientes!H46+Chaco!H46+Chubut!H46+'Entre Rios'!H46+Formosa!H46+Jujuy!H46+'La Pampa'!H46+'La Rioja'!H46+Mendoza!H46+Misiones!H46+Neuquen!H46+'Rio Negro'!H46+Salta!H46+'San Juan'!H46+'San Luis'!H46+'Santa Cruz'!H46+'Santa Fe'!H46+'Santiago del Estero'!H46+Tucuman!H46+'Tierra del Fuego'!H46</f>
        <v>22835</v>
      </c>
      <c r="I47" s="70">
        <f>+'Partidos de GBA'!I46+'Capital Federal'!I46+'Resto de Buenos Aires'!I46+Catamarca!I46+Cordoba!I46+Corrientes!I46+Chaco!I46+Chubut!I46+'Entre Rios'!I46+Formosa!I46+Jujuy!I46+'La Pampa'!I46+'La Rioja'!I46+Mendoza!I46+Misiones!I46+Neuquen!I46+'Rio Negro'!I46+Salta!I46+'San Juan'!I46+'San Luis'!I46+'Santa Cruz'!I46+'Santa Fe'!I46+'Santiago del Estero'!I46+Tucuman!I46+'Tierra del Fuego'!I46</f>
        <v>21641</v>
      </c>
      <c r="J47" s="70">
        <f>+'Partidos de GBA'!J46+'Capital Federal'!J46+'Resto de Buenos Aires'!J46+Catamarca!J46+Cordoba!J46+Corrientes!J46+Chaco!J46+Chubut!J46+'Entre Rios'!J46+Formosa!J46+Jujuy!J46+'La Pampa'!J46+'La Rioja'!J46+Mendoza!J46+Misiones!J46+Neuquen!J46+'Rio Negro'!J46+Salta!J46+'San Juan'!J46+'San Luis'!J46+'Santa Cruz'!J46+'Santa Fe'!J46+'Santiago del Estero'!J46+Tucuman!J46+'Tierra del Fuego'!J46</f>
        <v>23623</v>
      </c>
      <c r="K47" s="70">
        <f>+'Partidos de GBA'!K46+'Capital Federal'!K46+'Resto de Buenos Aires'!K46+Catamarca!K46+Cordoba!K46+Corrientes!K46+Chaco!K46+Chubut!K46+'Entre Rios'!K46+Formosa!K46+Jujuy!K46+'La Pampa'!K46+'La Rioja'!K46+Mendoza!K46+Misiones!K46+Neuquen!K46+'Rio Negro'!K46+Salta!K46+'San Juan'!K46+'San Luis'!K46+'Santa Cruz'!K46+'Santa Fe'!K46+'Santiago del Estero'!K46+Tucuman!K46+'Tierra del Fuego'!K46</f>
        <v>26046</v>
      </c>
      <c r="L47" s="70">
        <f>+'Partidos de GBA'!L46+'Capital Federal'!L46+'Resto de Buenos Aires'!L46+Catamarca!L46+Cordoba!L46+Corrientes!L46+Chaco!L46+Chubut!L46+'Entre Rios'!L46+Formosa!L46+Jujuy!L46+'La Pampa'!L46+'La Rioja'!L46+Mendoza!L46+Misiones!L46+Neuquen!L46+'Rio Negro'!L46+Salta!L46+'San Juan'!L46+'San Luis'!L46+'Santa Cruz'!L46+'Santa Fe'!L46+'Santiago del Estero'!L46+Tucuman!L46+'Tierra del Fuego'!L46</f>
        <v>27985</v>
      </c>
      <c r="M47" s="70">
        <f>+'Partidos de GBA'!M46+'Capital Federal'!M46+'Resto de Buenos Aires'!M46+Catamarca!M46+Cordoba!M46+Corrientes!M46+Chaco!M46+Chubut!M46+'Entre Rios'!M46+Formosa!M46+Jujuy!M46+'La Pampa'!M46+'La Rioja'!M46+Mendoza!M46+Misiones!M46+Neuquen!M46+'Rio Negro'!M46+Salta!M46+'San Juan'!M46+'San Luis'!M46+'Santa Cruz'!M46+'Santa Fe'!M46+'Santiago del Estero'!M46+Tucuman!M46+'Tierra del Fuego'!M46</f>
        <v>29688</v>
      </c>
      <c r="N47" s="70">
        <f>+'Partidos de GBA'!N46+'Capital Federal'!N46+'Resto de Buenos Aires'!N46+Catamarca!N46+Cordoba!N46+Corrientes!N46+Chaco!N46+Chubut!N46+'Entre Rios'!N46+Formosa!N46+Jujuy!N46+'La Pampa'!N46+'La Rioja'!N46+Mendoza!N46+Misiones!N46+Neuquen!N46+'Rio Negro'!N46+Salta!N46+'San Juan'!N46+'San Luis'!N46+'Santa Cruz'!N46+'Santa Fe'!N46+'Santiago del Estero'!N46+Tucuman!N46+'Tierra del Fuego'!N46</f>
        <v>31125</v>
      </c>
      <c r="O47" s="70">
        <f>+'Partidos de GBA'!O46+'Capital Federal'!O46+'Resto de Buenos Aires'!O46+Catamarca!O46+Cordoba!O46+Corrientes!O46+Chaco!O46+Chubut!O46+'Entre Rios'!O46+Formosa!O46+Jujuy!O46+'La Pampa'!O46+'La Rioja'!O46+Mendoza!O46+Misiones!O46+Neuquen!O46+'Rio Negro'!O46+Salta!O46+'San Juan'!O46+'San Luis'!O46+'Santa Cruz'!O46+'Santa Fe'!O46+'Santiago del Estero'!O46+Tucuman!O46+'Tierra del Fuego'!O46</f>
        <v>32488</v>
      </c>
      <c r="P47" s="70">
        <f>+'Partidos de GBA'!P46+'Capital Federal'!P46+'Resto de Buenos Aires'!P46+Catamarca!P46+Cordoba!P46+Corrientes!P46+Chaco!P46+Chubut!P46+'Entre Rios'!P46+Formosa!P46+Jujuy!P46+'La Pampa'!P46+'La Rioja'!P46+Mendoza!P46+Misiones!P46+Neuquen!P46+'Rio Negro'!P46+Salta!P46+'San Juan'!P46+'San Luis'!P46+'Santa Cruz'!P46+'Santa Fe'!P46+'Santiago del Estero'!P46+Tucuman!P46+'Tierra del Fuego'!P46</f>
        <v>32885</v>
      </c>
      <c r="Q47" s="70">
        <f>+'Partidos de GBA'!W46+'Capital Federal'!W46+'Resto de Buenos Aires'!W46+Catamarca!W46+Cordoba!W46+Corrientes!W46+Chaco!W46+Chubut!W46+'Entre Rios'!W46+Formosa!W46+Jujuy!W46+'La Pampa'!W46+'La Rioja'!W46+Mendoza!W46+Misiones!W46+Neuquen!W46+'Rio Negro'!W46+Salta!W46+'San Juan'!W46+'San Luis'!W46+'Santa Cruz'!W46+'Santa Fe'!W46+'Santiago del Estero'!W46+Tucuman!W46+'Tierra del Fuego'!W46</f>
        <v>36159</v>
      </c>
      <c r="R47" s="70">
        <f>+'Partidos de GBA'!X46+'Capital Federal'!X46+'Resto de Buenos Aires'!X46+Catamarca!X46+Cordoba!X46+Corrientes!X46+Chaco!X46+Chubut!X46+'Entre Rios'!X46+Formosa!X46+Jujuy!X46+'La Pampa'!X46+'La Rioja'!X46+Mendoza!X46+Misiones!X46+Neuquen!X46+'Rio Negro'!X46+Salta!X46+'San Juan'!X46+'San Luis'!X46+'Santa Cruz'!X46+'Santa Fe'!X46+'Santiago del Estero'!X46+Tucuman!X46+'Tierra del Fuego'!X46</f>
        <v>36350</v>
      </c>
      <c r="S47" s="70"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T47" s="70"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U47" s="70"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V47" s="70"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W47" s="70"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X47" s="70"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Y47" s="70"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Z47" s="70"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A47" s="70"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B47" s="70"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C47" s="70"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D47" s="70"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E47" s="70"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F47" s="70"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G47" s="70"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H47" s="70"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I47" s="70"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J47" s="70"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K47" s="70"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L47" s="70"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M47" s="70"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N47" s="70"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O47" s="70"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P47" s="70"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Q47" s="70"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R47" s="70"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S47" s="70"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T47" s="70"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U47" s="70"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V47" s="70"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W47" s="70"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X47" s="70"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Y47" s="70"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Z47" s="70"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A47" s="70"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B47" s="70"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C47" s="70"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D47" s="70"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E47" s="70"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F47" s="70"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G47" s="70"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H47" s="70"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I47" s="70"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J47" s="70"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K47" s="70"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L47" s="70"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M47" s="70"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N47" s="70"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O47" s="70"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P47" s="70"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Q47" s="70"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R47" s="70"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S47" s="70"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T47" s="70"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U47" s="70"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V47" s="70"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W47" s="70"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X47" s="70"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Y47" s="70"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Z47" s="70"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A47" s="70"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B47" s="70"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C47" s="70"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D47" s="70"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E47" s="70"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F47" s="70"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G47" s="70"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H47" s="70"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I47" s="70"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J47" s="70"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K47" s="70"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L47" s="70"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M47" s="70"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N47" s="70"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O47" s="70"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P47" s="70"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Q47" s="70"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R47" s="70"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S47" s="70"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T47" s="70"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U47" s="70"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V47" s="70"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W47" s="70"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X47" s="70"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Y47" s="70"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Z47" s="70"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DA47" s="70"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DB47" s="70"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DC47" s="70"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DD47" s="70"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DE47" s="70"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DF47" s="70">
        <f>+'Partidos de GBA'!Y46+'Capital Federal'!Y46+'Resto de Buenos Aires'!Y46+Catamarca!Y46+Cordoba!Y46+Corrientes!Y46+Chaco!Y46+Chubut!Y46+'Entre Rios'!Y46+Formosa!Y46+Jujuy!Y46+'La Pampa'!Y46+'La Rioja'!Y46+Mendoza!Y46+Misiones!Y46+Neuquen!Y46+'Rio Negro'!Y46+Salta!Y46+'San Juan'!Y46+'San Luis'!Y46+'Santa Cruz'!Y46+'Santa Fe'!Y46+'Santiago del Estero'!Y46+Tucuman!Y46+'Tierra del Fuego'!Y46</f>
        <v>35907</v>
      </c>
      <c r="DG47" s="70">
        <f>+'Partidos de GBA'!AE46+'Capital Federal'!AE46+'Resto de Buenos Aires'!AE46+Catamarca!AE46+Cordoba!AE46+Corrientes!AE46+Chaco!AE46+Chubut!AE46+'Entre Rios'!AE46+Formosa!AE46+Jujuy!AE46+'La Pampa'!AE46+'La Rioja'!AE46+Mendoza!AE46+Misiones!AE46+Neuquen!AE46+'Rio Negro'!AE46+Salta!AE46+'San Juan'!AE46+'San Luis'!AE46+'Santa Cruz'!AE46+'Santa Fe'!AE46+'Santiago del Estero'!AE46+Tucuman!AE46+'Tierra del Fuego'!AE46</f>
        <v>39615</v>
      </c>
    </row>
    <row r="48" spans="1:111" ht="15" customHeight="1" thickBot="1" x14ac:dyDescent="0.3">
      <c r="A48" s="47">
        <v>52</v>
      </c>
      <c r="B48" s="18" t="s">
        <v>59</v>
      </c>
      <c r="C48" s="71">
        <f>+'Partidos de GBA'!C47+'Capital Federal'!C47+'Resto de Buenos Aires'!C47+Catamarca!C47+Cordoba!C47+Corrientes!C47+Chaco!C47+Chubut!C47+'Entre Rios'!C47+Formosa!C47+Jujuy!C47+'La Pampa'!C47+'La Rioja'!C47+Mendoza!C47+Misiones!C47+Neuquen!C47+'Rio Negro'!C47+Salta!C47+'San Juan'!C47+'San Luis'!C47+'Santa Cruz'!C47+'Santa Fe'!C47+'Santiago del Estero'!C47+Tucuman!C47+'Tierra del Fuego'!C47</f>
        <v>56799</v>
      </c>
      <c r="D48" s="71">
        <f>+'Partidos de GBA'!D47+'Capital Federal'!D47+'Resto de Buenos Aires'!D47+Catamarca!D47+Cordoba!D47+Corrientes!D47+Chaco!D47+Chubut!D47+'Entre Rios'!D47+Formosa!D47+Jujuy!D47+'La Pampa'!D47+'La Rioja'!D47+Mendoza!D47+Misiones!D47+Neuquen!D47+'Rio Negro'!D47+Salta!D47+'San Juan'!D47+'San Luis'!D47+'Santa Cruz'!D47+'Santa Fe'!D47+'Santiago del Estero'!D47+Tucuman!D47+'Tierra del Fuego'!D47</f>
        <v>56656</v>
      </c>
      <c r="E48" s="71">
        <f>+'Partidos de GBA'!E47+'Capital Federal'!E47+'Resto de Buenos Aires'!E47+Catamarca!E47+Cordoba!E47+Corrientes!E47+Chaco!E47+Chubut!E47+'Entre Rios'!E47+Formosa!E47+Jujuy!E47+'La Pampa'!E47+'La Rioja'!E47+Mendoza!E47+Misiones!E47+Neuquen!E47+'Rio Negro'!E47+Salta!E47+'San Juan'!E47+'San Luis'!E47+'Santa Cruz'!E47+'Santa Fe'!E47+'Santiago del Estero'!E47+Tucuman!E47+'Tierra del Fuego'!E47</f>
        <v>56414</v>
      </c>
      <c r="F48" s="71">
        <f>+'Partidos de GBA'!F47+'Capital Federal'!F47+'Resto de Buenos Aires'!F47+Catamarca!F47+Cordoba!F47+Corrientes!F47+Chaco!F47+Chubut!F47+'Entre Rios'!F47+Formosa!F47+Jujuy!F47+'La Pampa'!F47+'La Rioja'!F47+Mendoza!F47+Misiones!F47+Neuquen!F47+'Rio Negro'!F47+Salta!F47+'San Juan'!F47+'San Luis'!F47+'Santa Cruz'!F47+'Santa Fe'!F47+'Santiago del Estero'!F47+Tucuman!F47+'Tierra del Fuego'!F47</f>
        <v>54893</v>
      </c>
      <c r="G48" s="71">
        <f>+'Partidos de GBA'!G47+'Capital Federal'!G47+'Resto de Buenos Aires'!G47+Catamarca!G47+Cordoba!G47+Corrientes!G47+Chaco!G47+Chubut!G47+'Entre Rios'!G47+Formosa!G47+Jujuy!G47+'La Pampa'!G47+'La Rioja'!G47+Mendoza!G47+Misiones!G47+Neuquen!G47+'Rio Negro'!G47+Salta!G47+'San Juan'!G47+'San Luis'!G47+'Santa Cruz'!G47+'Santa Fe'!G47+'Santiago del Estero'!G47+Tucuman!G47+'Tierra del Fuego'!G47</f>
        <v>53899</v>
      </c>
      <c r="H48" s="71">
        <f>+'Partidos de GBA'!H47+'Capital Federal'!H47+'Resto de Buenos Aires'!H47+Catamarca!H47+Cordoba!H47+Corrientes!H47+Chaco!H47+Chubut!H47+'Entre Rios'!H47+Formosa!H47+Jujuy!H47+'La Pampa'!H47+'La Rioja'!H47+Mendoza!H47+Misiones!H47+Neuquen!H47+'Rio Negro'!H47+Salta!H47+'San Juan'!H47+'San Luis'!H47+'Santa Cruz'!H47+'Santa Fe'!H47+'Santiago del Estero'!H47+Tucuman!H47+'Tierra del Fuego'!H47</f>
        <v>51643</v>
      </c>
      <c r="I48" s="71">
        <f>+'Partidos de GBA'!I47+'Capital Federal'!I47+'Resto de Buenos Aires'!I47+Catamarca!I47+Cordoba!I47+Corrientes!I47+Chaco!I47+Chubut!I47+'Entre Rios'!I47+Formosa!I47+Jujuy!I47+'La Pampa'!I47+'La Rioja'!I47+Mendoza!I47+Misiones!I47+Neuquen!I47+'Rio Negro'!I47+Salta!I47+'San Juan'!I47+'San Luis'!I47+'Santa Cruz'!I47+'Santa Fe'!I47+'Santiago del Estero'!I47+Tucuman!I47+'Tierra del Fuego'!I47</f>
        <v>48391</v>
      </c>
      <c r="J48" s="71">
        <f>+'Partidos de GBA'!J47+'Capital Federal'!J47+'Resto de Buenos Aires'!J47+Catamarca!J47+Cordoba!J47+Corrientes!J47+Chaco!J47+Chubut!J47+'Entre Rios'!J47+Formosa!J47+Jujuy!J47+'La Pampa'!J47+'La Rioja'!J47+Mendoza!J47+Misiones!J47+Neuquen!J47+'Rio Negro'!J47+Salta!J47+'San Juan'!J47+'San Luis'!J47+'Santa Cruz'!J47+'Santa Fe'!J47+'Santiago del Estero'!J47+Tucuman!J47+'Tierra del Fuego'!J47</f>
        <v>54086</v>
      </c>
      <c r="K48" s="71">
        <f>+'Partidos de GBA'!K47+'Capital Federal'!K47+'Resto de Buenos Aires'!K47+Catamarca!K47+Cordoba!K47+Corrientes!K47+Chaco!K47+Chubut!K47+'Entre Rios'!K47+Formosa!K47+Jujuy!K47+'La Pampa'!K47+'La Rioja'!K47+Mendoza!K47+Misiones!K47+Neuquen!K47+'Rio Negro'!K47+Salta!K47+'San Juan'!K47+'San Luis'!K47+'Santa Cruz'!K47+'Santa Fe'!K47+'Santiago del Estero'!K47+Tucuman!K47+'Tierra del Fuego'!K47</f>
        <v>67739</v>
      </c>
      <c r="L48" s="71">
        <f>+'Partidos de GBA'!L47+'Capital Federal'!L47+'Resto de Buenos Aires'!L47+Catamarca!L47+Cordoba!L47+Corrientes!L47+Chaco!L47+Chubut!L47+'Entre Rios'!L47+Formosa!L47+Jujuy!L47+'La Pampa'!L47+'La Rioja'!L47+Mendoza!L47+Misiones!L47+Neuquen!L47+'Rio Negro'!L47+Salta!L47+'San Juan'!L47+'San Luis'!L47+'Santa Cruz'!L47+'Santa Fe'!L47+'Santiago del Estero'!L47+Tucuman!L47+'Tierra del Fuego'!L47</f>
        <v>75291</v>
      </c>
      <c r="M48" s="71">
        <f>+'Partidos de GBA'!M47+'Capital Federal'!M47+'Resto de Buenos Aires'!M47+Catamarca!M47+Cordoba!M47+Corrientes!M47+Chaco!M47+Chubut!M47+'Entre Rios'!M47+Formosa!M47+Jujuy!M47+'La Pampa'!M47+'La Rioja'!M47+Mendoza!M47+Misiones!M47+Neuquen!M47+'Rio Negro'!M47+Salta!M47+'San Juan'!M47+'San Luis'!M47+'Santa Cruz'!M47+'Santa Fe'!M47+'Santiago del Estero'!M47+Tucuman!M47+'Tierra del Fuego'!M47</f>
        <v>83589</v>
      </c>
      <c r="N48" s="71">
        <f>+'Partidos de GBA'!N47+'Capital Federal'!N47+'Resto de Buenos Aires'!N47+Catamarca!N47+Cordoba!N47+Corrientes!N47+Chaco!N47+Chubut!N47+'Entre Rios'!N47+Formosa!N47+Jujuy!N47+'La Pampa'!N47+'La Rioja'!N47+Mendoza!N47+Misiones!N47+Neuquen!N47+'Rio Negro'!N47+Salta!N47+'San Juan'!N47+'San Luis'!N47+'Santa Cruz'!N47+'Santa Fe'!N47+'Santiago del Estero'!N47+Tucuman!N47+'Tierra del Fuego'!N47</f>
        <v>90250</v>
      </c>
      <c r="O48" s="71">
        <f>+'Partidos de GBA'!O47+'Capital Federal'!O47+'Resto de Buenos Aires'!O47+Catamarca!O47+Cordoba!O47+Corrientes!O47+Chaco!O47+Chubut!O47+'Entre Rios'!O47+Formosa!O47+Jujuy!O47+'La Pampa'!O47+'La Rioja'!O47+Mendoza!O47+Misiones!O47+Neuquen!O47+'Rio Negro'!O47+Salta!O47+'San Juan'!O47+'San Luis'!O47+'Santa Cruz'!O47+'Santa Fe'!O47+'Santiago del Estero'!O47+Tucuman!O47+'Tierra del Fuego'!O47</f>
        <v>96787</v>
      </c>
      <c r="P48" s="71">
        <f>+'Partidos de GBA'!P47+'Capital Federal'!P47+'Resto de Buenos Aires'!P47+Catamarca!P47+Cordoba!P47+Corrientes!P47+Chaco!P47+Chubut!P47+'Entre Rios'!P47+Formosa!P47+Jujuy!P47+'La Pampa'!P47+'La Rioja'!P47+Mendoza!P47+Misiones!P47+Neuquen!P47+'Rio Negro'!P47+Salta!P47+'San Juan'!P47+'San Luis'!P47+'Santa Cruz'!P47+'Santa Fe'!P47+'Santiago del Estero'!P47+Tucuman!P47+'Tierra del Fuego'!P47</f>
        <v>100350</v>
      </c>
      <c r="Q48" s="71">
        <f>+'Partidos de GBA'!W47+'Capital Federal'!W47+'Resto de Buenos Aires'!W47+Catamarca!W47+Cordoba!W47+Corrientes!W47+Chaco!W47+Chubut!W47+'Entre Rios'!W47+Formosa!W47+Jujuy!W47+'La Pampa'!W47+'La Rioja'!W47+Mendoza!W47+Misiones!W47+Neuquen!W47+'Rio Negro'!W47+Salta!W47+'San Juan'!W47+'San Luis'!W47+'Santa Cruz'!W47+'Santa Fe'!W47+'Santiago del Estero'!W47+Tucuman!W47+'Tierra del Fuego'!W47</f>
        <v>115402</v>
      </c>
      <c r="R48" s="71">
        <f>+'Partidos de GBA'!X47+'Capital Federal'!X47+'Resto de Buenos Aires'!X47+Catamarca!X47+Cordoba!X47+Corrientes!X47+Chaco!X47+Chubut!X47+'Entre Rios'!X47+Formosa!X47+Jujuy!X47+'La Pampa'!X47+'La Rioja'!X47+Mendoza!X47+Misiones!X47+Neuquen!X47+'Rio Negro'!X47+Salta!X47+'San Juan'!X47+'San Luis'!X47+'Santa Cruz'!X47+'Santa Fe'!X47+'Santiago del Estero'!X47+Tucuman!X47+'Tierra del Fuego'!X47</f>
        <v>118114</v>
      </c>
      <c r="S48" s="71"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T48" s="71"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U48" s="71"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V48" s="71"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W48" s="71"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X48" s="71"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Y48" s="71"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Z48" s="71"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A48" s="71"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B48" s="71"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C48" s="71"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D48" s="71"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E48" s="71"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F48" s="71"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G48" s="71"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H48" s="71"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I48" s="71"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J48" s="71"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K48" s="71"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L48" s="71"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M48" s="71"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N48" s="71"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O48" s="71"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P48" s="71"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Q48" s="71"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R48" s="71"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S48" s="71"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T48" s="71"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U48" s="71"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V48" s="71"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W48" s="71"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X48" s="71"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Y48" s="71"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Z48" s="71"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A48" s="71"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B48" s="71"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C48" s="71"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D48" s="71"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E48" s="71"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F48" s="71"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G48" s="71"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H48" s="71"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I48" s="71"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J48" s="71"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K48" s="71"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L48" s="71"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M48" s="71"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N48" s="71"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O48" s="71"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P48" s="71"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Q48" s="71"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R48" s="71"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S48" s="71"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T48" s="71"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U48" s="71"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V48" s="71"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W48" s="71"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X48" s="71"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Y48" s="71"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Z48" s="71"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A48" s="71"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B48" s="71"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C48" s="71"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D48" s="71"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E48" s="71"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F48" s="71"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G48" s="71"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H48" s="71"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I48" s="71"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J48" s="71"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K48" s="71"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L48" s="71"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M48" s="71"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N48" s="71"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O48" s="71"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P48" s="71"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Q48" s="71"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R48" s="71"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S48" s="71"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T48" s="71"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U48" s="71"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V48" s="71"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W48" s="71"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X48" s="71"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Y48" s="71"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Z48" s="71"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DA48" s="71"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DB48" s="71"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DC48" s="71"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DD48" s="71"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DE48" s="71"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DF48" s="71">
        <f>+'Partidos de GBA'!Y47+'Capital Federal'!Y47+'Resto de Buenos Aires'!Y47+Catamarca!Y47+Cordoba!Y47+Corrientes!Y47+Chaco!Y47+Chubut!Y47+'Entre Rios'!Y47+Formosa!Y47+Jujuy!Y47+'La Pampa'!Y47+'La Rioja'!Y47+Mendoza!Y47+Misiones!Y47+Neuquen!Y47+'Rio Negro'!Y47+Salta!Y47+'San Juan'!Y47+'San Luis'!Y47+'Santa Cruz'!Y47+'Santa Fe'!Y47+'Santiago del Estero'!Y47+Tucuman!Y47+'Tierra del Fuego'!Y47</f>
        <v>116074</v>
      </c>
      <c r="DG48" s="71">
        <f>+'Partidos de GBA'!AE47+'Capital Federal'!AE47+'Resto de Buenos Aires'!AE47+Catamarca!AE47+Cordoba!AE47+Corrientes!AE47+Chaco!AE47+Chubut!AE47+'Entre Rios'!AE47+Formosa!AE47+Jujuy!AE47+'La Pampa'!AE47+'La Rioja'!AE47+Mendoza!AE47+Misiones!AE47+Neuquen!AE47+'Rio Negro'!AE47+Salta!AE47+'San Juan'!AE47+'San Luis'!AE47+'Santa Cruz'!AE47+'Santa Fe'!AE47+'Santiago del Estero'!AE47+Tucuman!AE47+'Tierra del Fuego'!AE47</f>
        <v>119305</v>
      </c>
    </row>
    <row r="49" spans="1:111" ht="15" customHeight="1" thickBot="1" x14ac:dyDescent="0.3">
      <c r="A49" s="48" t="s">
        <v>60</v>
      </c>
      <c r="B49" s="19" t="s">
        <v>61</v>
      </c>
      <c r="C49" s="72">
        <f>+'Partidos de GBA'!C48+'Capital Federal'!C48+'Resto de Buenos Aires'!C48+Catamarca!C48+Cordoba!C48+Corrientes!C48+Chaco!C48+Chubut!C48+'Entre Rios'!C48+Formosa!C48+Jujuy!C48+'La Pampa'!C48+'La Rioja'!C48+Mendoza!C48+Misiones!C48+Neuquen!C48+'Rio Negro'!C48+Salta!C48+'San Juan'!C48+'San Luis'!C48+'Santa Cruz'!C48+'Santa Fe'!C48+'Santiago del Estero'!C48+Tucuman!C48+'Tierra del Fuego'!C48</f>
        <v>14677</v>
      </c>
      <c r="D49" s="72">
        <f>+'Partidos de GBA'!D48+'Capital Federal'!D48+'Resto de Buenos Aires'!D48+Catamarca!D48+Cordoba!D48+Corrientes!D48+Chaco!D48+Chubut!D48+'Entre Rios'!D48+Formosa!D48+Jujuy!D48+'La Pampa'!D48+'La Rioja'!D48+Mendoza!D48+Misiones!D48+Neuquen!D48+'Rio Negro'!D48+Salta!D48+'San Juan'!D48+'San Luis'!D48+'Santa Cruz'!D48+'Santa Fe'!D48+'Santiago del Estero'!D48+Tucuman!D48+'Tierra del Fuego'!D48</f>
        <v>14691</v>
      </c>
      <c r="E49" s="72">
        <f>+'Partidos de GBA'!E48+'Capital Federal'!E48+'Resto de Buenos Aires'!E48+Catamarca!E48+Cordoba!E48+Corrientes!E48+Chaco!E48+Chubut!E48+'Entre Rios'!E48+Formosa!E48+Jujuy!E48+'La Pampa'!E48+'La Rioja'!E48+Mendoza!E48+Misiones!E48+Neuquen!E48+'Rio Negro'!E48+Salta!E48+'San Juan'!E48+'San Luis'!E48+'Santa Cruz'!E48+'Santa Fe'!E48+'Santiago del Estero'!E48+Tucuman!E48+'Tierra del Fuego'!E48</f>
        <v>14462</v>
      </c>
      <c r="F49" s="72">
        <f>+'Partidos de GBA'!F48+'Capital Federal'!F48+'Resto de Buenos Aires'!F48+Catamarca!F48+Cordoba!F48+Corrientes!F48+Chaco!F48+Chubut!F48+'Entre Rios'!F48+Formosa!F48+Jujuy!F48+'La Pampa'!F48+'La Rioja'!F48+Mendoza!F48+Misiones!F48+Neuquen!F48+'Rio Negro'!F48+Salta!F48+'San Juan'!F48+'San Luis'!F48+'Santa Cruz'!F48+'Santa Fe'!F48+'Santiago del Estero'!F48+Tucuman!F48+'Tierra del Fuego'!F48</f>
        <v>13376</v>
      </c>
      <c r="G49" s="72">
        <f>+'Partidos de GBA'!G48+'Capital Federal'!G48+'Resto de Buenos Aires'!G48+Catamarca!G48+Cordoba!G48+Corrientes!G48+Chaco!G48+Chubut!G48+'Entre Rios'!G48+Formosa!G48+Jujuy!G48+'La Pampa'!G48+'La Rioja'!G48+Mendoza!G48+Misiones!G48+Neuquen!G48+'Rio Negro'!G48+Salta!G48+'San Juan'!G48+'San Luis'!G48+'Santa Cruz'!G48+'Santa Fe'!G48+'Santiago del Estero'!G48+Tucuman!G48+'Tierra del Fuego'!G48</f>
        <v>12500</v>
      </c>
      <c r="H49" s="72">
        <f>+'Partidos de GBA'!H48+'Capital Federal'!H48+'Resto de Buenos Aires'!H48+Catamarca!H48+Cordoba!H48+Corrientes!H48+Chaco!H48+Chubut!H48+'Entre Rios'!H48+Formosa!H48+Jujuy!H48+'La Pampa'!H48+'La Rioja'!H48+Mendoza!H48+Misiones!H48+Neuquen!H48+'Rio Negro'!H48+Salta!H48+'San Juan'!H48+'San Luis'!H48+'Santa Cruz'!H48+'Santa Fe'!H48+'Santiago del Estero'!H48+Tucuman!H48+'Tierra del Fuego'!H48</f>
        <v>11731</v>
      </c>
      <c r="I49" s="72">
        <f>+'Partidos de GBA'!I48+'Capital Federal'!I48+'Resto de Buenos Aires'!I48+Catamarca!I48+Cordoba!I48+Corrientes!I48+Chaco!I48+Chubut!I48+'Entre Rios'!I48+Formosa!I48+Jujuy!I48+'La Pampa'!I48+'La Rioja'!I48+Mendoza!I48+Misiones!I48+Neuquen!I48+'Rio Negro'!I48+Salta!I48+'San Juan'!I48+'San Luis'!I48+'Santa Cruz'!I48+'Santa Fe'!I48+'Santiago del Estero'!I48+Tucuman!I48+'Tierra del Fuego'!I48</f>
        <v>11098</v>
      </c>
      <c r="J49" s="72">
        <f>+'Partidos de GBA'!J48+'Capital Federal'!J48+'Resto de Buenos Aires'!J48+Catamarca!J48+Cordoba!J48+Corrientes!J48+Chaco!J48+Chubut!J48+'Entre Rios'!J48+Formosa!J48+Jujuy!J48+'La Pampa'!J48+'La Rioja'!J48+Mendoza!J48+Misiones!J48+Neuquen!J48+'Rio Negro'!J48+Salta!J48+'San Juan'!J48+'San Luis'!J48+'Santa Cruz'!J48+'Santa Fe'!J48+'Santiago del Estero'!J48+Tucuman!J48+'Tierra del Fuego'!J48</f>
        <v>12210</v>
      </c>
      <c r="K49" s="72">
        <f>+'Partidos de GBA'!K48+'Capital Federal'!K48+'Resto de Buenos Aires'!K48+Catamarca!K48+Cordoba!K48+Corrientes!K48+Chaco!K48+Chubut!K48+'Entre Rios'!K48+Formosa!K48+Jujuy!K48+'La Pampa'!K48+'La Rioja'!K48+Mendoza!K48+Misiones!K48+Neuquen!K48+'Rio Negro'!K48+Salta!K48+'San Juan'!K48+'San Luis'!K48+'Santa Cruz'!K48+'Santa Fe'!K48+'Santiago del Estero'!K48+Tucuman!K48+'Tierra del Fuego'!K48</f>
        <v>15980</v>
      </c>
      <c r="L49" s="72">
        <f>+'Partidos de GBA'!L48+'Capital Federal'!L48+'Resto de Buenos Aires'!L48+Catamarca!L48+Cordoba!L48+Corrientes!L48+Chaco!L48+Chubut!L48+'Entre Rios'!L48+Formosa!L48+Jujuy!L48+'La Pampa'!L48+'La Rioja'!L48+Mendoza!L48+Misiones!L48+Neuquen!L48+'Rio Negro'!L48+Salta!L48+'San Juan'!L48+'San Luis'!L48+'Santa Cruz'!L48+'Santa Fe'!L48+'Santiago del Estero'!L48+Tucuman!L48+'Tierra del Fuego'!L48</f>
        <v>18277</v>
      </c>
      <c r="M49" s="72">
        <f>+'Partidos de GBA'!M48+'Capital Federal'!M48+'Resto de Buenos Aires'!M48+Catamarca!M48+Cordoba!M48+Corrientes!M48+Chaco!M48+Chubut!M48+'Entre Rios'!M48+Formosa!M48+Jujuy!M48+'La Pampa'!M48+'La Rioja'!M48+Mendoza!M48+Misiones!M48+Neuquen!M48+'Rio Negro'!M48+Salta!M48+'San Juan'!M48+'San Luis'!M48+'Santa Cruz'!M48+'Santa Fe'!M48+'Santiago del Estero'!M48+Tucuman!M48+'Tierra del Fuego'!M48</f>
        <v>20572</v>
      </c>
      <c r="N49" s="72">
        <f>+'Partidos de GBA'!N48+'Capital Federal'!N48+'Resto de Buenos Aires'!N48+Catamarca!N48+Cordoba!N48+Corrientes!N48+Chaco!N48+Chubut!N48+'Entre Rios'!N48+Formosa!N48+Jujuy!N48+'La Pampa'!N48+'La Rioja'!N48+Mendoza!N48+Misiones!N48+Neuquen!N48+'Rio Negro'!N48+Salta!N48+'San Juan'!N48+'San Luis'!N48+'Santa Cruz'!N48+'Santa Fe'!N48+'Santiago del Estero'!N48+Tucuman!N48+'Tierra del Fuego'!N48</f>
        <v>22591</v>
      </c>
      <c r="O49" s="72">
        <f>+'Partidos de GBA'!O48+'Capital Federal'!O48+'Resto de Buenos Aires'!O48+Catamarca!O48+Cordoba!O48+Corrientes!O48+Chaco!O48+Chubut!O48+'Entre Rios'!O48+Formosa!O48+Jujuy!O48+'La Pampa'!O48+'La Rioja'!O48+Mendoza!O48+Misiones!O48+Neuquen!O48+'Rio Negro'!O48+Salta!O48+'San Juan'!O48+'San Luis'!O48+'Santa Cruz'!O48+'Santa Fe'!O48+'Santiago del Estero'!O48+Tucuman!O48+'Tierra del Fuego'!O48</f>
        <v>24344</v>
      </c>
      <c r="P49" s="72">
        <f>+'Partidos de GBA'!P48+'Capital Federal'!P48+'Resto de Buenos Aires'!P48+Catamarca!P48+Cordoba!P48+Corrientes!P48+Chaco!P48+Chubut!P48+'Entre Rios'!P48+Formosa!P48+Jujuy!P48+'La Pampa'!P48+'La Rioja'!P48+Mendoza!P48+Misiones!P48+Neuquen!P48+'Rio Negro'!P48+Salta!P48+'San Juan'!P48+'San Luis'!P48+'Santa Cruz'!P48+'Santa Fe'!P48+'Santiago del Estero'!P48+Tucuman!P48+'Tierra del Fuego'!P48</f>
        <v>25599</v>
      </c>
      <c r="Q49" s="72">
        <f>+'Partidos de GBA'!W48+'Capital Federal'!W48+'Resto de Buenos Aires'!W48+Catamarca!W48+Cordoba!W48+Corrientes!W48+Chaco!W48+Chubut!W48+'Entre Rios'!W48+Formosa!W48+Jujuy!W48+'La Pampa'!W48+'La Rioja'!W48+Mendoza!W48+Misiones!W48+Neuquen!W48+'Rio Negro'!W48+Salta!W48+'San Juan'!W48+'San Luis'!W48+'Santa Cruz'!W48+'Santa Fe'!W48+'Santiago del Estero'!W48+Tucuman!W48+'Tierra del Fuego'!W48</f>
        <v>30953</v>
      </c>
      <c r="R49" s="72">
        <f>+'Partidos de GBA'!X48+'Capital Federal'!X48+'Resto de Buenos Aires'!X48+Catamarca!X48+Cordoba!X48+Corrientes!X48+Chaco!X48+Chubut!X48+'Entre Rios'!X48+Formosa!X48+Jujuy!X48+'La Pampa'!X48+'La Rioja'!X48+Mendoza!X48+Misiones!X48+Neuquen!X48+'Rio Negro'!X48+Salta!X48+'San Juan'!X48+'San Luis'!X48+'Santa Cruz'!X48+'Santa Fe'!X48+'Santiago del Estero'!X48+Tucuman!X48+'Tierra del Fuego'!X48</f>
        <v>31849</v>
      </c>
      <c r="S49" s="72"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T49" s="72"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U49" s="72"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V49" s="72"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W49" s="72"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X49" s="72"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Y49" s="72"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Z49" s="72"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A49" s="72"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B49" s="72"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C49" s="72"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D49" s="72"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E49" s="72"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F49" s="72"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G49" s="72"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H49" s="72"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I49" s="72"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J49" s="72"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K49" s="72"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L49" s="72"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M49" s="72"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N49" s="72"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O49" s="72"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P49" s="72"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Q49" s="72"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R49" s="72"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S49" s="72"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T49" s="72"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U49" s="72"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V49" s="72"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W49" s="72"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X49" s="72"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Y49" s="72"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Z49" s="72"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A49" s="72"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B49" s="72"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C49" s="72"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D49" s="72"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E49" s="72"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F49" s="72"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G49" s="72"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H49" s="72"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I49" s="72"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J49" s="72"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K49" s="72"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L49" s="72"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M49" s="72"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N49" s="72"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O49" s="72"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P49" s="72"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Q49" s="72"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R49" s="72"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S49" s="72"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T49" s="72"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U49" s="72"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V49" s="72"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W49" s="72"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X49" s="72"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Y49" s="72"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Z49" s="72"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A49" s="72"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B49" s="72"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C49" s="72"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D49" s="72"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E49" s="72"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F49" s="72"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G49" s="72"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H49" s="72"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I49" s="72"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J49" s="72"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K49" s="72"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L49" s="72"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M49" s="72"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N49" s="72"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O49" s="72"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P49" s="72"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Q49" s="72"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R49" s="72"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S49" s="72"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T49" s="72"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U49" s="72"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V49" s="72"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W49" s="72"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X49" s="72"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Y49" s="72"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Z49" s="72"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DA49" s="72"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DB49" s="72"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DC49" s="72"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DD49" s="72"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DE49" s="72"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DF49" s="72">
        <f>+'Partidos de GBA'!Y48+'Capital Federal'!Y48+'Resto de Buenos Aires'!Y48+Catamarca!Y48+Cordoba!Y48+Corrientes!Y48+Chaco!Y48+Chubut!Y48+'Entre Rios'!Y48+Formosa!Y48+Jujuy!Y48+'La Pampa'!Y48+'La Rioja'!Y48+Mendoza!Y48+Misiones!Y48+Neuquen!Y48+'Rio Negro'!Y48+Salta!Y48+'San Juan'!Y48+'San Luis'!Y48+'Santa Cruz'!Y48+'Santa Fe'!Y48+'Santiago del Estero'!Y48+Tucuman!Y48+'Tierra del Fuego'!Y48</f>
        <v>31879</v>
      </c>
      <c r="DG49" s="72">
        <f>+'Partidos de GBA'!AE48+'Capital Federal'!AE48+'Resto de Buenos Aires'!AE48+Catamarca!AE48+Cordoba!AE48+Corrientes!AE48+Chaco!AE48+Chubut!AE48+'Entre Rios'!AE48+Formosa!AE48+Jujuy!AE48+'La Pampa'!AE48+'La Rioja'!AE48+Mendoza!AE48+Misiones!AE48+Neuquen!AE48+'Rio Negro'!AE48+Salta!AE48+'San Juan'!AE48+'San Luis'!AE48+'Santa Cruz'!AE48+'Santa Fe'!AE48+'Santiago del Estero'!AE48+Tucuman!AE48+'Tierra del Fuego'!AE48</f>
        <v>32227</v>
      </c>
    </row>
    <row r="50" spans="1:111" ht="15" customHeight="1" thickBot="1" x14ac:dyDescent="0.3">
      <c r="A50" s="43">
        <v>55</v>
      </c>
      <c r="B50" s="14" t="s">
        <v>62</v>
      </c>
      <c r="C50" s="67">
        <f>+'Partidos de GBA'!C49+'Capital Federal'!C49+'Resto de Buenos Aires'!C49+Catamarca!C49+Cordoba!C49+Corrientes!C49+Chaco!C49+Chubut!C49+'Entre Rios'!C49+Formosa!C49+Jujuy!C49+'La Pampa'!C49+'La Rioja'!C49+Mendoza!C49+Misiones!C49+Neuquen!C49+'Rio Negro'!C49+Salta!C49+'San Juan'!C49+'San Luis'!C49+'Santa Cruz'!C49+'Santa Fe'!C49+'Santiago del Estero'!C49+Tucuman!C49+'Tierra del Fuego'!C49</f>
        <v>14677</v>
      </c>
      <c r="D50" s="67">
        <f>+'Partidos de GBA'!D49+'Capital Federal'!D49+'Resto de Buenos Aires'!D49+Catamarca!D49+Cordoba!D49+Corrientes!D49+Chaco!D49+Chubut!D49+'Entre Rios'!D49+Formosa!D49+Jujuy!D49+'La Pampa'!D49+'La Rioja'!D49+Mendoza!D49+Misiones!D49+Neuquen!D49+'Rio Negro'!D49+Salta!D49+'San Juan'!D49+'San Luis'!D49+'Santa Cruz'!D49+'Santa Fe'!D49+'Santiago del Estero'!D49+Tucuman!D49+'Tierra del Fuego'!D49</f>
        <v>14691</v>
      </c>
      <c r="E50" s="67">
        <f>+'Partidos de GBA'!E49+'Capital Federal'!E49+'Resto de Buenos Aires'!E49+Catamarca!E49+Cordoba!E49+Corrientes!E49+Chaco!E49+Chubut!E49+'Entre Rios'!E49+Formosa!E49+Jujuy!E49+'La Pampa'!E49+'La Rioja'!E49+Mendoza!E49+Misiones!E49+Neuquen!E49+'Rio Negro'!E49+Salta!E49+'San Juan'!E49+'San Luis'!E49+'Santa Cruz'!E49+'Santa Fe'!E49+'Santiago del Estero'!E49+Tucuman!E49+'Tierra del Fuego'!E49</f>
        <v>14462</v>
      </c>
      <c r="F50" s="67">
        <f>+'Partidos de GBA'!F49+'Capital Federal'!F49+'Resto de Buenos Aires'!F49+Catamarca!F49+Cordoba!F49+Corrientes!F49+Chaco!F49+Chubut!F49+'Entre Rios'!F49+Formosa!F49+Jujuy!F49+'La Pampa'!F49+'La Rioja'!F49+Mendoza!F49+Misiones!F49+Neuquen!F49+'Rio Negro'!F49+Salta!F49+'San Juan'!F49+'San Luis'!F49+'Santa Cruz'!F49+'Santa Fe'!F49+'Santiago del Estero'!F49+Tucuman!F49+'Tierra del Fuego'!F49</f>
        <v>13376</v>
      </c>
      <c r="G50" s="67">
        <f>+'Partidos de GBA'!G49+'Capital Federal'!G49+'Resto de Buenos Aires'!G49+Catamarca!G49+Cordoba!G49+Corrientes!G49+Chaco!G49+Chubut!G49+'Entre Rios'!G49+Formosa!G49+Jujuy!G49+'La Pampa'!G49+'La Rioja'!G49+Mendoza!G49+Misiones!G49+Neuquen!G49+'Rio Negro'!G49+Salta!G49+'San Juan'!G49+'San Luis'!G49+'Santa Cruz'!G49+'Santa Fe'!G49+'Santiago del Estero'!G49+Tucuman!G49+'Tierra del Fuego'!G49</f>
        <v>12500</v>
      </c>
      <c r="H50" s="67">
        <f>+'Partidos de GBA'!H49+'Capital Federal'!H49+'Resto de Buenos Aires'!H49+Catamarca!H49+Cordoba!H49+Corrientes!H49+Chaco!H49+Chubut!H49+'Entre Rios'!H49+Formosa!H49+Jujuy!H49+'La Pampa'!H49+'La Rioja'!H49+Mendoza!H49+Misiones!H49+Neuquen!H49+'Rio Negro'!H49+Salta!H49+'San Juan'!H49+'San Luis'!H49+'Santa Cruz'!H49+'Santa Fe'!H49+'Santiago del Estero'!H49+Tucuman!H49+'Tierra del Fuego'!H49</f>
        <v>11731</v>
      </c>
      <c r="I50" s="67">
        <f>+'Partidos de GBA'!I49+'Capital Federal'!I49+'Resto de Buenos Aires'!I49+Catamarca!I49+Cordoba!I49+Corrientes!I49+Chaco!I49+Chubut!I49+'Entre Rios'!I49+Formosa!I49+Jujuy!I49+'La Pampa'!I49+'La Rioja'!I49+Mendoza!I49+Misiones!I49+Neuquen!I49+'Rio Negro'!I49+Salta!I49+'San Juan'!I49+'San Luis'!I49+'Santa Cruz'!I49+'Santa Fe'!I49+'Santiago del Estero'!I49+Tucuman!I49+'Tierra del Fuego'!I49</f>
        <v>11098</v>
      </c>
      <c r="J50" s="67">
        <f>+'Partidos de GBA'!J49+'Capital Federal'!J49+'Resto de Buenos Aires'!J49+Catamarca!J49+Cordoba!J49+Corrientes!J49+Chaco!J49+Chubut!J49+'Entre Rios'!J49+Formosa!J49+Jujuy!J49+'La Pampa'!J49+'La Rioja'!J49+Mendoza!J49+Misiones!J49+Neuquen!J49+'Rio Negro'!J49+Salta!J49+'San Juan'!J49+'San Luis'!J49+'Santa Cruz'!J49+'Santa Fe'!J49+'Santiago del Estero'!J49+Tucuman!J49+'Tierra del Fuego'!J49</f>
        <v>12210</v>
      </c>
      <c r="K50" s="67">
        <f>+'Partidos de GBA'!K49+'Capital Federal'!K49+'Resto de Buenos Aires'!K49+Catamarca!K49+Cordoba!K49+Corrientes!K49+Chaco!K49+Chubut!K49+'Entre Rios'!K49+Formosa!K49+Jujuy!K49+'La Pampa'!K49+'La Rioja'!K49+Mendoza!K49+Misiones!K49+Neuquen!K49+'Rio Negro'!K49+Salta!K49+'San Juan'!K49+'San Luis'!K49+'Santa Cruz'!K49+'Santa Fe'!K49+'Santiago del Estero'!K49+Tucuman!K49+'Tierra del Fuego'!K49</f>
        <v>15980</v>
      </c>
      <c r="L50" s="67">
        <f>+'Partidos de GBA'!L49+'Capital Federal'!L49+'Resto de Buenos Aires'!L49+Catamarca!L49+Cordoba!L49+Corrientes!L49+Chaco!L49+Chubut!L49+'Entre Rios'!L49+Formosa!L49+Jujuy!L49+'La Pampa'!L49+'La Rioja'!L49+Mendoza!L49+Misiones!L49+Neuquen!L49+'Rio Negro'!L49+Salta!L49+'San Juan'!L49+'San Luis'!L49+'Santa Cruz'!L49+'Santa Fe'!L49+'Santiago del Estero'!L49+Tucuman!L49+'Tierra del Fuego'!L49</f>
        <v>18277</v>
      </c>
      <c r="M50" s="67">
        <f>+'Partidos de GBA'!M49+'Capital Federal'!M49+'Resto de Buenos Aires'!M49+Catamarca!M49+Cordoba!M49+Corrientes!M49+Chaco!M49+Chubut!M49+'Entre Rios'!M49+Formosa!M49+Jujuy!M49+'La Pampa'!M49+'La Rioja'!M49+Mendoza!M49+Misiones!M49+Neuquen!M49+'Rio Negro'!M49+Salta!M49+'San Juan'!M49+'San Luis'!M49+'Santa Cruz'!M49+'Santa Fe'!M49+'Santiago del Estero'!M49+Tucuman!M49+'Tierra del Fuego'!M49</f>
        <v>20572</v>
      </c>
      <c r="N50" s="67">
        <f>+'Partidos de GBA'!N49+'Capital Federal'!N49+'Resto de Buenos Aires'!N49+Catamarca!N49+Cordoba!N49+Corrientes!N49+Chaco!N49+Chubut!N49+'Entre Rios'!N49+Formosa!N49+Jujuy!N49+'La Pampa'!N49+'La Rioja'!N49+Mendoza!N49+Misiones!N49+Neuquen!N49+'Rio Negro'!N49+Salta!N49+'San Juan'!N49+'San Luis'!N49+'Santa Cruz'!N49+'Santa Fe'!N49+'Santiago del Estero'!N49+Tucuman!N49+'Tierra del Fuego'!N49</f>
        <v>22591</v>
      </c>
      <c r="O50" s="67">
        <f>+'Partidos de GBA'!O49+'Capital Federal'!O49+'Resto de Buenos Aires'!O49+Catamarca!O49+Cordoba!O49+Corrientes!O49+Chaco!O49+Chubut!O49+'Entre Rios'!O49+Formosa!O49+Jujuy!O49+'La Pampa'!O49+'La Rioja'!O49+Mendoza!O49+Misiones!O49+Neuquen!O49+'Rio Negro'!O49+Salta!O49+'San Juan'!O49+'San Luis'!O49+'Santa Cruz'!O49+'Santa Fe'!O49+'Santiago del Estero'!O49+Tucuman!O49+'Tierra del Fuego'!O49</f>
        <v>24344</v>
      </c>
      <c r="P50" s="67">
        <f>+'Partidos de GBA'!P49+'Capital Federal'!P49+'Resto de Buenos Aires'!P49+Catamarca!P49+Cordoba!P49+Corrientes!P49+Chaco!P49+Chubut!P49+'Entre Rios'!P49+Formosa!P49+Jujuy!P49+'La Pampa'!P49+'La Rioja'!P49+Mendoza!P49+Misiones!P49+Neuquen!P49+'Rio Negro'!P49+Salta!P49+'San Juan'!P49+'San Luis'!P49+'Santa Cruz'!P49+'Santa Fe'!P49+'Santiago del Estero'!P49+Tucuman!P49+'Tierra del Fuego'!P49</f>
        <v>25599</v>
      </c>
      <c r="Q50" s="67">
        <f>+'Partidos de GBA'!W49+'Capital Federal'!W49+'Resto de Buenos Aires'!W49+Catamarca!W49+Cordoba!W49+Corrientes!W49+Chaco!W49+Chubut!W49+'Entre Rios'!W49+Formosa!W49+Jujuy!W49+'La Pampa'!W49+'La Rioja'!W49+Mendoza!W49+Misiones!W49+Neuquen!W49+'Rio Negro'!W49+Salta!W49+'San Juan'!W49+'San Luis'!W49+'Santa Cruz'!W49+'Santa Fe'!W49+'Santiago del Estero'!W49+Tucuman!W49+'Tierra del Fuego'!W49</f>
        <v>30953</v>
      </c>
      <c r="R50" s="67">
        <f>+'Partidos de GBA'!X49+'Capital Federal'!X49+'Resto de Buenos Aires'!X49+Catamarca!X49+Cordoba!X49+Corrientes!X49+Chaco!X49+Chubut!X49+'Entre Rios'!X49+Formosa!X49+Jujuy!X49+'La Pampa'!X49+'La Rioja'!X49+Mendoza!X49+Misiones!X49+Neuquen!X49+'Rio Negro'!X49+Salta!X49+'San Juan'!X49+'San Luis'!X49+'Santa Cruz'!X49+'Santa Fe'!X49+'Santiago del Estero'!X49+Tucuman!X49+'Tierra del Fuego'!X49</f>
        <v>31849</v>
      </c>
      <c r="S50" s="67"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T50" s="67"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U50" s="67"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V50" s="67"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W50" s="67"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X50" s="67"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Y50" s="67"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Z50" s="67"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A50" s="67"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B50" s="67"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C50" s="67"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D50" s="67"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E50" s="67"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F50" s="67"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G50" s="67"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H50" s="67"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I50" s="67"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J50" s="67"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K50" s="67"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L50" s="67"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M50" s="67"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N50" s="67"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O50" s="67"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P50" s="67"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Q50" s="67"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R50" s="67"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S50" s="67"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T50" s="67"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U50" s="67"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V50" s="67"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W50" s="67"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X50" s="67"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Y50" s="67"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Z50" s="67"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A50" s="67"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B50" s="67"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C50" s="67"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D50" s="67"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E50" s="67"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F50" s="67"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G50" s="67"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H50" s="67"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I50" s="67"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J50" s="67"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K50" s="67"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L50" s="67"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M50" s="67"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N50" s="67"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O50" s="67"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P50" s="67"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Q50" s="67"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R50" s="67"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S50" s="67"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T50" s="67"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U50" s="67"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V50" s="67"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W50" s="67"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X50" s="67"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Y50" s="67"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Z50" s="67"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A50" s="67"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B50" s="67"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C50" s="67"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D50" s="67"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E50" s="67"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F50" s="67"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G50" s="67"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H50" s="67"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I50" s="67"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J50" s="67"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K50" s="67"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L50" s="67"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M50" s="67"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N50" s="67"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O50" s="67"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P50" s="67"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Q50" s="67"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R50" s="67"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S50" s="67"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T50" s="67"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U50" s="67"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V50" s="67"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W50" s="67"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X50" s="67"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Y50" s="67"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Z50" s="67"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DA50" s="67"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DB50" s="67"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DC50" s="67"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DD50" s="67"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DE50" s="67"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DF50" s="67">
        <f>+'Partidos de GBA'!Y49+'Capital Federal'!Y49+'Resto de Buenos Aires'!Y49+Catamarca!Y49+Cordoba!Y49+Corrientes!Y49+Chaco!Y49+Chubut!Y49+'Entre Rios'!Y49+Formosa!Y49+Jujuy!Y49+'La Pampa'!Y49+'La Rioja'!Y49+Mendoza!Y49+Misiones!Y49+Neuquen!Y49+'Rio Negro'!Y49+Salta!Y49+'San Juan'!Y49+'San Luis'!Y49+'Santa Cruz'!Y49+'Santa Fe'!Y49+'Santiago del Estero'!Y49+Tucuman!Y49+'Tierra del Fuego'!Y49</f>
        <v>31879</v>
      </c>
      <c r="DG50" s="67">
        <f>+'Partidos de GBA'!AE49+'Capital Federal'!AE49+'Resto de Buenos Aires'!AE49+Catamarca!AE49+Cordoba!AE49+Corrientes!AE49+Chaco!AE49+Chubut!AE49+'Entre Rios'!AE49+Formosa!AE49+Jujuy!AE49+'La Pampa'!AE49+'La Rioja'!AE49+Mendoza!AE49+Misiones!AE49+Neuquen!AE49+'Rio Negro'!AE49+Salta!AE49+'San Juan'!AE49+'San Luis'!AE49+'Santa Cruz'!AE49+'Santa Fe'!AE49+'Santiago del Estero'!AE49+Tucuman!AE49+'Tierra del Fuego'!AE49</f>
        <v>32227</v>
      </c>
    </row>
    <row r="51" spans="1:111" ht="15" customHeight="1" thickBot="1" x14ac:dyDescent="0.3">
      <c r="A51" s="40" t="s">
        <v>63</v>
      </c>
      <c r="B51" s="9" t="s">
        <v>64</v>
      </c>
      <c r="C51" s="64">
        <f>+'Partidos de GBA'!C50+'Capital Federal'!C50+'Resto de Buenos Aires'!C50+Catamarca!C50+Cordoba!C50+Corrientes!C50+Chaco!C50+Chubut!C50+'Entre Rios'!C50+Formosa!C50+Jujuy!C50+'La Pampa'!C50+'La Rioja'!C50+Mendoza!C50+Misiones!C50+Neuquen!C50+'Rio Negro'!C50+Salta!C50+'San Juan'!C50+'San Luis'!C50+'Santa Cruz'!C50+'Santa Fe'!C50+'Santiago del Estero'!C50+Tucuman!C50+'Tierra del Fuego'!C50</f>
        <v>29917</v>
      </c>
      <c r="D51" s="64">
        <f>+'Partidos de GBA'!D50+'Capital Federal'!D50+'Resto de Buenos Aires'!D50+Catamarca!D50+Cordoba!D50+Corrientes!D50+Chaco!D50+Chubut!D50+'Entre Rios'!D50+Formosa!D50+Jujuy!D50+'La Pampa'!D50+'La Rioja'!D50+Mendoza!D50+Misiones!D50+Neuquen!D50+'Rio Negro'!D50+Salta!D50+'San Juan'!D50+'San Luis'!D50+'Santa Cruz'!D50+'Santa Fe'!D50+'Santiago del Estero'!D50+Tucuman!D50+'Tierra del Fuego'!D50</f>
        <v>32918</v>
      </c>
      <c r="E51" s="64">
        <f>+'Partidos de GBA'!E50+'Capital Federal'!E50+'Resto de Buenos Aires'!E50+Catamarca!E50+Cordoba!E50+Corrientes!E50+Chaco!E50+Chubut!E50+'Entre Rios'!E50+Formosa!E50+Jujuy!E50+'La Pampa'!E50+'La Rioja'!E50+Mendoza!E50+Misiones!E50+Neuquen!E50+'Rio Negro'!E50+Salta!E50+'San Juan'!E50+'San Luis'!E50+'Santa Cruz'!E50+'Santa Fe'!E50+'Santiago del Estero'!E50+Tucuman!E50+'Tierra del Fuego'!E50</f>
        <v>34470</v>
      </c>
      <c r="F51" s="64">
        <f>+'Partidos de GBA'!F50+'Capital Federal'!F50+'Resto de Buenos Aires'!F50+Catamarca!F50+Cordoba!F50+Corrientes!F50+Chaco!F50+Chubut!F50+'Entre Rios'!F50+Formosa!F50+Jujuy!F50+'La Pampa'!F50+'La Rioja'!F50+Mendoza!F50+Misiones!F50+Neuquen!F50+'Rio Negro'!F50+Salta!F50+'San Juan'!F50+'San Luis'!F50+'Santa Cruz'!F50+'Santa Fe'!F50+'Santiago del Estero'!F50+Tucuman!F50+'Tierra del Fuego'!F50</f>
        <v>35866</v>
      </c>
      <c r="G51" s="64">
        <f>+'Partidos de GBA'!G50+'Capital Federal'!G50+'Resto de Buenos Aires'!G50+Catamarca!G50+Cordoba!G50+Corrientes!G50+Chaco!G50+Chubut!G50+'Entre Rios'!G50+Formosa!G50+Jujuy!G50+'La Pampa'!G50+'La Rioja'!G50+Mendoza!G50+Misiones!G50+Neuquen!G50+'Rio Negro'!G50+Salta!G50+'San Juan'!G50+'San Luis'!G50+'Santa Cruz'!G50+'Santa Fe'!G50+'Santiago del Estero'!G50+Tucuman!G50+'Tierra del Fuego'!G50</f>
        <v>34989</v>
      </c>
      <c r="H51" s="64">
        <f>+'Partidos de GBA'!H50+'Capital Federal'!H50+'Resto de Buenos Aires'!H50+Catamarca!H50+Cordoba!H50+Corrientes!H50+Chaco!H50+Chubut!H50+'Entre Rios'!H50+Formosa!H50+Jujuy!H50+'La Pampa'!H50+'La Rioja'!H50+Mendoza!H50+Misiones!H50+Neuquen!H50+'Rio Negro'!H50+Salta!H50+'San Juan'!H50+'San Luis'!H50+'Santa Cruz'!H50+'Santa Fe'!H50+'Santiago del Estero'!H50+Tucuman!H50+'Tierra del Fuego'!H50</f>
        <v>33185</v>
      </c>
      <c r="I51" s="64">
        <f>+'Partidos de GBA'!I50+'Capital Federal'!I50+'Resto de Buenos Aires'!I50+Catamarca!I50+Cordoba!I50+Corrientes!I50+Chaco!I50+Chubut!I50+'Entre Rios'!I50+Formosa!I50+Jujuy!I50+'La Pampa'!I50+'La Rioja'!I50+Mendoza!I50+Misiones!I50+Neuquen!I50+'Rio Negro'!I50+Salta!I50+'San Juan'!I50+'San Luis'!I50+'Santa Cruz'!I50+'Santa Fe'!I50+'Santiago del Estero'!I50+Tucuman!I50+'Tierra del Fuego'!I50</f>
        <v>30345</v>
      </c>
      <c r="J51" s="64">
        <f>+'Partidos de GBA'!J50+'Capital Federal'!J50+'Resto de Buenos Aires'!J50+Catamarca!J50+Cordoba!J50+Corrientes!J50+Chaco!J50+Chubut!J50+'Entre Rios'!J50+Formosa!J50+Jujuy!J50+'La Pampa'!J50+'La Rioja'!J50+Mendoza!J50+Misiones!J50+Neuquen!J50+'Rio Negro'!J50+Salta!J50+'San Juan'!J50+'San Luis'!J50+'Santa Cruz'!J50+'Santa Fe'!J50+'Santiago del Estero'!J50+Tucuman!J50+'Tierra del Fuego'!J50</f>
        <v>32914</v>
      </c>
      <c r="K51" s="64">
        <f>+'Partidos de GBA'!K50+'Capital Federal'!K50+'Resto de Buenos Aires'!K50+Catamarca!K50+Cordoba!K50+Corrientes!K50+Chaco!K50+Chubut!K50+'Entre Rios'!K50+Formosa!K50+Jujuy!K50+'La Pampa'!K50+'La Rioja'!K50+Mendoza!K50+Misiones!K50+Neuquen!K50+'Rio Negro'!K50+Salta!K50+'San Juan'!K50+'San Luis'!K50+'Santa Cruz'!K50+'Santa Fe'!K50+'Santiago del Estero'!K50+Tucuman!K50+'Tierra del Fuego'!K50</f>
        <v>38086</v>
      </c>
      <c r="L51" s="64">
        <f>+'Partidos de GBA'!L50+'Capital Federal'!L50+'Resto de Buenos Aires'!L50+Catamarca!L50+Cordoba!L50+Corrientes!L50+Chaco!L50+Chubut!L50+'Entre Rios'!L50+Formosa!L50+Jujuy!L50+'La Pampa'!L50+'La Rioja'!L50+Mendoza!L50+Misiones!L50+Neuquen!L50+'Rio Negro'!L50+Salta!L50+'San Juan'!L50+'San Luis'!L50+'Santa Cruz'!L50+'Santa Fe'!L50+'Santiago del Estero'!L50+Tucuman!L50+'Tierra del Fuego'!L50</f>
        <v>42246</v>
      </c>
      <c r="M51" s="64">
        <f>+'Partidos de GBA'!M50+'Capital Federal'!M50+'Resto de Buenos Aires'!M50+Catamarca!M50+Cordoba!M50+Corrientes!M50+Chaco!M50+Chubut!M50+'Entre Rios'!M50+Formosa!M50+Jujuy!M50+'La Pampa'!M50+'La Rioja'!M50+Mendoza!M50+Misiones!M50+Neuquen!M50+'Rio Negro'!M50+Salta!M50+'San Juan'!M50+'San Luis'!M50+'Santa Cruz'!M50+'Santa Fe'!M50+'Santiago del Estero'!M50+Tucuman!M50+'Tierra del Fuego'!M50</f>
        <v>46282</v>
      </c>
      <c r="N51" s="64">
        <f>+'Partidos de GBA'!N50+'Capital Federal'!N50+'Resto de Buenos Aires'!N50+Catamarca!N50+Cordoba!N50+Corrientes!N50+Chaco!N50+Chubut!N50+'Entre Rios'!N50+Formosa!N50+Jujuy!N50+'La Pampa'!N50+'La Rioja'!N50+Mendoza!N50+Misiones!N50+Neuquen!N50+'Rio Negro'!N50+Salta!N50+'San Juan'!N50+'San Luis'!N50+'Santa Cruz'!N50+'Santa Fe'!N50+'Santiago del Estero'!N50+Tucuman!N50+'Tierra del Fuego'!N50</f>
        <v>50539</v>
      </c>
      <c r="O51" s="64">
        <f>+'Partidos de GBA'!O50+'Capital Federal'!O50+'Resto de Buenos Aires'!O50+Catamarca!O50+Cordoba!O50+Corrientes!O50+Chaco!O50+Chubut!O50+'Entre Rios'!O50+Formosa!O50+Jujuy!O50+'La Pampa'!O50+'La Rioja'!O50+Mendoza!O50+Misiones!O50+Neuquen!O50+'Rio Negro'!O50+Salta!O50+'San Juan'!O50+'San Luis'!O50+'Santa Cruz'!O50+'Santa Fe'!O50+'Santiago del Estero'!O50+Tucuman!O50+'Tierra del Fuego'!O50</f>
        <v>54029</v>
      </c>
      <c r="P51" s="64">
        <f>+'Partidos de GBA'!P50+'Capital Federal'!P50+'Resto de Buenos Aires'!P50+Catamarca!P50+Cordoba!P50+Corrientes!P50+Chaco!P50+Chubut!P50+'Entre Rios'!P50+Formosa!P50+Jujuy!P50+'La Pampa'!P50+'La Rioja'!P50+Mendoza!P50+Misiones!P50+Neuquen!P50+'Rio Negro'!P50+Salta!P50+'San Juan'!P50+'San Luis'!P50+'Santa Cruz'!P50+'Santa Fe'!P50+'Santiago del Estero'!P50+Tucuman!P50+'Tierra del Fuego'!P50</f>
        <v>54287</v>
      </c>
      <c r="Q51" s="64">
        <f>+'Partidos de GBA'!W50+'Capital Federal'!W50+'Resto de Buenos Aires'!W50+Catamarca!W50+Cordoba!W50+Corrientes!W50+Chaco!W50+Chubut!W50+'Entre Rios'!W50+Formosa!W50+Jujuy!W50+'La Pampa'!W50+'La Rioja'!W50+Mendoza!W50+Misiones!W50+Neuquen!W50+'Rio Negro'!W50+Salta!W50+'San Juan'!W50+'San Luis'!W50+'Santa Cruz'!W50+'Santa Fe'!W50+'Santiago del Estero'!W50+Tucuman!W50+'Tierra del Fuego'!W50</f>
        <v>57415</v>
      </c>
      <c r="R51" s="64">
        <f>+'Partidos de GBA'!X50+'Capital Federal'!X50+'Resto de Buenos Aires'!X50+Catamarca!X50+Cordoba!X50+Corrientes!X50+Chaco!X50+Chubut!X50+'Entre Rios'!X50+Formosa!X50+Jujuy!X50+'La Pampa'!X50+'La Rioja'!X50+Mendoza!X50+Misiones!X50+Neuquen!X50+'Rio Negro'!X50+Salta!X50+'San Juan'!X50+'San Luis'!X50+'Santa Cruz'!X50+'Santa Fe'!X50+'Santiago del Estero'!X50+Tucuman!X50+'Tierra del Fuego'!X50</f>
        <v>57313</v>
      </c>
      <c r="S51"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T51"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U51"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V51"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W51"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X51"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Y51"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Z51"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A51"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B51"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C51"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D51"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E51"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F51"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G51"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H51"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I51"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J51"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K51"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L51"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M51"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N51"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O51"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P51"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Q51"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R51"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S51"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T51"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U51"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V51"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W51"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X51"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Y51"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Z51"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A51"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B51"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C51"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D51"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E51"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F51"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G51"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H51"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I51"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J51"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K51"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L51"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M51"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N51"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O51"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P51"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Q51"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R51"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S51"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T51"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U51"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V51"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W51"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X51"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Y51"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Z51"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A51"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B51"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C51"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D51"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E51"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F51"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G51"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H51"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I51"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J51"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K51"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L51"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M51"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N51"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O51"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P51"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Q51"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R51"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S51"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T51"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U51"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V51"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W51"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X51"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Y51"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Z51"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DA51"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DB51"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DC51"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DD51"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DE51"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DF51" s="64">
        <f>+'Partidos de GBA'!Y50+'Capital Federal'!Y50+'Resto de Buenos Aires'!Y50+Catamarca!Y50+Cordoba!Y50+Corrientes!Y50+Chaco!Y50+Chubut!Y50+'Entre Rios'!Y50+Formosa!Y50+Jujuy!Y50+'La Pampa'!Y50+'La Rioja'!Y50+Mendoza!Y50+Misiones!Y50+Neuquen!Y50+'Rio Negro'!Y50+Salta!Y50+'San Juan'!Y50+'San Luis'!Y50+'Santa Cruz'!Y50+'Santa Fe'!Y50+'Santiago del Estero'!Y50+Tucuman!Y50+'Tierra del Fuego'!Y50</f>
        <v>55445</v>
      </c>
      <c r="DG51" s="64">
        <f>+'Partidos de GBA'!AE50+'Capital Federal'!AE50+'Resto de Buenos Aires'!AE50+Catamarca!AE50+Cordoba!AE50+Corrientes!AE50+Chaco!AE50+Chubut!AE50+'Entre Rios'!AE50+Formosa!AE50+Jujuy!AE50+'La Pampa'!AE50+'La Rioja'!AE50+Mendoza!AE50+Misiones!AE50+Neuquen!AE50+'Rio Negro'!AE50+Salta!AE50+'San Juan'!AE50+'San Luis'!AE50+'Santa Cruz'!AE50+'Santa Fe'!AE50+'Santiago del Estero'!AE50+Tucuman!AE50+'Tierra del Fuego'!AE50</f>
        <v>46087</v>
      </c>
    </row>
    <row r="52" spans="1:111" ht="15" customHeight="1" x14ac:dyDescent="0.25">
      <c r="A52" s="44">
        <v>60</v>
      </c>
      <c r="B52" s="15" t="s">
        <v>65</v>
      </c>
      <c r="C52" s="68"/>
      <c r="D52" s="68"/>
      <c r="E52" s="68"/>
      <c r="F52" s="68"/>
      <c r="G52" s="68"/>
      <c r="H52" s="68"/>
      <c r="I52" s="68"/>
      <c r="J52" s="68"/>
      <c r="K52" s="68"/>
      <c r="L52" s="68"/>
      <c r="M52" s="68"/>
      <c r="N52" s="68"/>
      <c r="O52" s="68"/>
      <c r="P52" s="68"/>
      <c r="Q52" s="68"/>
      <c r="R52" s="68"/>
      <c r="S52" s="68"/>
      <c r="T52" s="68"/>
      <c r="U52" s="68"/>
      <c r="V52" s="68"/>
      <c r="W52" s="68"/>
      <c r="X52" s="68"/>
      <c r="Y52" s="68"/>
      <c r="Z52" s="68"/>
      <c r="AA52" s="68"/>
      <c r="AB52" s="68"/>
      <c r="AC52" s="68"/>
      <c r="AD52" s="68"/>
      <c r="AE52" s="68"/>
      <c r="AF52" s="68"/>
      <c r="AG52" s="68"/>
      <c r="AH52" s="68"/>
      <c r="AI52" s="68"/>
      <c r="AJ52" s="68"/>
      <c r="AK52" s="68"/>
      <c r="AL52" s="68"/>
      <c r="AM52" s="68"/>
      <c r="AN52" s="68"/>
      <c r="AO52" s="68"/>
      <c r="AP52" s="68"/>
      <c r="AQ52" s="68"/>
      <c r="AR52" s="68"/>
      <c r="AS52" s="68"/>
      <c r="AT52" s="68"/>
      <c r="AU52" s="68"/>
      <c r="AV52" s="68"/>
      <c r="AW52" s="68"/>
      <c r="AX52" s="68"/>
      <c r="AY52" s="68"/>
      <c r="AZ52" s="68"/>
      <c r="BA52" s="68"/>
      <c r="BB52" s="68"/>
      <c r="BC52" s="68"/>
      <c r="BD52" s="68"/>
      <c r="BE52" s="68"/>
      <c r="BF52" s="68"/>
      <c r="BG52" s="68"/>
      <c r="BH52" s="68"/>
      <c r="BI52" s="68"/>
      <c r="BJ52" s="68"/>
      <c r="BK52" s="68"/>
      <c r="BL52" s="68"/>
      <c r="BM52" s="68"/>
      <c r="BN52" s="68"/>
      <c r="BO52" s="68"/>
      <c r="BP52" s="68"/>
      <c r="BQ52" s="68"/>
      <c r="BR52" s="68"/>
      <c r="BS52" s="68"/>
      <c r="BT52" s="68"/>
      <c r="BU52" s="68"/>
      <c r="BV52" s="68"/>
      <c r="BW52" s="68"/>
      <c r="BX52" s="68"/>
      <c r="BY52" s="68"/>
      <c r="BZ52" s="68"/>
      <c r="CA52" s="68"/>
      <c r="CB52" s="68"/>
      <c r="CC52" s="68"/>
      <c r="CD52" s="68"/>
      <c r="CE52" s="68"/>
      <c r="CF52" s="68"/>
      <c r="CG52" s="68"/>
      <c r="CH52" s="68"/>
      <c r="CI52" s="68"/>
      <c r="CJ52" s="68"/>
      <c r="CK52" s="68"/>
      <c r="CL52" s="68"/>
      <c r="CM52" s="68"/>
      <c r="CN52" s="68"/>
      <c r="CO52" s="68"/>
      <c r="CP52" s="68"/>
      <c r="CQ52" s="68"/>
      <c r="CR52" s="68"/>
      <c r="CS52" s="68"/>
      <c r="CT52" s="68"/>
      <c r="CU52" s="68"/>
      <c r="CV52" s="68"/>
      <c r="CW52" s="68"/>
      <c r="CX52" s="68"/>
      <c r="CY52" s="68"/>
      <c r="CZ52" s="68"/>
      <c r="DA52" s="68"/>
      <c r="DB52" s="68"/>
      <c r="DC52" s="68"/>
      <c r="DD52" s="68"/>
      <c r="DE52" s="68"/>
      <c r="DF52" s="68"/>
      <c r="DG52" s="68"/>
    </row>
    <row r="53" spans="1:111" ht="15" customHeight="1" x14ac:dyDescent="0.25">
      <c r="A53" s="49">
        <v>61</v>
      </c>
      <c r="B53" s="20" t="s">
        <v>66</v>
      </c>
      <c r="C53" s="73"/>
      <c r="D53" s="73"/>
      <c r="E53" s="73"/>
      <c r="F53" s="73"/>
      <c r="G53" s="73"/>
      <c r="H53" s="73"/>
      <c r="I53" s="73"/>
      <c r="J53" s="73"/>
      <c r="K53" s="73"/>
      <c r="L53" s="73"/>
      <c r="M53" s="73"/>
      <c r="N53" s="73"/>
      <c r="O53" s="73"/>
      <c r="P53" s="73"/>
      <c r="Q53" s="73"/>
      <c r="R53" s="73"/>
      <c r="S53" s="73"/>
      <c r="T53" s="73"/>
      <c r="U53" s="73"/>
      <c r="V53" s="73"/>
      <c r="W53" s="73"/>
      <c r="X53" s="73"/>
      <c r="Y53" s="73"/>
      <c r="Z53" s="73"/>
      <c r="AA53" s="73"/>
      <c r="AB53" s="73"/>
      <c r="AC53" s="73"/>
      <c r="AD53" s="73"/>
      <c r="AE53" s="73"/>
      <c r="AF53" s="73"/>
      <c r="AG53" s="73"/>
      <c r="AH53" s="73"/>
      <c r="AI53" s="73"/>
      <c r="AJ53" s="73"/>
      <c r="AK53" s="73"/>
      <c r="AL53" s="73"/>
      <c r="AM53" s="73"/>
      <c r="AN53" s="73"/>
      <c r="AO53" s="73"/>
      <c r="AP53" s="73"/>
      <c r="AQ53" s="73"/>
      <c r="AR53" s="73"/>
      <c r="AS53" s="73"/>
      <c r="AT53" s="73"/>
      <c r="AU53" s="73"/>
      <c r="AV53" s="73"/>
      <c r="AW53" s="73"/>
      <c r="AX53" s="73"/>
      <c r="AY53" s="73"/>
      <c r="AZ53" s="73"/>
      <c r="BA53" s="73"/>
      <c r="BB53" s="73"/>
      <c r="BC53" s="73"/>
      <c r="BD53" s="73"/>
      <c r="BE53" s="73"/>
      <c r="BF53" s="73"/>
      <c r="BG53" s="73"/>
      <c r="BH53" s="73"/>
      <c r="BI53" s="73"/>
      <c r="BJ53" s="73"/>
      <c r="BK53" s="73"/>
      <c r="BL53" s="73"/>
      <c r="BM53" s="73"/>
      <c r="BN53" s="73"/>
      <c r="BO53" s="73"/>
      <c r="BP53" s="73"/>
      <c r="BQ53" s="73"/>
      <c r="BR53" s="73"/>
      <c r="BS53" s="73"/>
      <c r="BT53" s="73"/>
      <c r="BU53" s="73"/>
      <c r="BV53" s="73"/>
      <c r="BW53" s="73"/>
      <c r="BX53" s="73"/>
      <c r="BY53" s="73"/>
      <c r="BZ53" s="73"/>
      <c r="CA53" s="73"/>
      <c r="CB53" s="73"/>
      <c r="CC53" s="73"/>
      <c r="CD53" s="73"/>
      <c r="CE53" s="73"/>
      <c r="CF53" s="73"/>
      <c r="CG53" s="73"/>
      <c r="CH53" s="73"/>
      <c r="CI53" s="73"/>
      <c r="CJ53" s="73"/>
      <c r="CK53" s="73"/>
      <c r="CL53" s="73"/>
      <c r="CM53" s="73"/>
      <c r="CN53" s="73"/>
      <c r="CO53" s="73"/>
      <c r="CP53" s="73"/>
      <c r="CQ53" s="73"/>
      <c r="CR53" s="73"/>
      <c r="CS53" s="73"/>
      <c r="CT53" s="73"/>
      <c r="CU53" s="73"/>
      <c r="CV53" s="73"/>
      <c r="CW53" s="73"/>
      <c r="CX53" s="73"/>
      <c r="CY53" s="73"/>
      <c r="CZ53" s="73"/>
      <c r="DA53" s="73"/>
      <c r="DB53" s="73"/>
      <c r="DC53" s="73"/>
      <c r="DD53" s="73"/>
      <c r="DE53" s="73"/>
      <c r="DF53" s="73"/>
      <c r="DG53" s="73"/>
    </row>
    <row r="54" spans="1:111" ht="15" customHeight="1" x14ac:dyDescent="0.25">
      <c r="A54" s="44">
        <v>62</v>
      </c>
      <c r="B54" s="15" t="s">
        <v>67</v>
      </c>
      <c r="C54" s="68"/>
      <c r="D54" s="68"/>
      <c r="E54" s="68"/>
      <c r="F54" s="68"/>
      <c r="G54" s="68"/>
      <c r="H54" s="68"/>
      <c r="I54" s="68"/>
      <c r="J54" s="68"/>
      <c r="K54" s="68"/>
      <c r="L54" s="68"/>
      <c r="M54" s="68"/>
      <c r="N54" s="68"/>
      <c r="O54" s="68"/>
      <c r="P54" s="68"/>
      <c r="Q54" s="68"/>
      <c r="R54" s="68"/>
      <c r="S54" s="68"/>
      <c r="T54" s="68"/>
      <c r="U54" s="68"/>
      <c r="V54" s="68"/>
      <c r="W54" s="68"/>
      <c r="X54" s="68"/>
      <c r="Y54" s="68"/>
      <c r="Z54" s="68"/>
      <c r="AA54" s="68"/>
      <c r="AB54" s="68"/>
      <c r="AC54" s="68"/>
      <c r="AD54" s="68"/>
      <c r="AE54" s="68"/>
      <c r="AF54" s="68"/>
      <c r="AG54" s="68"/>
      <c r="AH54" s="68"/>
      <c r="AI54" s="68"/>
      <c r="AJ54" s="68"/>
      <c r="AK54" s="68"/>
      <c r="AL54" s="68"/>
      <c r="AM54" s="68"/>
      <c r="AN54" s="68"/>
      <c r="AO54" s="68"/>
      <c r="AP54" s="68"/>
      <c r="AQ54" s="68"/>
      <c r="AR54" s="68"/>
      <c r="AS54" s="68"/>
      <c r="AT54" s="68"/>
      <c r="AU54" s="68"/>
      <c r="AV54" s="68"/>
      <c r="AW54" s="68"/>
      <c r="AX54" s="68"/>
      <c r="AY54" s="68"/>
      <c r="AZ54" s="68"/>
      <c r="BA54" s="68"/>
      <c r="BB54" s="68"/>
      <c r="BC54" s="68"/>
      <c r="BD54" s="68"/>
      <c r="BE54" s="68"/>
      <c r="BF54" s="68"/>
      <c r="BG54" s="68"/>
      <c r="BH54" s="68"/>
      <c r="BI54" s="68"/>
      <c r="BJ54" s="68"/>
      <c r="BK54" s="68"/>
      <c r="BL54" s="68"/>
      <c r="BM54" s="68"/>
      <c r="BN54" s="68"/>
      <c r="BO54" s="68"/>
      <c r="BP54" s="68"/>
      <c r="BQ54" s="68"/>
      <c r="BR54" s="68"/>
      <c r="BS54" s="68"/>
      <c r="BT54" s="68"/>
      <c r="BU54" s="68"/>
      <c r="BV54" s="68"/>
      <c r="BW54" s="68"/>
      <c r="BX54" s="68"/>
      <c r="BY54" s="68"/>
      <c r="BZ54" s="68"/>
      <c r="CA54" s="68"/>
      <c r="CB54" s="68"/>
      <c r="CC54" s="68"/>
      <c r="CD54" s="68"/>
      <c r="CE54" s="68"/>
      <c r="CF54" s="68"/>
      <c r="CG54" s="68"/>
      <c r="CH54" s="68"/>
      <c r="CI54" s="68"/>
      <c r="CJ54" s="68"/>
      <c r="CK54" s="68"/>
      <c r="CL54" s="68"/>
      <c r="CM54" s="68"/>
      <c r="CN54" s="68"/>
      <c r="CO54" s="68"/>
      <c r="CP54" s="68"/>
      <c r="CQ54" s="68"/>
      <c r="CR54" s="68"/>
      <c r="CS54" s="68"/>
      <c r="CT54" s="68"/>
      <c r="CU54" s="68"/>
      <c r="CV54" s="68"/>
      <c r="CW54" s="68"/>
      <c r="CX54" s="68"/>
      <c r="CY54" s="68"/>
      <c r="CZ54" s="68"/>
      <c r="DA54" s="68"/>
      <c r="DB54" s="68"/>
      <c r="DC54" s="68"/>
      <c r="DD54" s="68"/>
      <c r="DE54" s="68"/>
      <c r="DF54" s="68"/>
      <c r="DG54" s="68"/>
    </row>
    <row r="55" spans="1:111" ht="15" customHeight="1" x14ac:dyDescent="0.25">
      <c r="A55" s="50">
        <v>63</v>
      </c>
      <c r="B55" s="21" t="s">
        <v>68</v>
      </c>
      <c r="C55" s="74"/>
      <c r="D55" s="74"/>
      <c r="E55" s="74"/>
      <c r="F55" s="74"/>
      <c r="G55" s="74"/>
      <c r="H55" s="74"/>
      <c r="I55" s="74"/>
      <c r="J55" s="74"/>
      <c r="K55" s="74"/>
      <c r="L55" s="74"/>
      <c r="M55" s="74"/>
      <c r="N55" s="74"/>
      <c r="O55" s="74"/>
      <c r="P55" s="74"/>
      <c r="Q55" s="74"/>
      <c r="R55" s="74"/>
      <c r="S55" s="74"/>
      <c r="T55" s="74"/>
      <c r="U55" s="74"/>
      <c r="V55" s="74"/>
      <c r="W55" s="74"/>
      <c r="X55" s="74"/>
      <c r="Y55" s="74"/>
      <c r="Z55" s="74"/>
      <c r="AA55" s="74"/>
      <c r="AB55" s="74"/>
      <c r="AC55" s="74"/>
      <c r="AD55" s="74"/>
      <c r="AE55" s="74"/>
      <c r="AF55" s="74"/>
      <c r="AG55" s="74"/>
      <c r="AH55" s="74"/>
      <c r="AI55" s="74"/>
      <c r="AJ55" s="74"/>
      <c r="AK55" s="74"/>
      <c r="AL55" s="74"/>
      <c r="AM55" s="74"/>
      <c r="AN55" s="74"/>
      <c r="AO55" s="74"/>
      <c r="AP55" s="74"/>
      <c r="AQ55" s="74"/>
      <c r="AR55" s="74"/>
      <c r="AS55" s="74"/>
      <c r="AT55" s="74"/>
      <c r="AU55" s="74"/>
      <c r="AV55" s="74"/>
      <c r="AW55" s="74"/>
      <c r="AX55" s="74"/>
      <c r="AY55" s="74"/>
      <c r="AZ55" s="74"/>
      <c r="BA55" s="74"/>
      <c r="BB55" s="74"/>
      <c r="BC55" s="74"/>
      <c r="BD55" s="74"/>
      <c r="BE55" s="74"/>
      <c r="BF55" s="74"/>
      <c r="BG55" s="74"/>
      <c r="BH55" s="74"/>
      <c r="BI55" s="74"/>
      <c r="BJ55" s="74"/>
      <c r="BK55" s="74"/>
      <c r="BL55" s="74"/>
      <c r="BM55" s="74"/>
      <c r="BN55" s="74"/>
      <c r="BO55" s="74"/>
      <c r="BP55" s="74"/>
      <c r="BQ55" s="74"/>
      <c r="BR55" s="74"/>
      <c r="BS55" s="74"/>
      <c r="BT55" s="74"/>
      <c r="BU55" s="74"/>
      <c r="BV55" s="74"/>
      <c r="BW55" s="74"/>
      <c r="BX55" s="74"/>
      <c r="BY55" s="74"/>
      <c r="BZ55" s="74"/>
      <c r="CA55" s="74"/>
      <c r="CB55" s="74"/>
      <c r="CC55" s="74"/>
      <c r="CD55" s="74"/>
      <c r="CE55" s="74"/>
      <c r="CF55" s="74"/>
      <c r="CG55" s="74"/>
      <c r="CH55" s="74"/>
      <c r="CI55" s="74"/>
      <c r="CJ55" s="74"/>
      <c r="CK55" s="74"/>
      <c r="CL55" s="74"/>
      <c r="CM55" s="74"/>
      <c r="CN55" s="74"/>
      <c r="CO55" s="74"/>
      <c r="CP55" s="74"/>
      <c r="CQ55" s="74"/>
      <c r="CR55" s="74"/>
      <c r="CS55" s="74"/>
      <c r="CT55" s="74"/>
      <c r="CU55" s="74"/>
      <c r="CV55" s="74"/>
      <c r="CW55" s="74"/>
      <c r="CX55" s="74"/>
      <c r="CY55" s="74"/>
      <c r="CZ55" s="74"/>
      <c r="DA55" s="74"/>
      <c r="DB55" s="74"/>
      <c r="DC55" s="74"/>
      <c r="DD55" s="74"/>
      <c r="DE55" s="74"/>
      <c r="DF55" s="74"/>
      <c r="DG55" s="74"/>
    </row>
    <row r="56" spans="1:111" ht="15" customHeight="1" thickBot="1" x14ac:dyDescent="0.3">
      <c r="A56" s="44">
        <v>64</v>
      </c>
      <c r="B56" s="15" t="s">
        <v>99</v>
      </c>
      <c r="C56" s="68"/>
      <c r="D56" s="68"/>
      <c r="E56" s="68"/>
      <c r="F56" s="68"/>
      <c r="G56" s="68"/>
      <c r="H56" s="68"/>
      <c r="I56" s="68"/>
      <c r="J56" s="68"/>
      <c r="K56" s="68"/>
      <c r="L56" s="68"/>
      <c r="M56" s="68"/>
      <c r="N56" s="68"/>
      <c r="O56" s="68"/>
      <c r="P56" s="68"/>
      <c r="Q56" s="68"/>
      <c r="R56" s="68"/>
      <c r="S56" s="68"/>
      <c r="T56" s="68"/>
      <c r="U56" s="68"/>
      <c r="V56" s="68"/>
      <c r="W56" s="68"/>
      <c r="X56" s="68"/>
      <c r="Y56" s="68"/>
      <c r="Z56" s="68"/>
      <c r="AA56" s="68"/>
      <c r="AB56" s="68"/>
      <c r="AC56" s="68"/>
      <c r="AD56" s="68"/>
      <c r="AE56" s="68"/>
      <c r="AF56" s="68"/>
      <c r="AG56" s="68"/>
      <c r="AH56" s="68"/>
      <c r="AI56" s="68"/>
      <c r="AJ56" s="68"/>
      <c r="AK56" s="68"/>
      <c r="AL56" s="68"/>
      <c r="AM56" s="68"/>
      <c r="AN56" s="68"/>
      <c r="AO56" s="68"/>
      <c r="AP56" s="68"/>
      <c r="AQ56" s="68"/>
      <c r="AR56" s="68"/>
      <c r="AS56" s="68"/>
      <c r="AT56" s="68"/>
      <c r="AU56" s="68"/>
      <c r="AV56" s="68"/>
      <c r="AW56" s="68"/>
      <c r="AX56" s="68"/>
      <c r="AY56" s="68"/>
      <c r="AZ56" s="68"/>
      <c r="BA56" s="68"/>
      <c r="BB56" s="68"/>
      <c r="BC56" s="68"/>
      <c r="BD56" s="68"/>
      <c r="BE56" s="68"/>
      <c r="BF56" s="68"/>
      <c r="BG56" s="68"/>
      <c r="BH56" s="68"/>
      <c r="BI56" s="68"/>
      <c r="BJ56" s="68"/>
      <c r="BK56" s="68"/>
      <c r="BL56" s="68"/>
      <c r="BM56" s="68"/>
      <c r="BN56" s="68"/>
      <c r="BO56" s="68"/>
      <c r="BP56" s="68"/>
      <c r="BQ56" s="68"/>
      <c r="BR56" s="68"/>
      <c r="BS56" s="68"/>
      <c r="BT56" s="68"/>
      <c r="BU56" s="68"/>
      <c r="BV56" s="68"/>
      <c r="BW56" s="68"/>
      <c r="BX56" s="68"/>
      <c r="BY56" s="68"/>
      <c r="BZ56" s="68"/>
      <c r="CA56" s="68"/>
      <c r="CB56" s="68"/>
      <c r="CC56" s="68"/>
      <c r="CD56" s="68"/>
      <c r="CE56" s="68"/>
      <c r="CF56" s="68"/>
      <c r="CG56" s="68"/>
      <c r="CH56" s="68"/>
      <c r="CI56" s="68"/>
      <c r="CJ56" s="68"/>
      <c r="CK56" s="68"/>
      <c r="CL56" s="68"/>
      <c r="CM56" s="68"/>
      <c r="CN56" s="68"/>
      <c r="CO56" s="68"/>
      <c r="CP56" s="68"/>
      <c r="CQ56" s="68"/>
      <c r="CR56" s="68"/>
      <c r="CS56" s="68"/>
      <c r="CT56" s="68"/>
      <c r="CU56" s="68"/>
      <c r="CV56" s="68"/>
      <c r="CW56" s="68"/>
      <c r="CX56" s="68"/>
      <c r="CY56" s="68"/>
      <c r="CZ56" s="68"/>
      <c r="DA56" s="68"/>
      <c r="DB56" s="68"/>
      <c r="DC56" s="68"/>
      <c r="DD56" s="68"/>
      <c r="DE56" s="68"/>
      <c r="DF56" s="68"/>
      <c r="DG56" s="68"/>
    </row>
    <row r="57" spans="1:111" ht="15" customHeight="1" thickBot="1" x14ac:dyDescent="0.3">
      <c r="A57" s="40" t="s">
        <v>70</v>
      </c>
      <c r="B57" s="9" t="s">
        <v>71</v>
      </c>
      <c r="C57" s="64">
        <f>+'Partidos de GBA'!C56+'Capital Federal'!C56+'Resto de Buenos Aires'!C56+Catamarca!C56+Cordoba!C56+Corrientes!C56+Chaco!C56+Chubut!C56+'Entre Rios'!C56+Formosa!C56+Jujuy!C56+'La Pampa'!C56+'La Rioja'!C56+Mendoza!C56+Misiones!C56+Neuquen!C56+'Rio Negro'!C56+Salta!C56+'San Juan'!C56+'San Luis'!C56+'Santa Cruz'!C56+'Santa Fe'!C56+'Santiago del Estero'!C56+Tucuman!C56+'Tierra del Fuego'!C56</f>
        <v>4987</v>
      </c>
      <c r="D57" s="64">
        <f>+'Partidos de GBA'!D56+'Capital Federal'!D56+'Resto de Buenos Aires'!D56+Catamarca!D56+Cordoba!D56+Corrientes!D56+Chaco!D56+Chubut!D56+'Entre Rios'!D56+Formosa!D56+Jujuy!D56+'La Pampa'!D56+'La Rioja'!D56+Mendoza!D56+Misiones!D56+Neuquen!D56+'Rio Negro'!D56+Salta!D56+'San Juan'!D56+'San Luis'!D56+'Santa Cruz'!D56+'Santa Fe'!D56+'Santiago del Estero'!D56+Tucuman!D56+'Tierra del Fuego'!D56</f>
        <v>5214</v>
      </c>
      <c r="E57" s="64">
        <f>+'Partidos de GBA'!E56+'Capital Federal'!E56+'Resto de Buenos Aires'!E56+Catamarca!E56+Cordoba!E56+Corrientes!E56+Chaco!E56+Chubut!E56+'Entre Rios'!E56+Formosa!E56+Jujuy!E56+'La Pampa'!E56+'La Rioja'!E56+Mendoza!E56+Misiones!E56+Neuquen!E56+'Rio Negro'!E56+Salta!E56+'San Juan'!E56+'San Luis'!E56+'Santa Cruz'!E56+'Santa Fe'!E56+'Santiago del Estero'!E56+Tucuman!E56+'Tierra del Fuego'!E56</f>
        <v>5469</v>
      </c>
      <c r="F57" s="64">
        <f>+'Partidos de GBA'!F56+'Capital Federal'!F56+'Resto de Buenos Aires'!F56+Catamarca!F56+Cordoba!F56+Corrientes!F56+Chaco!F56+Chubut!F56+'Entre Rios'!F56+Formosa!F56+Jujuy!F56+'La Pampa'!F56+'La Rioja'!F56+Mendoza!F56+Misiones!F56+Neuquen!F56+'Rio Negro'!F56+Salta!F56+'San Juan'!F56+'San Luis'!F56+'Santa Cruz'!F56+'Santa Fe'!F56+'Santiago del Estero'!F56+Tucuman!F56+'Tierra del Fuego'!F56</f>
        <v>5551</v>
      </c>
      <c r="G57" s="64">
        <f>+'Partidos de GBA'!G56+'Capital Federal'!G56+'Resto de Buenos Aires'!G56+Catamarca!G56+Cordoba!G56+Corrientes!G56+Chaco!G56+Chubut!G56+'Entre Rios'!G56+Formosa!G56+Jujuy!G56+'La Pampa'!G56+'La Rioja'!G56+Mendoza!G56+Misiones!G56+Neuquen!G56+'Rio Negro'!G56+Salta!G56+'San Juan'!G56+'San Luis'!G56+'Santa Cruz'!G56+'Santa Fe'!G56+'Santiago del Estero'!G56+Tucuman!G56+'Tierra del Fuego'!G56</f>
        <v>5475</v>
      </c>
      <c r="H57" s="64">
        <f>+'Partidos de GBA'!H56+'Capital Federal'!H56+'Resto de Buenos Aires'!H56+Catamarca!H56+Cordoba!H56+Corrientes!H56+Chaco!H56+Chubut!H56+'Entre Rios'!H56+Formosa!H56+Jujuy!H56+'La Pampa'!H56+'La Rioja'!H56+Mendoza!H56+Misiones!H56+Neuquen!H56+'Rio Negro'!H56+Salta!H56+'San Juan'!H56+'San Luis'!H56+'Santa Cruz'!H56+'Santa Fe'!H56+'Santiago del Estero'!H56+Tucuman!H56+'Tierra del Fuego'!H56</f>
        <v>5326</v>
      </c>
      <c r="I57" s="64">
        <f>+'Partidos de GBA'!I56+'Capital Federal'!I56+'Resto de Buenos Aires'!I56+Catamarca!I56+Cordoba!I56+Corrientes!I56+Chaco!I56+Chubut!I56+'Entre Rios'!I56+Formosa!I56+Jujuy!I56+'La Pampa'!I56+'La Rioja'!I56+Mendoza!I56+Misiones!I56+Neuquen!I56+'Rio Negro'!I56+Salta!I56+'San Juan'!I56+'San Luis'!I56+'Santa Cruz'!I56+'Santa Fe'!I56+'Santiago del Estero'!I56+Tucuman!I56+'Tierra del Fuego'!I56</f>
        <v>4990</v>
      </c>
      <c r="J57" s="64">
        <f>+'Partidos de GBA'!J56+'Capital Federal'!J56+'Resto de Buenos Aires'!J56+Catamarca!J56+Cordoba!J56+Corrientes!J56+Chaco!J56+Chubut!J56+'Entre Rios'!J56+Formosa!J56+Jujuy!J56+'La Pampa'!J56+'La Rioja'!J56+Mendoza!J56+Misiones!J56+Neuquen!J56+'Rio Negro'!J56+Salta!J56+'San Juan'!J56+'San Luis'!J56+'Santa Cruz'!J56+'Santa Fe'!J56+'Santiago del Estero'!J56+Tucuman!J56+'Tierra del Fuego'!J56</f>
        <v>5203</v>
      </c>
      <c r="K57" s="64">
        <f>+'Partidos de GBA'!K56+'Capital Federal'!K56+'Resto de Buenos Aires'!K56+Catamarca!K56+Cordoba!K56+Corrientes!K56+Chaco!K56+Chubut!K56+'Entre Rios'!K56+Formosa!K56+Jujuy!K56+'La Pampa'!K56+'La Rioja'!K56+Mendoza!K56+Misiones!K56+Neuquen!K56+'Rio Negro'!K56+Salta!K56+'San Juan'!K56+'San Luis'!K56+'Santa Cruz'!K56+'Santa Fe'!K56+'Santiago del Estero'!K56+Tucuman!K56+'Tierra del Fuego'!K56</f>
        <v>5806</v>
      </c>
      <c r="L57" s="64">
        <f>+'Partidos de GBA'!L56+'Capital Federal'!L56+'Resto de Buenos Aires'!L56+Catamarca!L56+Cordoba!L56+Corrientes!L56+Chaco!L56+Chubut!L56+'Entre Rios'!L56+Formosa!L56+Jujuy!L56+'La Pampa'!L56+'La Rioja'!L56+Mendoza!L56+Misiones!L56+Neuquen!L56+'Rio Negro'!L56+Salta!L56+'San Juan'!L56+'San Luis'!L56+'Santa Cruz'!L56+'Santa Fe'!L56+'Santiago del Estero'!L56+Tucuman!L56+'Tierra del Fuego'!L56</f>
        <v>6238</v>
      </c>
      <c r="M57" s="64">
        <f>+'Partidos de GBA'!M56+'Capital Federal'!M56+'Resto de Buenos Aires'!M56+Catamarca!M56+Cordoba!M56+Corrientes!M56+Chaco!M56+Chubut!M56+'Entre Rios'!M56+Formosa!M56+Jujuy!M56+'La Pampa'!M56+'La Rioja'!M56+Mendoza!M56+Misiones!M56+Neuquen!M56+'Rio Negro'!M56+Salta!M56+'San Juan'!M56+'San Luis'!M56+'Santa Cruz'!M56+'Santa Fe'!M56+'Santiago del Estero'!M56+Tucuman!M56+'Tierra del Fuego'!M56</f>
        <v>6618</v>
      </c>
      <c r="N57" s="64">
        <f>+'Partidos de GBA'!N56+'Capital Federal'!N56+'Resto de Buenos Aires'!N56+Catamarca!N56+Cordoba!N56+Corrientes!N56+Chaco!N56+Chubut!N56+'Entre Rios'!N56+Formosa!N56+Jujuy!N56+'La Pampa'!N56+'La Rioja'!N56+Mendoza!N56+Misiones!N56+Neuquen!N56+'Rio Negro'!N56+Salta!N56+'San Juan'!N56+'San Luis'!N56+'Santa Cruz'!N56+'Santa Fe'!N56+'Santiago del Estero'!N56+Tucuman!N56+'Tierra del Fuego'!N56</f>
        <v>7023</v>
      </c>
      <c r="O57" s="64">
        <f>+'Partidos de GBA'!O56+'Capital Federal'!O56+'Resto de Buenos Aires'!O56+Catamarca!O56+Cordoba!O56+Corrientes!O56+Chaco!O56+Chubut!O56+'Entre Rios'!O56+Formosa!O56+Jujuy!O56+'La Pampa'!O56+'La Rioja'!O56+Mendoza!O56+Misiones!O56+Neuquen!O56+'Rio Negro'!O56+Salta!O56+'San Juan'!O56+'San Luis'!O56+'Santa Cruz'!O56+'Santa Fe'!O56+'Santiago del Estero'!O56+Tucuman!O56+'Tierra del Fuego'!O56</f>
        <v>7272</v>
      </c>
      <c r="P57" s="64">
        <f>+'Partidos de GBA'!P56+'Capital Federal'!P56+'Resto de Buenos Aires'!P56+Catamarca!P56+Cordoba!P56+Corrientes!P56+Chaco!P56+Chubut!P56+'Entre Rios'!P56+Formosa!P56+Jujuy!P56+'La Pampa'!P56+'La Rioja'!P56+Mendoza!P56+Misiones!P56+Neuquen!P56+'Rio Negro'!P56+Salta!P56+'San Juan'!P56+'San Luis'!P56+'Santa Cruz'!P56+'Santa Fe'!P56+'Santiago del Estero'!P56+Tucuman!P56+'Tierra del Fuego'!P56</f>
        <v>7146</v>
      </c>
      <c r="Q57" s="64">
        <f>+'Partidos de GBA'!W56+'Capital Federal'!W56+'Resto de Buenos Aires'!W56+Catamarca!W56+Cordoba!W56+Corrientes!W56+Chaco!W56+Chubut!W56+'Entre Rios'!W56+Formosa!W56+Jujuy!W56+'La Pampa'!W56+'La Rioja'!W56+Mendoza!W56+Misiones!W56+Neuquen!W56+'Rio Negro'!W56+Salta!W56+'San Juan'!W56+'San Luis'!W56+'Santa Cruz'!W56+'Santa Fe'!W56+'Santiago del Estero'!W56+Tucuman!W56+'Tierra del Fuego'!W56</f>
        <v>7968</v>
      </c>
      <c r="R57" s="64">
        <f>+'Partidos de GBA'!X56+'Capital Federal'!X56+'Resto de Buenos Aires'!X56+Catamarca!X56+Cordoba!X56+Corrientes!X56+Chaco!X56+Chubut!X56+'Entre Rios'!X56+Formosa!X56+Jujuy!X56+'La Pampa'!X56+'La Rioja'!X56+Mendoza!X56+Misiones!X56+Neuquen!X56+'Rio Negro'!X56+Salta!X56+'San Juan'!X56+'San Luis'!X56+'Santa Cruz'!X56+'Santa Fe'!X56+'Santiago del Estero'!X56+Tucuman!X56+'Tierra del Fuego'!X56</f>
        <v>8007</v>
      </c>
      <c r="S57"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T57"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U57"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V57"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W57"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X57"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Y57"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Z57"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A57"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B57"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C57"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D57"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E57"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F57"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G57"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H57"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I57"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J57"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K57"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L57"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M57"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N57"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O57"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P57"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Q57"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R57"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S57"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T57"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U57"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V57"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W57"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X57"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Y57"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Z57"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A57"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B57"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C57"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D57"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E57"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F57"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G57"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H57"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I57"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J57"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K57"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L57"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M57"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N57"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O57"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P57"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Q57"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R57"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S57"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T57"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U57"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V57"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W57"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X57"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Y57"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Z57"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A57"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B57"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C57"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D57"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E57"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F57"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G57"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H57"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I57"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J57"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K57"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L57"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M57"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N57"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O57"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P57"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Q57"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R57"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S57"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T57"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U57"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V57"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W57"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X57"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Y57"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Z57"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DA57"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DB57"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DC57"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DD57"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DE57"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DF57" s="64">
        <f>+'Partidos de GBA'!Y56+'Capital Federal'!Y56+'Resto de Buenos Aires'!Y56+Catamarca!Y56+Cordoba!Y56+Corrientes!Y56+Chaco!Y56+Chubut!Y56+'Entre Rios'!Y56+Formosa!Y56+Jujuy!Y56+'La Pampa'!Y56+'La Rioja'!Y56+Mendoza!Y56+Misiones!Y56+Neuquen!Y56+'Rio Negro'!Y56+Salta!Y56+'San Juan'!Y56+'San Luis'!Y56+'Santa Cruz'!Y56+'Santa Fe'!Y56+'Santiago del Estero'!Y56+Tucuman!Y56+'Tierra del Fuego'!Y56</f>
        <v>8020</v>
      </c>
      <c r="DG57" s="64">
        <f>+'Partidos de GBA'!AE56+'Capital Federal'!AE56+'Resto de Buenos Aires'!AE56+Catamarca!AE56+Cordoba!AE56+Corrientes!AE56+Chaco!AE56+Chubut!AE56+'Entre Rios'!AE56+Formosa!AE56+Jujuy!AE56+'La Pampa'!AE56+'La Rioja'!AE56+Mendoza!AE56+Misiones!AE56+Neuquen!AE56+'Rio Negro'!AE56+Salta!AE56+'San Juan'!AE56+'San Luis'!AE56+'Santa Cruz'!AE56+'Santa Fe'!AE56+'Santiago del Estero'!AE56+Tucuman!AE56+'Tierra del Fuego'!AE56</f>
        <v>7464</v>
      </c>
    </row>
    <row r="58" spans="1:111" ht="15" customHeight="1" x14ac:dyDescent="0.25">
      <c r="A58" s="44">
        <v>65</v>
      </c>
      <c r="B58" s="15" t="s">
        <v>72</v>
      </c>
      <c r="C58" s="68">
        <f>+'Partidos de GBA'!C57+'Capital Federal'!C57+'Resto de Buenos Aires'!C57+Catamarca!C57+Cordoba!C57+Corrientes!C57+Chaco!C57+Chubut!C57+'Entre Rios'!C57+Formosa!C57+Jujuy!C57+'La Pampa'!C57+'La Rioja'!C57+Mendoza!C57+Misiones!C57+Neuquen!C57+'Rio Negro'!C57+Salta!C57+'San Juan'!C57+'San Luis'!C57+'Santa Cruz'!C57+'Santa Fe'!C57+'Santiago del Estero'!C57+Tucuman!C57+'Tierra del Fuego'!C57</f>
        <v>1933</v>
      </c>
      <c r="D58" s="68">
        <f>+'Partidos de GBA'!D57+'Capital Federal'!D57+'Resto de Buenos Aires'!D57+Catamarca!D57+Cordoba!D57+Corrientes!D57+Chaco!D57+Chubut!D57+'Entre Rios'!D57+Formosa!D57+Jujuy!D57+'La Pampa'!D57+'La Rioja'!D57+Mendoza!D57+Misiones!D57+Neuquen!D57+'Rio Negro'!D57+Salta!D57+'San Juan'!D57+'San Luis'!D57+'Santa Cruz'!D57+'Santa Fe'!D57+'Santiago del Estero'!D57+Tucuman!D57+'Tierra del Fuego'!D57</f>
        <v>2026</v>
      </c>
      <c r="E58" s="68">
        <f>+'Partidos de GBA'!E57+'Capital Federal'!E57+'Resto de Buenos Aires'!E57+Catamarca!E57+Cordoba!E57+Corrientes!E57+Chaco!E57+Chubut!E57+'Entre Rios'!E57+Formosa!E57+Jujuy!E57+'La Pampa'!E57+'La Rioja'!E57+Mendoza!E57+Misiones!E57+Neuquen!E57+'Rio Negro'!E57+Salta!E57+'San Juan'!E57+'San Luis'!E57+'Santa Cruz'!E57+'Santa Fe'!E57+'Santiago del Estero'!E57+Tucuman!E57+'Tierra del Fuego'!E57</f>
        <v>2171</v>
      </c>
      <c r="F58" s="68">
        <f>+'Partidos de GBA'!F57+'Capital Federal'!F57+'Resto de Buenos Aires'!F57+Catamarca!F57+Cordoba!F57+Corrientes!F57+Chaco!F57+Chubut!F57+'Entre Rios'!F57+Formosa!F57+Jujuy!F57+'La Pampa'!F57+'La Rioja'!F57+Mendoza!F57+Misiones!F57+Neuquen!F57+'Rio Negro'!F57+Salta!F57+'San Juan'!F57+'San Luis'!F57+'Santa Cruz'!F57+'Santa Fe'!F57+'Santiago del Estero'!F57+Tucuman!F57+'Tierra del Fuego'!F57</f>
        <v>2142</v>
      </c>
      <c r="G58" s="68">
        <f>+'Partidos de GBA'!G57+'Capital Federal'!G57+'Resto de Buenos Aires'!G57+Catamarca!G57+Cordoba!G57+Corrientes!G57+Chaco!G57+Chubut!G57+'Entre Rios'!G57+Formosa!G57+Jujuy!G57+'La Pampa'!G57+'La Rioja'!G57+Mendoza!G57+Misiones!G57+Neuquen!G57+'Rio Negro'!G57+Salta!G57+'San Juan'!G57+'San Luis'!G57+'Santa Cruz'!G57+'Santa Fe'!G57+'Santiago del Estero'!G57+Tucuman!G57+'Tierra del Fuego'!G57</f>
        <v>2102</v>
      </c>
      <c r="H58" s="68">
        <f>+'Partidos de GBA'!H57+'Capital Federal'!H57+'Resto de Buenos Aires'!H57+Catamarca!H57+Cordoba!H57+Corrientes!H57+Chaco!H57+Chubut!H57+'Entre Rios'!H57+Formosa!H57+Jujuy!H57+'La Pampa'!H57+'La Rioja'!H57+Mendoza!H57+Misiones!H57+Neuquen!H57+'Rio Negro'!H57+Salta!H57+'San Juan'!H57+'San Luis'!H57+'Santa Cruz'!H57+'Santa Fe'!H57+'Santiago del Estero'!H57+Tucuman!H57+'Tierra del Fuego'!H57</f>
        <v>2070</v>
      </c>
      <c r="I58" s="68">
        <f>+'Partidos de GBA'!I57+'Capital Federal'!I57+'Resto de Buenos Aires'!I57+Catamarca!I57+Cordoba!I57+Corrientes!I57+Chaco!I57+Chubut!I57+'Entre Rios'!I57+Formosa!I57+Jujuy!I57+'La Pampa'!I57+'La Rioja'!I57+Mendoza!I57+Misiones!I57+Neuquen!I57+'Rio Negro'!I57+Salta!I57+'San Juan'!I57+'San Luis'!I57+'Santa Cruz'!I57+'Santa Fe'!I57+'Santiago del Estero'!I57+Tucuman!I57+'Tierra del Fuego'!I57</f>
        <v>1934</v>
      </c>
      <c r="J58" s="68">
        <f>+'Partidos de GBA'!J57+'Capital Federal'!J57+'Resto de Buenos Aires'!J57+Catamarca!J57+Cordoba!J57+Corrientes!J57+Chaco!J57+Chubut!J57+'Entre Rios'!J57+Formosa!J57+Jujuy!J57+'La Pampa'!J57+'La Rioja'!J57+Mendoza!J57+Misiones!J57+Neuquen!J57+'Rio Negro'!J57+Salta!J57+'San Juan'!J57+'San Luis'!J57+'Santa Cruz'!J57+'Santa Fe'!J57+'Santiago del Estero'!J57+Tucuman!J57+'Tierra del Fuego'!J57</f>
        <v>1937</v>
      </c>
      <c r="K58" s="68">
        <f>+'Partidos de GBA'!K57+'Capital Federal'!K57+'Resto de Buenos Aires'!K57+Catamarca!K57+Cordoba!K57+Corrientes!K57+Chaco!K57+Chubut!K57+'Entre Rios'!K57+Formosa!K57+Jujuy!K57+'La Pampa'!K57+'La Rioja'!K57+Mendoza!K57+Misiones!K57+Neuquen!K57+'Rio Negro'!K57+Salta!K57+'San Juan'!K57+'San Luis'!K57+'Santa Cruz'!K57+'Santa Fe'!K57+'Santiago del Estero'!K57+Tucuman!K57+'Tierra del Fuego'!K57</f>
        <v>2036</v>
      </c>
      <c r="L58" s="68">
        <f>+'Partidos de GBA'!L57+'Capital Federal'!L57+'Resto de Buenos Aires'!L57+Catamarca!L57+Cordoba!L57+Corrientes!L57+Chaco!L57+Chubut!L57+'Entre Rios'!L57+Formosa!L57+Jujuy!L57+'La Pampa'!L57+'La Rioja'!L57+Mendoza!L57+Misiones!L57+Neuquen!L57+'Rio Negro'!L57+Salta!L57+'San Juan'!L57+'San Luis'!L57+'Santa Cruz'!L57+'Santa Fe'!L57+'Santiago del Estero'!L57+Tucuman!L57+'Tierra del Fuego'!L57</f>
        <v>2170</v>
      </c>
      <c r="M58" s="68">
        <f>+'Partidos de GBA'!M57+'Capital Federal'!M57+'Resto de Buenos Aires'!M57+Catamarca!M57+Cordoba!M57+Corrientes!M57+Chaco!M57+Chubut!M57+'Entre Rios'!M57+Formosa!M57+Jujuy!M57+'La Pampa'!M57+'La Rioja'!M57+Mendoza!M57+Misiones!M57+Neuquen!M57+'Rio Negro'!M57+Salta!M57+'San Juan'!M57+'San Luis'!M57+'Santa Cruz'!M57+'Santa Fe'!M57+'Santiago del Estero'!M57+Tucuman!M57+'Tierra del Fuego'!M57</f>
        <v>2256</v>
      </c>
      <c r="N58" s="68">
        <f>+'Partidos de GBA'!N57+'Capital Federal'!N57+'Resto de Buenos Aires'!N57+Catamarca!N57+Cordoba!N57+Corrientes!N57+Chaco!N57+Chubut!N57+'Entre Rios'!N57+Formosa!N57+Jujuy!N57+'La Pampa'!N57+'La Rioja'!N57+Mendoza!N57+Misiones!N57+Neuquen!N57+'Rio Negro'!N57+Salta!N57+'San Juan'!N57+'San Luis'!N57+'Santa Cruz'!N57+'Santa Fe'!N57+'Santiago del Estero'!N57+Tucuman!N57+'Tierra del Fuego'!N57</f>
        <v>2350</v>
      </c>
      <c r="O58" s="68">
        <f>+'Partidos de GBA'!O57+'Capital Federal'!O57+'Resto de Buenos Aires'!O57+Catamarca!O57+Cordoba!O57+Corrientes!O57+Chaco!O57+Chubut!O57+'Entre Rios'!O57+Formosa!O57+Jujuy!O57+'La Pampa'!O57+'La Rioja'!O57+Mendoza!O57+Misiones!O57+Neuquen!O57+'Rio Negro'!O57+Salta!O57+'San Juan'!O57+'San Luis'!O57+'Santa Cruz'!O57+'Santa Fe'!O57+'Santiago del Estero'!O57+Tucuman!O57+'Tierra del Fuego'!O57</f>
        <v>2420</v>
      </c>
      <c r="P58" s="68">
        <f>+'Partidos de GBA'!P57+'Capital Federal'!P57+'Resto de Buenos Aires'!P57+Catamarca!P57+Cordoba!P57+Corrientes!P57+Chaco!P57+Chubut!P57+'Entre Rios'!P57+Formosa!P57+Jujuy!P57+'La Pampa'!P57+'La Rioja'!P57+Mendoza!P57+Misiones!P57+Neuquen!P57+'Rio Negro'!P57+Salta!P57+'San Juan'!P57+'San Luis'!P57+'Santa Cruz'!P57+'Santa Fe'!P57+'Santiago del Estero'!P57+Tucuman!P57+'Tierra del Fuego'!P57</f>
        <v>2380</v>
      </c>
      <c r="Q58" s="68">
        <f>+'Partidos de GBA'!W57+'Capital Federal'!W57+'Resto de Buenos Aires'!W57+Catamarca!W57+Cordoba!W57+Corrientes!W57+Chaco!W57+Chubut!W57+'Entre Rios'!W57+Formosa!W57+Jujuy!W57+'La Pampa'!W57+'La Rioja'!W57+Mendoza!W57+Misiones!W57+Neuquen!W57+'Rio Negro'!W57+Salta!W57+'San Juan'!W57+'San Luis'!W57+'Santa Cruz'!W57+'Santa Fe'!W57+'Santiago del Estero'!W57+Tucuman!W57+'Tierra del Fuego'!W57</f>
        <v>2409</v>
      </c>
      <c r="R58" s="68">
        <f>+'Partidos de GBA'!X57+'Capital Federal'!X57+'Resto de Buenos Aires'!X57+Catamarca!X57+Cordoba!X57+Corrientes!X57+Chaco!X57+Chubut!X57+'Entre Rios'!X57+Formosa!X57+Jujuy!X57+'La Pampa'!X57+'La Rioja'!X57+Mendoza!X57+Misiones!X57+Neuquen!X57+'Rio Negro'!X57+Salta!X57+'San Juan'!X57+'San Luis'!X57+'Santa Cruz'!X57+'Santa Fe'!X57+'Santiago del Estero'!X57+Tucuman!X57+'Tierra del Fuego'!X57</f>
        <v>2422</v>
      </c>
      <c r="S58" s="68"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T58" s="68"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U58" s="68"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V58" s="68"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W58" s="68"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X58" s="68"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Y58" s="68"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Z58" s="68"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A58" s="68"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B58" s="68"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C58" s="68"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D58" s="68"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E58" s="68"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F58" s="68"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G58" s="68"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H58" s="68"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I58" s="68"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J58" s="68"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K58" s="68"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L58" s="68"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M58" s="68"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N58" s="68"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O58" s="68"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P58" s="68"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Q58" s="68"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R58" s="68"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S58" s="68"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T58" s="68"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U58" s="68"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V58" s="68"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W58" s="68"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X58" s="68"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Y58" s="68"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Z58" s="68"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A58" s="68"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B58" s="68"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C58" s="68"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D58" s="68"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E58" s="68"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F58" s="68"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G58" s="68"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H58" s="68"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I58" s="68"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J58" s="68"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K58" s="68"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L58" s="68"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M58" s="68"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N58" s="68"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O58" s="68"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P58" s="68"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Q58" s="68"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R58" s="68"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S58" s="68"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T58" s="68"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U58" s="68"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V58" s="68"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W58" s="68"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X58" s="68"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Y58" s="68"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Z58" s="68"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A58" s="68"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B58" s="68"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C58" s="68"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D58" s="68"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E58" s="68"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F58" s="68"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G58" s="68"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H58" s="68"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I58" s="68"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J58" s="68"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K58" s="68"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L58" s="68"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M58" s="68"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N58" s="68"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O58" s="68"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P58" s="68"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Q58" s="68"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R58" s="68"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S58" s="68"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T58" s="68"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U58" s="68"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V58" s="68"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W58" s="68"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X58" s="68"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Y58" s="68"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Z58" s="68"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DA58" s="68"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DB58" s="68"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DC58" s="68"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DD58" s="68"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DE58" s="68"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DF58" s="68">
        <f>+'Partidos de GBA'!Y57+'Capital Federal'!Y57+'Resto de Buenos Aires'!Y57+Catamarca!Y57+Cordoba!Y57+Corrientes!Y57+Chaco!Y57+Chubut!Y57+'Entre Rios'!Y57+Formosa!Y57+Jujuy!Y57+'La Pampa'!Y57+'La Rioja'!Y57+Mendoza!Y57+Misiones!Y57+Neuquen!Y57+'Rio Negro'!Y57+Salta!Y57+'San Juan'!Y57+'San Luis'!Y57+'Santa Cruz'!Y57+'Santa Fe'!Y57+'Santiago del Estero'!Y57+Tucuman!Y57+'Tierra del Fuego'!Y57</f>
        <v>2406</v>
      </c>
      <c r="DG58" s="68">
        <f>+'Partidos de GBA'!AE57+'Capital Federal'!AE57+'Resto de Buenos Aires'!AE57+Catamarca!AE57+Cordoba!AE57+Corrientes!AE57+Chaco!AE57+Chubut!AE57+'Entre Rios'!AE57+Formosa!AE57+Jujuy!AE57+'La Pampa'!AE57+'La Rioja'!AE57+Mendoza!AE57+Misiones!AE57+Neuquen!AE57+'Rio Negro'!AE57+Salta!AE57+'San Juan'!AE57+'San Luis'!AE57+'Santa Cruz'!AE57+'Santa Fe'!AE57+'Santiago del Estero'!AE57+Tucuman!AE57+'Tierra del Fuego'!AE57</f>
        <v>1970</v>
      </c>
    </row>
    <row r="59" spans="1:111" ht="15" customHeight="1" x14ac:dyDescent="0.25">
      <c r="A59" s="46">
        <v>66</v>
      </c>
      <c r="B59" s="17" t="s">
        <v>100</v>
      </c>
      <c r="C59" s="70">
        <f>+'Partidos de GBA'!C58+'Capital Federal'!C58+'Resto de Buenos Aires'!C58+Catamarca!C58+Cordoba!C58+Corrientes!C58+Chaco!C58+Chubut!C58+'Entre Rios'!C58+Formosa!C58+Jujuy!C58+'La Pampa'!C58+'La Rioja'!C58+Mendoza!C58+Misiones!C58+Neuquen!C58+'Rio Negro'!C58+Salta!C58+'San Juan'!C58+'San Luis'!C58+'Santa Cruz'!C58+'Santa Fe'!C58+'Santiago del Estero'!C58+Tucuman!C58+'Tierra del Fuego'!C58</f>
        <v>1215</v>
      </c>
      <c r="D59" s="70">
        <f>+'Partidos de GBA'!D58+'Capital Federal'!D58+'Resto de Buenos Aires'!D58+Catamarca!D58+Cordoba!D58+Corrientes!D58+Chaco!D58+Chubut!D58+'Entre Rios'!D58+Formosa!D58+Jujuy!D58+'La Pampa'!D58+'La Rioja'!D58+Mendoza!D58+Misiones!D58+Neuquen!D58+'Rio Negro'!D58+Salta!D58+'San Juan'!D58+'San Luis'!D58+'Santa Cruz'!D58+'Santa Fe'!D58+'Santiago del Estero'!D58+Tucuman!D58+'Tierra del Fuego'!D58</f>
        <v>1291</v>
      </c>
      <c r="E59" s="70">
        <f>+'Partidos de GBA'!E58+'Capital Federal'!E58+'Resto de Buenos Aires'!E58+Catamarca!E58+Cordoba!E58+Corrientes!E58+Chaco!E58+Chubut!E58+'Entre Rios'!E58+Formosa!E58+Jujuy!E58+'La Pampa'!E58+'La Rioja'!E58+Mendoza!E58+Misiones!E58+Neuquen!E58+'Rio Negro'!E58+Salta!E58+'San Juan'!E58+'San Luis'!E58+'Santa Cruz'!E58+'Santa Fe'!E58+'Santiago del Estero'!E58+Tucuman!E58+'Tierra del Fuego'!E58</f>
        <v>1378</v>
      </c>
      <c r="F59" s="70">
        <f>+'Partidos de GBA'!F58+'Capital Federal'!F58+'Resto de Buenos Aires'!F58+Catamarca!F58+Cordoba!F58+Corrientes!F58+Chaco!F58+Chubut!F58+'Entre Rios'!F58+Formosa!F58+Jujuy!F58+'La Pampa'!F58+'La Rioja'!F58+Mendoza!F58+Misiones!F58+Neuquen!F58+'Rio Negro'!F58+Salta!F58+'San Juan'!F58+'San Luis'!F58+'Santa Cruz'!F58+'Santa Fe'!F58+'Santiago del Estero'!F58+Tucuman!F58+'Tierra del Fuego'!F58</f>
        <v>1528</v>
      </c>
      <c r="G59" s="70" t="e">
        <f>+'Partidos de GBA'!G58+'Capital Federal'!G58+'Resto de Buenos Aires'!G58+Catamarca!G58+Cordoba!G58+Corrientes!G58+Chaco!G58+Chubut!G58+'Entre Rios'!G58+Formosa!G58+Jujuy!G58+'La Pampa'!G58+'La Rioja'!G58+Mendoza!G58+Misiones!G58+Neuquen!G58+'Rio Negro'!G58+Salta!G58+'San Juan'!G58+'San Luis'!G58+'Santa Cruz'!G58+'Santa Fe'!G58+'Santiago del Estero'!G58+Tucuman!G58+'Tierra del Fuego'!G58</f>
        <v>#VALUE!</v>
      </c>
      <c r="H59" s="70">
        <f>+'Partidos de GBA'!H58+'Capital Federal'!H58+'Resto de Buenos Aires'!H58+Catamarca!H58+Cordoba!H58+Corrientes!H58+Chaco!H58+Chubut!H58+'Entre Rios'!H58+Formosa!H58+Jujuy!H58+'La Pampa'!H58+'La Rioja'!H58+Mendoza!H58+Misiones!H58+Neuquen!H58+'Rio Negro'!H58+Salta!H58+'San Juan'!H58+'San Luis'!H58+'Santa Cruz'!H58+'Santa Fe'!H58+'Santiago del Estero'!H58+Tucuman!H58+'Tierra del Fuego'!H58</f>
        <v>1468</v>
      </c>
      <c r="I59" s="70">
        <f>+'Partidos de GBA'!I58+'Capital Federal'!I58+'Resto de Buenos Aires'!I58+Catamarca!I58+Cordoba!I58+Corrientes!I58+Chaco!I58+Chubut!I58+'Entre Rios'!I58+Formosa!I58+Jujuy!I58+'La Pampa'!I58+'La Rioja'!I58+Mendoza!I58+Misiones!I58+Neuquen!I58+'Rio Negro'!I58+Salta!I58+'San Juan'!I58+'San Luis'!I58+'Santa Cruz'!I58+'Santa Fe'!I58+'Santiago del Estero'!I58+Tucuman!I58+'Tierra del Fuego'!I58</f>
        <v>1380</v>
      </c>
      <c r="J59" s="70">
        <f>+'Partidos de GBA'!J58+'Capital Federal'!J58+'Resto de Buenos Aires'!J58+Catamarca!J58+Cordoba!J58+Corrientes!J58+Chaco!J58+Chubut!J58+'Entre Rios'!J58+Formosa!J58+Jujuy!J58+'La Pampa'!J58+'La Rioja'!J58+Mendoza!J58+Misiones!J58+Neuquen!J58+'Rio Negro'!J58+Salta!J58+'San Juan'!J58+'San Luis'!J58+'Santa Cruz'!J58+'Santa Fe'!J58+'Santiago del Estero'!J58+Tucuman!J58+'Tierra del Fuego'!J58</f>
        <v>1425</v>
      </c>
      <c r="K59" s="70">
        <f>+'Partidos de GBA'!K58+'Capital Federal'!K58+'Resto de Buenos Aires'!K58+Catamarca!K58+Cordoba!K58+Corrientes!K58+Chaco!K58+Chubut!K58+'Entre Rios'!K58+Formosa!K58+Jujuy!K58+'La Pampa'!K58+'La Rioja'!K58+Mendoza!K58+Misiones!K58+Neuquen!K58+'Rio Negro'!K58+Salta!K58+'San Juan'!K58+'San Luis'!K58+'Santa Cruz'!K58+'Santa Fe'!K58+'Santiago del Estero'!K58+Tucuman!K58+'Tierra del Fuego'!K58</f>
        <v>1446</v>
      </c>
      <c r="L59" s="70">
        <f>+'Partidos de GBA'!L58+'Capital Federal'!L58+'Resto de Buenos Aires'!L58+Catamarca!L58+Cordoba!L58+Corrientes!L58+Chaco!L58+Chubut!L58+'Entre Rios'!L58+Formosa!L58+Jujuy!L58+'La Pampa'!L58+'La Rioja'!L58+Mendoza!L58+Misiones!L58+Neuquen!L58+'Rio Negro'!L58+Salta!L58+'San Juan'!L58+'San Luis'!L58+'Santa Cruz'!L58+'Santa Fe'!L58+'Santiago del Estero'!L58+Tucuman!L58+'Tierra del Fuego'!L58</f>
        <v>1554</v>
      </c>
      <c r="M59" s="70">
        <f>+'Partidos de GBA'!M58+'Capital Federal'!M58+'Resto de Buenos Aires'!M58+Catamarca!M58+Cordoba!M58+Corrientes!M58+Chaco!M58+Chubut!M58+'Entre Rios'!M58+Formosa!M58+Jujuy!M58+'La Pampa'!M58+'La Rioja'!M58+Mendoza!M58+Misiones!M58+Neuquen!M58+'Rio Negro'!M58+Salta!M58+'San Juan'!M58+'San Luis'!M58+'Santa Cruz'!M58+'Santa Fe'!M58+'Santiago del Estero'!M58+Tucuman!M58+'Tierra del Fuego'!M58</f>
        <v>1589</v>
      </c>
      <c r="N59" s="70">
        <f>+'Partidos de GBA'!N58+'Capital Federal'!N58+'Resto de Buenos Aires'!N58+Catamarca!N58+Cordoba!N58+Corrientes!N58+Chaco!N58+Chubut!N58+'Entre Rios'!N58+Formosa!N58+Jujuy!N58+'La Pampa'!N58+'La Rioja'!N58+Mendoza!N58+Misiones!N58+Neuquen!N58+'Rio Negro'!N58+Salta!N58+'San Juan'!N58+'San Luis'!N58+'Santa Cruz'!N58+'Santa Fe'!N58+'Santiago del Estero'!N58+Tucuman!N58+'Tierra del Fuego'!N58</f>
        <v>1618</v>
      </c>
      <c r="O59" s="70">
        <f>+'Partidos de GBA'!O58+'Capital Federal'!O58+'Resto de Buenos Aires'!O58+Catamarca!O58+Cordoba!O58+Corrientes!O58+Chaco!O58+Chubut!O58+'Entre Rios'!O58+Formosa!O58+Jujuy!O58+'La Pampa'!O58+'La Rioja'!O58+Mendoza!O58+Misiones!O58+Neuquen!O58+'Rio Negro'!O58+Salta!O58+'San Juan'!O58+'San Luis'!O58+'Santa Cruz'!O58+'Santa Fe'!O58+'Santiago del Estero'!O58+Tucuman!O58+'Tierra del Fuego'!O58</f>
        <v>1553</v>
      </c>
      <c r="P59" s="70">
        <f>+'Partidos de GBA'!P58+'Capital Federal'!P58+'Resto de Buenos Aires'!P58+Catamarca!P58+Cordoba!P58+Corrientes!P58+Chaco!P58+Chubut!P58+'Entre Rios'!P58+Formosa!P58+Jujuy!P58+'La Pampa'!P58+'La Rioja'!P58+Mendoza!P58+Misiones!P58+Neuquen!P58+'Rio Negro'!P58+Salta!P58+'San Juan'!P58+'San Luis'!P58+'Santa Cruz'!P58+'Santa Fe'!P58+'Santiago del Estero'!P58+Tucuman!P58+'Tierra del Fuego'!P58</f>
        <v>1327</v>
      </c>
      <c r="Q59" s="70">
        <f>+'Partidos de GBA'!W58+'Capital Federal'!W58+'Resto de Buenos Aires'!W58+Catamarca!W58+Cordoba!W58+Corrientes!W58+Chaco!W58+Chubut!W58+'Entre Rios'!W58+Formosa!W58+Jujuy!W58+'La Pampa'!W58+'La Rioja'!W58+Mendoza!W58+Misiones!W58+Neuquen!W58+'Rio Negro'!W58+Salta!W58+'San Juan'!W58+'San Luis'!W58+'Santa Cruz'!W58+'Santa Fe'!W58+'Santiago del Estero'!W58+Tucuman!W58+'Tierra del Fuego'!W58</f>
        <v>1344</v>
      </c>
      <c r="R59" s="70">
        <f>+'Partidos de GBA'!X58+'Capital Federal'!X58+'Resto de Buenos Aires'!X58+Catamarca!X58+Cordoba!X58+Corrientes!X58+Chaco!X58+Chubut!X58+'Entre Rios'!X58+Formosa!X58+Jujuy!X58+'La Pampa'!X58+'La Rioja'!X58+Mendoza!X58+Misiones!X58+Neuquen!X58+'Rio Negro'!X58+Salta!X58+'San Juan'!X58+'San Luis'!X58+'Santa Cruz'!X58+'Santa Fe'!X58+'Santiago del Estero'!X58+Tucuman!X58+'Tierra del Fuego'!X58</f>
        <v>1289</v>
      </c>
      <c r="S59" s="70"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T59" s="70"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U59" s="70"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V59" s="70"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W59" s="70"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X59" s="70"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Y59" s="70"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Z59" s="70"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A59" s="70"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B59" s="70"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C59" s="70"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D59" s="70"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E59" s="70"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F59" s="70"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G59" s="70"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H59" s="70"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I59" s="70"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J59" s="70"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K59" s="70"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L59" s="70"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M59" s="70"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N59" s="70"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O59" s="70"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P59" s="70"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Q59" s="70"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R59" s="70"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S59" s="70"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T59" s="70"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U59" s="70"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V59" s="70"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W59" s="70"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X59" s="70"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Y59" s="70"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Z59" s="70"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A59" s="70"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B59" s="70"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C59" s="70"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D59" s="70"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E59" s="70"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F59" s="70"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G59" s="70"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H59" s="70"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I59" s="70"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J59" s="70"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K59" s="70"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L59" s="70"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M59" s="70"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N59" s="70"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O59" s="70"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P59" s="70"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Q59" s="70"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R59" s="70"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S59" s="70"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T59" s="70"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U59" s="70"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V59" s="70"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W59" s="70"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X59" s="70"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Y59" s="70"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Z59" s="70"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A59" s="70"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B59" s="70"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C59" s="70"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D59" s="70"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E59" s="70"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F59" s="70"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G59" s="70"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H59" s="70"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I59" s="70"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J59" s="70"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K59" s="70"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L59" s="70"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M59" s="70"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N59" s="70"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O59" s="70"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P59" s="70"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Q59" s="70"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R59" s="70"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S59" s="70"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T59" s="70"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U59" s="70"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V59" s="70"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W59" s="70"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X59" s="70"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Y59" s="70"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Z59" s="70"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DA59" s="70"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DB59" s="70"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DC59" s="70"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DD59" s="70"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DE59" s="70"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DF59" s="70">
        <f>+'Partidos de GBA'!Y58+'Capital Federal'!Y58+'Resto de Buenos Aires'!Y58+Catamarca!Y58+Cordoba!Y58+Corrientes!Y58+Chaco!Y58+Chubut!Y58+'Entre Rios'!Y58+Formosa!Y58+Jujuy!Y58+'La Pampa'!Y58+'La Rioja'!Y58+Mendoza!Y58+Misiones!Y58+Neuquen!Y58+'Rio Negro'!Y58+Salta!Y58+'San Juan'!Y58+'San Luis'!Y58+'Santa Cruz'!Y58+'Santa Fe'!Y58+'Santiago del Estero'!Y58+Tucuman!Y58+'Tierra del Fuego'!Y58</f>
        <v>1275</v>
      </c>
      <c r="DG59" s="70">
        <f>+'Partidos de GBA'!AE58+'Capital Federal'!AE58+'Resto de Buenos Aires'!AE58+Catamarca!AE58+Cordoba!AE58+Corrientes!AE58+Chaco!AE58+Chubut!AE58+'Entre Rios'!AE58+Formosa!AE58+Jujuy!AE58+'La Pampa'!AE58+'La Rioja'!AE58+Mendoza!AE58+Misiones!AE58+Neuquen!AE58+'Rio Negro'!AE58+Salta!AE58+'San Juan'!AE58+'San Luis'!AE58+'Santa Cruz'!AE58+'Santa Fe'!AE58+'Santiago del Estero'!AE58+Tucuman!AE58+'Tierra del Fuego'!AE58</f>
        <v>1216</v>
      </c>
    </row>
    <row r="60" spans="1:111" ht="15" customHeight="1" thickBot="1" x14ac:dyDescent="0.3">
      <c r="A60" s="44">
        <v>67</v>
      </c>
      <c r="B60" s="15" t="s">
        <v>74</v>
      </c>
      <c r="C60" s="68">
        <f>+'Partidos de GBA'!C59+'Capital Federal'!C59+'Resto de Buenos Aires'!C59+Catamarca!C59+Cordoba!C59+Corrientes!C59+Chaco!C59+Chubut!C59+'Entre Rios'!C59+Formosa!C59+Jujuy!C59+'La Pampa'!C59+'La Rioja'!C59+Mendoza!C59+Misiones!C59+Neuquen!C59+'Rio Negro'!C59+Salta!C59+'San Juan'!C59+'San Luis'!C59+'Santa Cruz'!C59+'Santa Fe'!C59+'Santiago del Estero'!C59+Tucuman!C59+'Tierra del Fuego'!C59</f>
        <v>1839</v>
      </c>
      <c r="D60" s="68">
        <f>+'Partidos de GBA'!D59+'Capital Federal'!D59+'Resto de Buenos Aires'!D59+Catamarca!D59+Cordoba!D59+Corrientes!D59+Chaco!D59+Chubut!D59+'Entre Rios'!D59+Formosa!D59+Jujuy!D59+'La Pampa'!D59+'La Rioja'!D59+Mendoza!D59+Misiones!D59+Neuquen!D59+'Rio Negro'!D59+Salta!D59+'San Juan'!D59+'San Luis'!D59+'Santa Cruz'!D59+'Santa Fe'!D59+'Santiago del Estero'!D59+Tucuman!D59+'Tierra del Fuego'!D59</f>
        <v>1897</v>
      </c>
      <c r="E60" s="68">
        <f>+'Partidos de GBA'!E59+'Capital Federal'!E59+'Resto de Buenos Aires'!E59+Catamarca!E59+Cordoba!E59+Corrientes!E59+Chaco!E59+Chubut!E59+'Entre Rios'!E59+Formosa!E59+Jujuy!E59+'La Pampa'!E59+'La Rioja'!E59+Mendoza!E59+Misiones!E59+Neuquen!E59+'Rio Negro'!E59+Salta!E59+'San Juan'!E59+'San Luis'!E59+'Santa Cruz'!E59+'Santa Fe'!E59+'Santiago del Estero'!E59+Tucuman!E59+'Tierra del Fuego'!E59</f>
        <v>1920</v>
      </c>
      <c r="F60" s="68">
        <f>+'Partidos de GBA'!F59+'Capital Federal'!F59+'Resto de Buenos Aires'!F59+Catamarca!F59+Cordoba!F59+Corrientes!F59+Chaco!F59+Chubut!F59+'Entre Rios'!F59+Formosa!F59+Jujuy!F59+'La Pampa'!F59+'La Rioja'!F59+Mendoza!F59+Misiones!F59+Neuquen!F59+'Rio Negro'!F59+Salta!F59+'San Juan'!F59+'San Luis'!F59+'Santa Cruz'!F59+'Santa Fe'!F59+'Santiago del Estero'!F59+Tucuman!F59+'Tierra del Fuego'!F59</f>
        <v>1881</v>
      </c>
      <c r="G60" s="68" t="e">
        <f>+'Partidos de GBA'!G59+'Capital Federal'!G59+'Resto de Buenos Aires'!G59+Catamarca!G59+Cordoba!G59+Corrientes!G59+Chaco!G59+Chubut!G59+'Entre Rios'!G59+Formosa!G59+Jujuy!G59+'La Pampa'!G59+'La Rioja'!G59+Mendoza!G59+Misiones!G59+Neuquen!G59+'Rio Negro'!G59+Salta!G59+'San Juan'!G59+'San Luis'!G59+'Santa Cruz'!G59+'Santa Fe'!G59+'Santiago del Estero'!G59+Tucuman!G59+'Tierra del Fuego'!G59</f>
        <v>#VALUE!</v>
      </c>
      <c r="H60" s="68">
        <f>+'Partidos de GBA'!H59+'Capital Federal'!H59+'Resto de Buenos Aires'!H59+Catamarca!H59+Cordoba!H59+Corrientes!H59+Chaco!H59+Chubut!H59+'Entre Rios'!H59+Formosa!H59+Jujuy!H59+'La Pampa'!H59+'La Rioja'!H59+Mendoza!H59+Misiones!H59+Neuquen!H59+'Rio Negro'!H59+Salta!H59+'San Juan'!H59+'San Luis'!H59+'Santa Cruz'!H59+'Santa Fe'!H59+'Santiago del Estero'!H59+Tucuman!H59+'Tierra del Fuego'!H59</f>
        <v>1788</v>
      </c>
      <c r="I60" s="68">
        <f>+'Partidos de GBA'!I59+'Capital Federal'!I59+'Resto de Buenos Aires'!I59+Catamarca!I59+Cordoba!I59+Corrientes!I59+Chaco!I59+Chubut!I59+'Entre Rios'!I59+Formosa!I59+Jujuy!I59+'La Pampa'!I59+'La Rioja'!I59+Mendoza!I59+Misiones!I59+Neuquen!I59+'Rio Negro'!I59+Salta!I59+'San Juan'!I59+'San Luis'!I59+'Santa Cruz'!I59+'Santa Fe'!I59+'Santiago del Estero'!I59+Tucuman!I59+'Tierra del Fuego'!I59</f>
        <v>1676</v>
      </c>
      <c r="J60" s="68">
        <f>+'Partidos de GBA'!J59+'Capital Federal'!J59+'Resto de Buenos Aires'!J59+Catamarca!J59+Cordoba!J59+Corrientes!J59+Chaco!J59+Chubut!J59+'Entre Rios'!J59+Formosa!J59+Jujuy!J59+'La Pampa'!J59+'La Rioja'!J59+Mendoza!J59+Misiones!J59+Neuquen!J59+'Rio Negro'!J59+Salta!J59+'San Juan'!J59+'San Luis'!J59+'Santa Cruz'!J59+'Santa Fe'!J59+'Santiago del Estero'!J59+Tucuman!J59+'Tierra del Fuego'!J59</f>
        <v>1841</v>
      </c>
      <c r="K60" s="68">
        <f>+'Partidos de GBA'!K59+'Capital Federal'!K59+'Resto de Buenos Aires'!K59+Catamarca!K59+Cordoba!K59+Corrientes!K59+Chaco!K59+Chubut!K59+'Entre Rios'!K59+Formosa!K59+Jujuy!K59+'La Pampa'!K59+'La Rioja'!K59+Mendoza!K59+Misiones!K59+Neuquen!K59+'Rio Negro'!K59+Salta!K59+'San Juan'!K59+'San Luis'!K59+'Santa Cruz'!K59+'Santa Fe'!K59+'Santiago del Estero'!K59+Tucuman!K59+'Tierra del Fuego'!K59</f>
        <v>2324</v>
      </c>
      <c r="L60" s="68">
        <f>+'Partidos de GBA'!L59+'Capital Federal'!L59+'Resto de Buenos Aires'!L59+Catamarca!L59+Cordoba!L59+Corrientes!L59+Chaco!L59+Chubut!L59+'Entre Rios'!L59+Formosa!L59+Jujuy!L59+'La Pampa'!L59+'La Rioja'!L59+Mendoza!L59+Misiones!L59+Neuquen!L59+'Rio Negro'!L59+Salta!L59+'San Juan'!L59+'San Luis'!L59+'Santa Cruz'!L59+'Santa Fe'!L59+'Santiago del Estero'!L59+Tucuman!L59+'Tierra del Fuego'!L59</f>
        <v>2514</v>
      </c>
      <c r="M60" s="68">
        <f>+'Partidos de GBA'!M59+'Capital Federal'!M59+'Resto de Buenos Aires'!M59+Catamarca!M59+Cordoba!M59+Corrientes!M59+Chaco!M59+Chubut!M59+'Entre Rios'!M59+Formosa!M59+Jujuy!M59+'La Pampa'!M59+'La Rioja'!M59+Mendoza!M59+Misiones!M59+Neuquen!M59+'Rio Negro'!M59+Salta!M59+'San Juan'!M59+'San Luis'!M59+'Santa Cruz'!M59+'Santa Fe'!M59+'Santiago del Estero'!M59+Tucuman!M59+'Tierra del Fuego'!M59</f>
        <v>2773</v>
      </c>
      <c r="N60" s="68">
        <f>+'Partidos de GBA'!N59+'Capital Federal'!N59+'Resto de Buenos Aires'!N59+Catamarca!N59+Cordoba!N59+Corrientes!N59+Chaco!N59+Chubut!N59+'Entre Rios'!N59+Formosa!N59+Jujuy!N59+'La Pampa'!N59+'La Rioja'!N59+Mendoza!N59+Misiones!N59+Neuquen!N59+'Rio Negro'!N59+Salta!N59+'San Juan'!N59+'San Luis'!N59+'Santa Cruz'!N59+'Santa Fe'!N59+'Santiago del Estero'!N59+Tucuman!N59+'Tierra del Fuego'!N59</f>
        <v>3055</v>
      </c>
      <c r="O60" s="68">
        <f>+'Partidos de GBA'!O59+'Capital Federal'!O59+'Resto de Buenos Aires'!O59+Catamarca!O59+Cordoba!O59+Corrientes!O59+Chaco!O59+Chubut!O59+'Entre Rios'!O59+Formosa!O59+Jujuy!O59+'La Pampa'!O59+'La Rioja'!O59+Mendoza!O59+Misiones!O59+Neuquen!O59+'Rio Negro'!O59+Salta!O59+'San Juan'!O59+'San Luis'!O59+'Santa Cruz'!O59+'Santa Fe'!O59+'Santiago del Estero'!O59+Tucuman!O59+'Tierra del Fuego'!O59</f>
        <v>3299</v>
      </c>
      <c r="P60" s="68">
        <f>+'Partidos de GBA'!P59+'Capital Federal'!P59+'Resto de Buenos Aires'!P59+Catamarca!P59+Cordoba!P59+Corrientes!P59+Chaco!P59+Chubut!P59+'Entre Rios'!P59+Formosa!P59+Jujuy!P59+'La Pampa'!P59+'La Rioja'!P59+Mendoza!P59+Misiones!P59+Neuquen!P59+'Rio Negro'!P59+Salta!P59+'San Juan'!P59+'San Luis'!P59+'Santa Cruz'!P59+'Santa Fe'!P59+'Santiago del Estero'!P59+Tucuman!P59+'Tierra del Fuego'!P59</f>
        <v>3439</v>
      </c>
      <c r="Q60" s="68">
        <f>+'Partidos de GBA'!W59+'Capital Federal'!W59+'Resto de Buenos Aires'!W59+Catamarca!W59+Cordoba!W59+Corrientes!W59+Chaco!W59+Chubut!W59+'Entre Rios'!W59+Formosa!W59+Jujuy!W59+'La Pampa'!W59+'La Rioja'!W59+Mendoza!W59+Misiones!W59+Neuquen!W59+'Rio Negro'!W59+Salta!W59+'San Juan'!W59+'San Luis'!W59+'Santa Cruz'!W59+'Santa Fe'!W59+'Santiago del Estero'!W59+Tucuman!W59+'Tierra del Fuego'!W59</f>
        <v>4215</v>
      </c>
      <c r="R60" s="68">
        <f>+'Partidos de GBA'!X59+'Capital Federal'!X59+'Resto de Buenos Aires'!X59+Catamarca!X59+Cordoba!X59+Corrientes!X59+Chaco!X59+Chubut!X59+'Entre Rios'!X59+Formosa!X59+Jujuy!X59+'La Pampa'!X59+'La Rioja'!X59+Mendoza!X59+Misiones!X59+Neuquen!X59+'Rio Negro'!X59+Salta!X59+'San Juan'!X59+'San Luis'!X59+'Santa Cruz'!X59+'Santa Fe'!X59+'Santiago del Estero'!X59+Tucuman!X59+'Tierra del Fuego'!X59</f>
        <v>4296</v>
      </c>
      <c r="S60" s="68"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T60" s="68"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U60" s="68"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V60" s="68"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W60" s="68"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X60" s="68"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Y60" s="68"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Z60" s="68"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A60" s="68"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B60" s="68"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C60" s="68"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D60" s="68"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E60" s="68"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F60" s="68"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G60" s="68"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H60" s="68"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I60" s="68"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J60" s="68"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K60" s="68"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L60" s="68"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M60" s="68"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N60" s="68"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O60" s="68"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P60" s="68"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Q60" s="68"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R60" s="68"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S60" s="68"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T60" s="68"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U60" s="68"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V60" s="68"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W60" s="68"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X60" s="68"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Y60" s="68"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Z60" s="68"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A60" s="68"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B60" s="68"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C60" s="68"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D60" s="68"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E60" s="68"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F60" s="68"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G60" s="68"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H60" s="68"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I60" s="68"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J60" s="68"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K60" s="68"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L60" s="68"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M60" s="68"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N60" s="68"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O60" s="68"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P60" s="68"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Q60" s="68"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R60" s="68"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S60" s="68"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T60" s="68"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U60" s="68"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V60" s="68"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W60" s="68"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X60" s="68"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Y60" s="68"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Z60" s="68"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A60" s="68"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B60" s="68"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C60" s="68"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D60" s="68"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E60" s="68"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F60" s="68"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G60" s="68"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H60" s="68"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I60" s="68"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J60" s="68"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K60" s="68"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L60" s="68"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M60" s="68"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N60" s="68"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O60" s="68"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P60" s="68"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Q60" s="68"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R60" s="68"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S60" s="68"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T60" s="68"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U60" s="68"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V60" s="68"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W60" s="68"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X60" s="68"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Y60" s="68"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Z60" s="68"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DA60" s="68"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DB60" s="68"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DC60" s="68"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DD60" s="68"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DE60" s="68"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DF60" s="68">
        <f>+'Partidos de GBA'!Y59+'Capital Federal'!Y59+'Resto de Buenos Aires'!Y59+Catamarca!Y59+Cordoba!Y59+Corrientes!Y59+Chaco!Y59+Chubut!Y59+'Entre Rios'!Y59+Formosa!Y59+Jujuy!Y59+'La Pampa'!Y59+'La Rioja'!Y59+Mendoza!Y59+Misiones!Y59+Neuquen!Y59+'Rio Negro'!Y59+Salta!Y59+'San Juan'!Y59+'San Luis'!Y59+'Santa Cruz'!Y59+'Santa Fe'!Y59+'Santiago del Estero'!Y59+Tucuman!Y59+'Tierra del Fuego'!Y59</f>
        <v>4339</v>
      </c>
      <c r="DG60" s="68">
        <f>+'Partidos de GBA'!AE59+'Capital Federal'!AE59+'Resto de Buenos Aires'!AE59+Catamarca!AE59+Cordoba!AE59+Corrientes!AE59+Chaco!AE59+Chubut!AE59+'Entre Rios'!AE59+Formosa!AE59+Jujuy!AE59+'La Pampa'!AE59+'La Rioja'!AE59+Mendoza!AE59+Misiones!AE59+Neuquen!AE59+'Rio Negro'!AE59+Salta!AE59+'San Juan'!AE59+'San Luis'!AE59+'Santa Cruz'!AE59+'Santa Fe'!AE59+'Santiago del Estero'!AE59+Tucuman!AE59+'Tierra del Fuego'!AE59</f>
        <v>4278</v>
      </c>
    </row>
    <row r="61" spans="1:111" ht="15" customHeight="1" thickBot="1" x14ac:dyDescent="0.3">
      <c r="A61" s="40" t="s">
        <v>75</v>
      </c>
      <c r="B61" s="9" t="s">
        <v>76</v>
      </c>
      <c r="C61" s="64">
        <f>+'Partidos de GBA'!C60+'Capital Federal'!C60+'Resto de Buenos Aires'!C60+Catamarca!C60+Cordoba!C60+Corrientes!C60+Chaco!C60+Chubut!C60+'Entre Rios'!C60+Formosa!C60+Jujuy!C60+'La Pampa'!C60+'La Rioja'!C60+Mendoza!C60+Misiones!C60+Neuquen!C60+'Rio Negro'!C60+Salta!C60+'San Juan'!C60+'San Luis'!C60+'Santa Cruz'!C60+'Santa Fe'!C60+'Santiago del Estero'!C60+Tucuman!C60+'Tierra del Fuego'!C60</f>
        <v>102771</v>
      </c>
      <c r="D61" s="64">
        <f>+'Partidos de GBA'!D60+'Capital Federal'!D60+'Resto de Buenos Aires'!D60+Catamarca!D60+Cordoba!D60+Corrientes!D60+Chaco!D60+Chubut!D60+'Entre Rios'!D60+Formosa!D60+Jujuy!D60+'La Pampa'!D60+'La Rioja'!D60+Mendoza!D60+Misiones!D60+Neuquen!D60+'Rio Negro'!D60+Salta!D60+'San Juan'!D60+'San Luis'!D60+'Santa Cruz'!D60+'Santa Fe'!D60+'Santiago del Estero'!D60+Tucuman!D60+'Tierra del Fuego'!D60</f>
        <v>105502</v>
      </c>
      <c r="E61" s="64">
        <f>+'Partidos de GBA'!E60+'Capital Federal'!E60+'Resto de Buenos Aires'!E60+Catamarca!E60+Cordoba!E60+Corrientes!E60+Chaco!E60+Chubut!E60+'Entre Rios'!E60+Formosa!E60+Jujuy!E60+'La Pampa'!E60+'La Rioja'!E60+Mendoza!E60+Misiones!E60+Neuquen!E60+'Rio Negro'!E60+Salta!E60+'San Juan'!E60+'San Luis'!E60+'Santa Cruz'!E60+'Santa Fe'!E60+'Santiago del Estero'!E60+Tucuman!E60+'Tierra del Fuego'!E60</f>
        <v>107819</v>
      </c>
      <c r="F61" s="64">
        <f>+'Partidos de GBA'!F60+'Capital Federal'!F60+'Resto de Buenos Aires'!F60+Catamarca!F60+Cordoba!F60+Corrientes!F60+Chaco!F60+Chubut!F60+'Entre Rios'!F60+Formosa!F60+Jujuy!F60+'La Pampa'!F60+'La Rioja'!F60+Mendoza!F60+Misiones!F60+Neuquen!F60+'Rio Negro'!F60+Salta!F60+'San Juan'!F60+'San Luis'!F60+'Santa Cruz'!F60+'Santa Fe'!F60+'Santiago del Estero'!F60+Tucuman!F60+'Tierra del Fuego'!F60</f>
        <v>109914</v>
      </c>
      <c r="G61" s="64">
        <f>+'Partidos de GBA'!G60+'Capital Federal'!G60+'Resto de Buenos Aires'!G60+Catamarca!G60+Cordoba!G60+Corrientes!G60+Chaco!G60+Chubut!G60+'Entre Rios'!G60+Formosa!G60+Jujuy!G60+'La Pampa'!G60+'La Rioja'!G60+Mendoza!G60+Misiones!G60+Neuquen!G60+'Rio Negro'!G60+Salta!G60+'San Juan'!G60+'San Luis'!G60+'Santa Cruz'!G60+'Santa Fe'!G60+'Santiago del Estero'!G60+Tucuman!G60+'Tierra del Fuego'!G60</f>
        <v>108144</v>
      </c>
      <c r="H61" s="64">
        <f>+'Partidos de GBA'!H60+'Capital Federal'!H60+'Resto de Buenos Aires'!H60+Catamarca!H60+Cordoba!H60+Corrientes!H60+Chaco!H60+Chubut!H60+'Entre Rios'!H60+Formosa!H60+Jujuy!H60+'La Pampa'!H60+'La Rioja'!H60+Mendoza!H60+Misiones!H60+Neuquen!H60+'Rio Negro'!H60+Salta!H60+'San Juan'!H60+'San Luis'!H60+'Santa Cruz'!H60+'Santa Fe'!H60+'Santiago del Estero'!H60+Tucuman!H60+'Tierra del Fuego'!H60</f>
        <v>107074</v>
      </c>
      <c r="I61" s="64">
        <f>+'Partidos de GBA'!I60+'Capital Federal'!I60+'Resto de Buenos Aires'!I60+Catamarca!I60+Cordoba!I60+Corrientes!I60+Chaco!I60+Chubut!I60+'Entre Rios'!I60+Formosa!I60+Jujuy!I60+'La Pampa'!I60+'La Rioja'!I60+Mendoza!I60+Misiones!I60+Neuquen!I60+'Rio Negro'!I60+Salta!I60+'San Juan'!I60+'San Luis'!I60+'Santa Cruz'!I60+'Santa Fe'!I60+'Santiago del Estero'!I60+Tucuman!I60+'Tierra del Fuego'!I60</f>
        <v>103618</v>
      </c>
      <c r="J61" s="64">
        <f>+'Partidos de GBA'!J60+'Capital Federal'!J60+'Resto de Buenos Aires'!J60+Catamarca!J60+Cordoba!J60+Corrientes!J60+Chaco!J60+Chubut!J60+'Entre Rios'!J60+Formosa!J60+Jujuy!J60+'La Pampa'!J60+'La Rioja'!J60+Mendoza!J60+Misiones!J60+Neuquen!J60+'Rio Negro'!J60+Salta!J60+'San Juan'!J60+'San Luis'!J60+'Santa Cruz'!J60+'Santa Fe'!J60+'Santiago del Estero'!J60+Tucuman!J60+'Tierra del Fuego'!J60</f>
        <v>109030</v>
      </c>
      <c r="K61" s="64">
        <f>+'Partidos de GBA'!K60+'Capital Federal'!K60+'Resto de Buenos Aires'!K60+Catamarca!K60+Cordoba!K60+Corrientes!K60+Chaco!K60+Chubut!K60+'Entre Rios'!K60+Formosa!K60+Jujuy!K60+'La Pampa'!K60+'La Rioja'!K60+Mendoza!K60+Misiones!K60+Neuquen!K60+'Rio Negro'!K60+Salta!K60+'San Juan'!K60+'San Luis'!K60+'Santa Cruz'!K60+'Santa Fe'!K60+'Santiago del Estero'!K60+Tucuman!K60+'Tierra del Fuego'!K60</f>
        <v>120133</v>
      </c>
      <c r="L61" s="64">
        <f>+'Partidos de GBA'!L60+'Capital Federal'!L60+'Resto de Buenos Aires'!L60+Catamarca!L60+Cordoba!L60+Corrientes!L60+Chaco!L60+Chubut!L60+'Entre Rios'!L60+Formosa!L60+Jujuy!L60+'La Pampa'!L60+'La Rioja'!L60+Mendoza!L60+Misiones!L60+Neuquen!L60+'Rio Negro'!L60+Salta!L60+'San Juan'!L60+'San Luis'!L60+'Santa Cruz'!L60+'Santa Fe'!L60+'Santiago del Estero'!L60+Tucuman!L60+'Tierra del Fuego'!L60</f>
        <v>126405</v>
      </c>
      <c r="M61" s="64">
        <f>+'Partidos de GBA'!M60+'Capital Federal'!M60+'Resto de Buenos Aires'!M60+Catamarca!M60+Cordoba!M60+Corrientes!M60+Chaco!M60+Chubut!M60+'Entre Rios'!M60+Formosa!M60+Jujuy!M60+'La Pampa'!M60+'La Rioja'!M60+Mendoza!M60+Misiones!M60+Neuquen!M60+'Rio Negro'!M60+Salta!M60+'San Juan'!M60+'San Luis'!M60+'Santa Cruz'!M60+'Santa Fe'!M60+'Santiago del Estero'!M60+Tucuman!M60+'Tierra del Fuego'!M60</f>
        <v>131682</v>
      </c>
      <c r="N61" s="64">
        <f>+'Partidos de GBA'!N60+'Capital Federal'!N60+'Resto de Buenos Aires'!N60+Catamarca!N60+Cordoba!N60+Corrientes!N60+Chaco!N60+Chubut!N60+'Entre Rios'!N60+Formosa!N60+Jujuy!N60+'La Pampa'!N60+'La Rioja'!N60+Mendoza!N60+Misiones!N60+Neuquen!N60+'Rio Negro'!N60+Salta!N60+'San Juan'!N60+'San Luis'!N60+'Santa Cruz'!N60+'Santa Fe'!N60+'Santiago del Estero'!N60+Tucuman!N60+'Tierra del Fuego'!N60</f>
        <v>135818</v>
      </c>
      <c r="O61" s="64">
        <f>+'Partidos de GBA'!O60+'Capital Federal'!O60+'Resto de Buenos Aires'!O60+Catamarca!O60+Cordoba!O60+Corrientes!O60+Chaco!O60+Chubut!O60+'Entre Rios'!O60+Formosa!O60+Jujuy!O60+'La Pampa'!O60+'La Rioja'!O60+Mendoza!O60+Misiones!O60+Neuquen!O60+'Rio Negro'!O60+Salta!O60+'San Juan'!O60+'San Luis'!O60+'Santa Cruz'!O60+'Santa Fe'!O60+'Santiago del Estero'!O60+Tucuman!O60+'Tierra del Fuego'!O60</f>
        <v>138345</v>
      </c>
      <c r="P61" s="64">
        <f>+'Partidos de GBA'!P60+'Capital Federal'!P60+'Resto de Buenos Aires'!P60+Catamarca!P60+Cordoba!P60+Corrientes!P60+Chaco!P60+Chubut!P60+'Entre Rios'!P60+Formosa!P60+Jujuy!P60+'La Pampa'!P60+'La Rioja'!P60+Mendoza!P60+Misiones!P60+Neuquen!P60+'Rio Negro'!P60+Salta!P60+'San Juan'!P60+'San Luis'!P60+'Santa Cruz'!P60+'Santa Fe'!P60+'Santiago del Estero'!P60+Tucuman!P60+'Tierra del Fuego'!P60</f>
        <v>137696</v>
      </c>
      <c r="Q61" s="64">
        <f>+'Partidos de GBA'!W60+'Capital Federal'!W60+'Resto de Buenos Aires'!W60+Catamarca!W60+Cordoba!W60+Corrientes!W60+Chaco!W60+Chubut!W60+'Entre Rios'!W60+Formosa!W60+Jujuy!W60+'La Pampa'!W60+'La Rioja'!W60+Mendoza!W60+Misiones!W60+Neuquen!W60+'Rio Negro'!W60+Salta!W60+'San Juan'!W60+'San Luis'!W60+'Santa Cruz'!W60+'Santa Fe'!W60+'Santiago del Estero'!W60+Tucuman!W60+'Tierra del Fuego'!W60</f>
        <v>133135</v>
      </c>
      <c r="R61" s="64">
        <f>+'Partidos de GBA'!X60+'Capital Federal'!X60+'Resto de Buenos Aires'!X60+Catamarca!X60+Cordoba!X60+Corrientes!X60+Chaco!X60+Chubut!X60+'Entre Rios'!X60+Formosa!X60+Jujuy!X60+'La Pampa'!X60+'La Rioja'!X60+Mendoza!X60+Misiones!X60+Neuquen!X60+'Rio Negro'!X60+Salta!X60+'San Juan'!X60+'San Luis'!X60+'Santa Cruz'!X60+'Santa Fe'!X60+'Santiago del Estero'!X60+Tucuman!X60+'Tierra del Fuego'!X60</f>
        <v>132262</v>
      </c>
      <c r="S61"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T61"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U61"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V61"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W61"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X61"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Y61"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Z61"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A61"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B61"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C61"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D61"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E61"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F61"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G61"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H61"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I61"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J61"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K61"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L61"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M61"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N61"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O61"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P61"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Q61"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R61"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S61"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T61"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U61"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V61"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W61"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X61"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Y61"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Z61"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A61"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B61"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C61"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D61"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E61"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F61"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G61"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H61"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I61"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J61"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K61"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L61"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M61"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N61"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O61"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P61"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Q61"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R61"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S61"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T61"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U61"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V61"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W61"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X61"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Y61"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Z61"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A61"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B61"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C61"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D61"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E61"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F61"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G61"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H61"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I61"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J61"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K61"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L61"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M61"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N61"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O61"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P61"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Q61"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R61"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S61"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T61"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U61"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V61"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W61"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X61"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Y61"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Z61"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DA61"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DB61"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DC61"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DD61"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DE61"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DF61" s="64">
        <f>+'Partidos de GBA'!Y60+'Capital Federal'!Y60+'Resto de Buenos Aires'!Y60+Catamarca!Y60+Cordoba!Y60+Corrientes!Y60+Chaco!Y60+Chubut!Y60+'Entre Rios'!Y60+Formosa!Y60+Jujuy!Y60+'La Pampa'!Y60+'La Rioja'!Y60+Mendoza!Y60+Misiones!Y60+Neuquen!Y60+'Rio Negro'!Y60+Salta!Y60+'San Juan'!Y60+'San Luis'!Y60+'Santa Cruz'!Y60+'Santa Fe'!Y60+'Santiago del Estero'!Y60+Tucuman!Y60+'Tierra del Fuego'!Y60</f>
        <v>130111</v>
      </c>
      <c r="DG61" s="64">
        <f>+'Partidos de GBA'!AE60+'Capital Federal'!AE60+'Resto de Buenos Aires'!AE60+Catamarca!AE60+Cordoba!AE60+Corrientes!AE60+Chaco!AE60+Chubut!AE60+'Entre Rios'!AE60+Formosa!AE60+Jujuy!AE60+'La Pampa'!AE60+'La Rioja'!AE60+Mendoza!AE60+Misiones!AE60+Neuquen!AE60+'Rio Negro'!AE60+Salta!AE60+'San Juan'!AE60+'San Luis'!AE60+'Santa Cruz'!AE60+'Santa Fe'!AE60+'Santiago del Estero'!AE60+Tucuman!AE60+'Tierra del Fuego'!AE60</f>
        <v>115946</v>
      </c>
    </row>
    <row r="62" spans="1:111" ht="15" customHeight="1" x14ac:dyDescent="0.25">
      <c r="A62" s="41">
        <v>70</v>
      </c>
      <c r="B62" s="12" t="s">
        <v>77</v>
      </c>
      <c r="C62" s="65"/>
      <c r="D62" s="65"/>
      <c r="E62" s="65"/>
      <c r="F62" s="65"/>
      <c r="G62" s="65"/>
      <c r="H62" s="65"/>
      <c r="I62" s="65"/>
      <c r="J62" s="65"/>
      <c r="K62" s="65"/>
      <c r="L62" s="65"/>
      <c r="M62" s="65"/>
      <c r="N62" s="65"/>
      <c r="O62" s="65"/>
      <c r="P62" s="65"/>
      <c r="Q62" s="65"/>
      <c r="R62" s="65"/>
      <c r="S62" s="65"/>
      <c r="T62" s="65"/>
      <c r="U62" s="65"/>
      <c r="V62" s="65"/>
      <c r="W62" s="65"/>
      <c r="X62" s="65"/>
      <c r="Y62" s="65"/>
      <c r="Z62" s="65"/>
      <c r="AA62" s="65"/>
      <c r="AB62" s="65"/>
      <c r="AC62" s="65"/>
      <c r="AD62" s="65"/>
      <c r="AE62" s="65"/>
      <c r="AF62" s="65"/>
      <c r="AG62" s="65"/>
      <c r="AH62" s="65"/>
      <c r="AI62" s="65"/>
      <c r="AJ62" s="65"/>
      <c r="AK62" s="65"/>
      <c r="AL62" s="65"/>
      <c r="AM62" s="65"/>
      <c r="AN62" s="65"/>
      <c r="AO62" s="65"/>
      <c r="AP62" s="65"/>
      <c r="AQ62" s="65"/>
      <c r="AR62" s="65"/>
      <c r="AS62" s="65"/>
      <c r="AT62" s="65"/>
      <c r="AU62" s="65"/>
      <c r="AV62" s="65"/>
      <c r="AW62" s="65"/>
      <c r="AX62" s="65"/>
      <c r="AY62" s="65"/>
      <c r="AZ62" s="65"/>
      <c r="BA62" s="65"/>
      <c r="BB62" s="65"/>
      <c r="BC62" s="65"/>
      <c r="BD62" s="65"/>
      <c r="BE62" s="65"/>
      <c r="BF62" s="65"/>
      <c r="BG62" s="65"/>
      <c r="BH62" s="65"/>
      <c r="BI62" s="65"/>
      <c r="BJ62" s="65"/>
      <c r="BK62" s="65"/>
      <c r="BL62" s="65"/>
      <c r="BM62" s="65"/>
      <c r="BN62" s="65"/>
      <c r="BO62" s="65"/>
      <c r="BP62" s="65"/>
      <c r="BQ62" s="65"/>
      <c r="BR62" s="65"/>
      <c r="BS62" s="65"/>
      <c r="BT62" s="65"/>
      <c r="BU62" s="65"/>
      <c r="BV62" s="65"/>
      <c r="BW62" s="65"/>
      <c r="BX62" s="65"/>
      <c r="BY62" s="65"/>
      <c r="BZ62" s="65"/>
      <c r="CA62" s="65"/>
      <c r="CB62" s="65"/>
      <c r="CC62" s="65"/>
      <c r="CD62" s="65"/>
      <c r="CE62" s="65"/>
      <c r="CF62" s="65"/>
      <c r="CG62" s="65"/>
      <c r="CH62" s="65"/>
      <c r="CI62" s="65"/>
      <c r="CJ62" s="65"/>
      <c r="CK62" s="65"/>
      <c r="CL62" s="65"/>
      <c r="CM62" s="65"/>
      <c r="CN62" s="65"/>
      <c r="CO62" s="65"/>
      <c r="CP62" s="65"/>
      <c r="CQ62" s="65"/>
      <c r="CR62" s="65"/>
      <c r="CS62" s="65"/>
      <c r="CT62" s="65"/>
      <c r="CU62" s="65"/>
      <c r="CV62" s="65"/>
      <c r="CW62" s="65"/>
      <c r="CX62" s="65"/>
      <c r="CY62" s="65"/>
      <c r="CZ62" s="65"/>
      <c r="DA62" s="65"/>
      <c r="DB62" s="65"/>
      <c r="DC62" s="65"/>
      <c r="DD62" s="65"/>
      <c r="DE62" s="65"/>
      <c r="DF62" s="65"/>
      <c r="DG62" s="65"/>
    </row>
    <row r="63" spans="1:111" ht="15" customHeight="1" x14ac:dyDescent="0.25">
      <c r="A63" s="46">
        <v>71</v>
      </c>
      <c r="B63" s="17" t="s">
        <v>78</v>
      </c>
      <c r="C63" s="70"/>
      <c r="D63" s="70"/>
      <c r="E63" s="70"/>
      <c r="F63" s="70"/>
      <c r="G63" s="70"/>
      <c r="H63" s="70"/>
      <c r="I63" s="70"/>
      <c r="J63" s="70"/>
      <c r="K63" s="70"/>
      <c r="L63" s="70"/>
      <c r="M63" s="70"/>
      <c r="N63" s="70"/>
      <c r="O63" s="70"/>
      <c r="P63" s="70"/>
      <c r="Q63" s="70"/>
      <c r="R63" s="70"/>
      <c r="S63" s="70"/>
      <c r="T63" s="70"/>
      <c r="U63" s="70"/>
      <c r="V63" s="70"/>
      <c r="W63" s="70"/>
      <c r="X63" s="70"/>
      <c r="Y63" s="70"/>
      <c r="Z63" s="70"/>
      <c r="AA63" s="70"/>
      <c r="AB63" s="70"/>
      <c r="AC63" s="70"/>
      <c r="AD63" s="70"/>
      <c r="AE63" s="70"/>
      <c r="AF63" s="70"/>
      <c r="AG63" s="70"/>
      <c r="AH63" s="70"/>
      <c r="AI63" s="70"/>
      <c r="AJ63" s="70"/>
      <c r="AK63" s="70"/>
      <c r="AL63" s="70"/>
      <c r="AM63" s="70"/>
      <c r="AN63" s="70"/>
      <c r="AO63" s="70"/>
      <c r="AP63" s="70"/>
      <c r="AQ63" s="70"/>
      <c r="AR63" s="70"/>
      <c r="AS63" s="70"/>
      <c r="AT63" s="70"/>
      <c r="AU63" s="70"/>
      <c r="AV63" s="70"/>
      <c r="AW63" s="70"/>
      <c r="AX63" s="70"/>
      <c r="AY63" s="70"/>
      <c r="AZ63" s="70"/>
      <c r="BA63" s="70"/>
      <c r="BB63" s="70"/>
      <c r="BC63" s="70"/>
      <c r="BD63" s="70"/>
      <c r="BE63" s="70"/>
      <c r="BF63" s="70"/>
      <c r="BG63" s="70"/>
      <c r="BH63" s="70"/>
      <c r="BI63" s="70"/>
      <c r="BJ63" s="70"/>
      <c r="BK63" s="70"/>
      <c r="BL63" s="70"/>
      <c r="BM63" s="70"/>
      <c r="BN63" s="70"/>
      <c r="BO63" s="70"/>
      <c r="BP63" s="70"/>
      <c r="BQ63" s="70"/>
      <c r="BR63" s="70"/>
      <c r="BS63" s="70"/>
      <c r="BT63" s="70"/>
      <c r="BU63" s="70"/>
      <c r="BV63" s="70"/>
      <c r="BW63" s="70"/>
      <c r="BX63" s="70"/>
      <c r="BY63" s="70"/>
      <c r="BZ63" s="70"/>
      <c r="CA63" s="70"/>
      <c r="CB63" s="70"/>
      <c r="CC63" s="70"/>
      <c r="CD63" s="70"/>
      <c r="CE63" s="70"/>
      <c r="CF63" s="70"/>
      <c r="CG63" s="70"/>
      <c r="CH63" s="70"/>
      <c r="CI63" s="70"/>
      <c r="CJ63" s="70"/>
      <c r="CK63" s="70"/>
      <c r="CL63" s="70"/>
      <c r="CM63" s="70"/>
      <c r="CN63" s="70"/>
      <c r="CO63" s="70"/>
      <c r="CP63" s="70"/>
      <c r="CQ63" s="70"/>
      <c r="CR63" s="70"/>
      <c r="CS63" s="70"/>
      <c r="CT63" s="70"/>
      <c r="CU63" s="70"/>
      <c r="CV63" s="70"/>
      <c r="CW63" s="70"/>
      <c r="CX63" s="70"/>
      <c r="CY63" s="70"/>
      <c r="CZ63" s="70"/>
      <c r="DA63" s="70"/>
      <c r="DB63" s="70"/>
      <c r="DC63" s="70"/>
      <c r="DD63" s="70"/>
      <c r="DE63" s="70"/>
      <c r="DF63" s="70"/>
      <c r="DG63" s="70"/>
    </row>
    <row r="64" spans="1:111" ht="15" customHeight="1" x14ac:dyDescent="0.25">
      <c r="A64" s="46">
        <v>72</v>
      </c>
      <c r="B64" s="17" t="s">
        <v>79</v>
      </c>
      <c r="C64" s="70"/>
      <c r="D64" s="70"/>
      <c r="E64" s="70"/>
      <c r="F64" s="70"/>
      <c r="G64" s="70"/>
      <c r="H64" s="70"/>
      <c r="I64" s="70"/>
      <c r="J64" s="70"/>
      <c r="K64" s="70"/>
      <c r="L64" s="70"/>
      <c r="M64" s="70"/>
      <c r="N64" s="70"/>
      <c r="O64" s="70"/>
      <c r="P64" s="70"/>
      <c r="Q64" s="70"/>
      <c r="R64" s="70"/>
      <c r="S64" s="70"/>
      <c r="T64" s="70"/>
      <c r="U64" s="70"/>
      <c r="V64" s="70"/>
      <c r="W64" s="70"/>
      <c r="X64" s="70"/>
      <c r="Y64" s="70"/>
      <c r="Z64" s="70"/>
      <c r="AA64" s="70"/>
      <c r="AB64" s="70"/>
      <c r="AC64" s="70"/>
      <c r="AD64" s="70"/>
      <c r="AE64" s="70"/>
      <c r="AF64" s="70"/>
      <c r="AG64" s="70"/>
      <c r="AH64" s="70"/>
      <c r="AI64" s="70"/>
      <c r="AJ64" s="70"/>
      <c r="AK64" s="70"/>
      <c r="AL64" s="70"/>
      <c r="AM64" s="70"/>
      <c r="AN64" s="70"/>
      <c r="AO64" s="70"/>
      <c r="AP64" s="70"/>
      <c r="AQ64" s="70"/>
      <c r="AR64" s="70"/>
      <c r="AS64" s="70"/>
      <c r="AT64" s="70"/>
      <c r="AU64" s="70"/>
      <c r="AV64" s="70"/>
      <c r="AW64" s="70"/>
      <c r="AX64" s="70"/>
      <c r="AY64" s="70"/>
      <c r="AZ64" s="70"/>
      <c r="BA64" s="70"/>
      <c r="BB64" s="70"/>
      <c r="BC64" s="70"/>
      <c r="BD64" s="70"/>
      <c r="BE64" s="70"/>
      <c r="BF64" s="70"/>
      <c r="BG64" s="70"/>
      <c r="BH64" s="70"/>
      <c r="BI64" s="70"/>
      <c r="BJ64" s="70"/>
      <c r="BK64" s="70"/>
      <c r="BL64" s="70"/>
      <c r="BM64" s="70"/>
      <c r="BN64" s="70"/>
      <c r="BO64" s="70"/>
      <c r="BP64" s="70"/>
      <c r="BQ64" s="70"/>
      <c r="BR64" s="70"/>
      <c r="BS64" s="70"/>
      <c r="BT64" s="70"/>
      <c r="BU64" s="70"/>
      <c r="BV64" s="70"/>
      <c r="BW64" s="70"/>
      <c r="BX64" s="70"/>
      <c r="BY64" s="70"/>
      <c r="BZ64" s="70"/>
      <c r="CA64" s="70"/>
      <c r="CB64" s="70"/>
      <c r="CC64" s="70"/>
      <c r="CD64" s="70"/>
      <c r="CE64" s="70"/>
      <c r="CF64" s="70"/>
      <c r="CG64" s="70"/>
      <c r="CH64" s="70"/>
      <c r="CI64" s="70"/>
      <c r="CJ64" s="70"/>
      <c r="CK64" s="70"/>
      <c r="CL64" s="70"/>
      <c r="CM64" s="70"/>
      <c r="CN64" s="70"/>
      <c r="CO64" s="70"/>
      <c r="CP64" s="70"/>
      <c r="CQ64" s="70"/>
      <c r="CR64" s="70"/>
      <c r="CS64" s="70"/>
      <c r="CT64" s="70"/>
      <c r="CU64" s="70"/>
      <c r="CV64" s="70"/>
      <c r="CW64" s="70"/>
      <c r="CX64" s="70"/>
      <c r="CY64" s="70"/>
      <c r="CZ64" s="70"/>
      <c r="DA64" s="70"/>
      <c r="DB64" s="70"/>
      <c r="DC64" s="70"/>
      <c r="DD64" s="70"/>
      <c r="DE64" s="70"/>
      <c r="DF64" s="70"/>
      <c r="DG64" s="70"/>
    </row>
    <row r="65" spans="1:111" ht="15" customHeight="1" x14ac:dyDescent="0.25">
      <c r="A65" s="46">
        <v>73</v>
      </c>
      <c r="B65" s="17" t="s">
        <v>80</v>
      </c>
      <c r="C65" s="70"/>
      <c r="D65" s="70"/>
      <c r="E65" s="70"/>
      <c r="F65" s="70"/>
      <c r="G65" s="70"/>
      <c r="H65" s="70"/>
      <c r="I65" s="70"/>
      <c r="J65" s="70"/>
      <c r="K65" s="70"/>
      <c r="L65" s="70"/>
      <c r="M65" s="70"/>
      <c r="N65" s="70"/>
      <c r="O65" s="70"/>
      <c r="P65" s="70"/>
      <c r="Q65" s="70"/>
      <c r="R65" s="70"/>
      <c r="S65" s="70"/>
      <c r="T65" s="70"/>
      <c r="U65" s="70"/>
      <c r="V65" s="70"/>
      <c r="W65" s="70"/>
      <c r="X65" s="70"/>
      <c r="Y65" s="70"/>
      <c r="Z65" s="70"/>
      <c r="AA65" s="70"/>
      <c r="AB65" s="70"/>
      <c r="AC65" s="70"/>
      <c r="AD65" s="70"/>
      <c r="AE65" s="70"/>
      <c r="AF65" s="70"/>
      <c r="AG65" s="70"/>
      <c r="AH65" s="70"/>
      <c r="AI65" s="70"/>
      <c r="AJ65" s="70"/>
      <c r="AK65" s="70"/>
      <c r="AL65" s="70"/>
      <c r="AM65" s="70"/>
      <c r="AN65" s="70"/>
      <c r="AO65" s="70"/>
      <c r="AP65" s="70"/>
      <c r="AQ65" s="70"/>
      <c r="AR65" s="70"/>
      <c r="AS65" s="70"/>
      <c r="AT65" s="70"/>
      <c r="AU65" s="70"/>
      <c r="AV65" s="70"/>
      <c r="AW65" s="70"/>
      <c r="AX65" s="70"/>
      <c r="AY65" s="70"/>
      <c r="AZ65" s="70"/>
      <c r="BA65" s="70"/>
      <c r="BB65" s="70"/>
      <c r="BC65" s="70"/>
      <c r="BD65" s="70"/>
      <c r="BE65" s="70"/>
      <c r="BF65" s="70"/>
      <c r="BG65" s="70"/>
      <c r="BH65" s="70"/>
      <c r="BI65" s="70"/>
      <c r="BJ65" s="70"/>
      <c r="BK65" s="70"/>
      <c r="BL65" s="70"/>
      <c r="BM65" s="70"/>
      <c r="BN65" s="70"/>
      <c r="BO65" s="70"/>
      <c r="BP65" s="70"/>
      <c r="BQ65" s="70"/>
      <c r="BR65" s="70"/>
      <c r="BS65" s="70"/>
      <c r="BT65" s="70"/>
      <c r="BU65" s="70"/>
      <c r="BV65" s="70"/>
      <c r="BW65" s="70"/>
      <c r="BX65" s="70"/>
      <c r="BY65" s="70"/>
      <c r="BZ65" s="70"/>
      <c r="CA65" s="70"/>
      <c r="CB65" s="70"/>
      <c r="CC65" s="70"/>
      <c r="CD65" s="70"/>
      <c r="CE65" s="70"/>
      <c r="CF65" s="70"/>
      <c r="CG65" s="70"/>
      <c r="CH65" s="70"/>
      <c r="CI65" s="70"/>
      <c r="CJ65" s="70"/>
      <c r="CK65" s="70"/>
      <c r="CL65" s="70"/>
      <c r="CM65" s="70"/>
      <c r="CN65" s="70"/>
      <c r="CO65" s="70"/>
      <c r="CP65" s="70"/>
      <c r="CQ65" s="70"/>
      <c r="CR65" s="70"/>
      <c r="CS65" s="70"/>
      <c r="CT65" s="70"/>
      <c r="CU65" s="70"/>
      <c r="CV65" s="70"/>
      <c r="CW65" s="70"/>
      <c r="CX65" s="70"/>
      <c r="CY65" s="70"/>
      <c r="CZ65" s="70"/>
      <c r="DA65" s="70"/>
      <c r="DB65" s="70"/>
      <c r="DC65" s="70"/>
      <c r="DD65" s="70"/>
      <c r="DE65" s="70"/>
      <c r="DF65" s="70"/>
      <c r="DG65" s="70"/>
    </row>
    <row r="66" spans="1:111" ht="15" customHeight="1" x14ac:dyDescent="0.25">
      <c r="A66" s="46">
        <v>74</v>
      </c>
      <c r="B66" s="17" t="s">
        <v>81</v>
      </c>
      <c r="C66" s="70"/>
      <c r="D66" s="70"/>
      <c r="E66" s="70"/>
      <c r="F66" s="70"/>
      <c r="G66" s="70"/>
      <c r="H66" s="70"/>
      <c r="I66" s="70"/>
      <c r="J66" s="70"/>
      <c r="K66" s="70"/>
      <c r="L66" s="70"/>
      <c r="M66" s="70"/>
      <c r="N66" s="70"/>
      <c r="O66" s="70"/>
      <c r="P66" s="70"/>
      <c r="Q66" s="70"/>
      <c r="R66" s="70"/>
      <c r="S66" s="70"/>
      <c r="T66" s="70"/>
      <c r="U66" s="70"/>
      <c r="V66" s="70"/>
      <c r="W66" s="70"/>
      <c r="X66" s="70"/>
      <c r="Y66" s="70"/>
      <c r="Z66" s="70"/>
      <c r="AA66" s="70"/>
      <c r="AB66" s="70"/>
      <c r="AC66" s="70"/>
      <c r="AD66" s="70"/>
      <c r="AE66" s="70"/>
      <c r="AF66" s="70"/>
      <c r="AG66" s="70"/>
      <c r="AH66" s="70"/>
      <c r="AI66" s="70"/>
      <c r="AJ66" s="70"/>
      <c r="AK66" s="70"/>
      <c r="AL66" s="70"/>
      <c r="AM66" s="70"/>
      <c r="AN66" s="70"/>
      <c r="AO66" s="70"/>
      <c r="AP66" s="70"/>
      <c r="AQ66" s="70"/>
      <c r="AR66" s="70"/>
      <c r="AS66" s="70"/>
      <c r="AT66" s="70"/>
      <c r="AU66" s="70"/>
      <c r="AV66" s="70"/>
      <c r="AW66" s="70"/>
      <c r="AX66" s="70"/>
      <c r="AY66" s="70"/>
      <c r="AZ66" s="70"/>
      <c r="BA66" s="70"/>
      <c r="BB66" s="70"/>
      <c r="BC66" s="70"/>
      <c r="BD66" s="70"/>
      <c r="BE66" s="70"/>
      <c r="BF66" s="70"/>
      <c r="BG66" s="70"/>
      <c r="BH66" s="70"/>
      <c r="BI66" s="70"/>
      <c r="BJ66" s="70"/>
      <c r="BK66" s="70"/>
      <c r="BL66" s="70"/>
      <c r="BM66" s="70"/>
      <c r="BN66" s="70"/>
      <c r="BO66" s="70"/>
      <c r="BP66" s="70"/>
      <c r="BQ66" s="70"/>
      <c r="BR66" s="70"/>
      <c r="BS66" s="70"/>
      <c r="BT66" s="70"/>
      <c r="BU66" s="70"/>
      <c r="BV66" s="70"/>
      <c r="BW66" s="70"/>
      <c r="BX66" s="70"/>
      <c r="BY66" s="70"/>
      <c r="BZ66" s="70"/>
      <c r="CA66" s="70"/>
      <c r="CB66" s="70"/>
      <c r="CC66" s="70"/>
      <c r="CD66" s="70"/>
      <c r="CE66" s="70"/>
      <c r="CF66" s="70"/>
      <c r="CG66" s="70"/>
      <c r="CH66" s="70"/>
      <c r="CI66" s="70"/>
      <c r="CJ66" s="70"/>
      <c r="CK66" s="70"/>
      <c r="CL66" s="70"/>
      <c r="CM66" s="70"/>
      <c r="CN66" s="70"/>
      <c r="CO66" s="70"/>
      <c r="CP66" s="70"/>
      <c r="CQ66" s="70"/>
      <c r="CR66" s="70"/>
      <c r="CS66" s="70"/>
      <c r="CT66" s="70"/>
      <c r="CU66" s="70"/>
      <c r="CV66" s="70"/>
      <c r="CW66" s="70"/>
      <c r="CX66" s="70"/>
      <c r="CY66" s="70"/>
      <c r="CZ66" s="70"/>
      <c r="DA66" s="70"/>
      <c r="DB66" s="70"/>
      <c r="DC66" s="70"/>
      <c r="DD66" s="70"/>
      <c r="DE66" s="70"/>
      <c r="DF66" s="70"/>
      <c r="DG66" s="70"/>
    </row>
    <row r="67" spans="1:111" ht="15" customHeight="1" thickBot="1" x14ac:dyDescent="0.3">
      <c r="A67" s="47">
        <v>75</v>
      </c>
      <c r="B67" s="18" t="s">
        <v>82</v>
      </c>
      <c r="C67" s="71"/>
      <c r="D67" s="71"/>
      <c r="E67" s="71"/>
      <c r="F67" s="71"/>
      <c r="G67" s="71"/>
      <c r="H67" s="71"/>
      <c r="I67" s="71"/>
      <c r="J67" s="71"/>
      <c r="K67" s="71"/>
      <c r="L67" s="71"/>
      <c r="M67" s="71"/>
      <c r="N67" s="71"/>
      <c r="O67" s="71"/>
      <c r="P67" s="71"/>
      <c r="Q67" s="71"/>
      <c r="R67" s="71"/>
      <c r="S67" s="71"/>
      <c r="T67" s="71"/>
      <c r="U67" s="71"/>
      <c r="V67" s="71"/>
      <c r="W67" s="71"/>
      <c r="X67" s="71"/>
      <c r="Y67" s="71"/>
      <c r="Z67" s="71"/>
      <c r="AA67" s="71"/>
      <c r="AB67" s="71"/>
      <c r="AC67" s="71"/>
      <c r="AD67" s="71"/>
      <c r="AE67" s="71"/>
      <c r="AF67" s="71"/>
      <c r="AG67" s="71"/>
      <c r="AH67" s="71"/>
      <c r="AI67" s="71"/>
      <c r="AJ67" s="71"/>
      <c r="AK67" s="71"/>
      <c r="AL67" s="71"/>
      <c r="AM67" s="71"/>
      <c r="AN67" s="71"/>
      <c r="AO67" s="71"/>
      <c r="AP67" s="71"/>
      <c r="AQ67" s="71"/>
      <c r="AR67" s="71"/>
      <c r="AS67" s="71"/>
      <c r="AT67" s="71"/>
      <c r="AU67" s="71"/>
      <c r="AV67" s="71"/>
      <c r="AW67" s="71"/>
      <c r="AX67" s="71"/>
      <c r="AY67" s="71"/>
      <c r="AZ67" s="71"/>
      <c r="BA67" s="71"/>
      <c r="BB67" s="71"/>
      <c r="BC67" s="71"/>
      <c r="BD67" s="71"/>
      <c r="BE67" s="71"/>
      <c r="BF67" s="71"/>
      <c r="BG67" s="71"/>
      <c r="BH67" s="71"/>
      <c r="BI67" s="71"/>
      <c r="BJ67" s="71"/>
      <c r="BK67" s="71"/>
      <c r="BL67" s="71"/>
      <c r="BM67" s="71"/>
      <c r="BN67" s="71"/>
      <c r="BO67" s="71"/>
      <c r="BP67" s="71"/>
      <c r="BQ67" s="71"/>
      <c r="BR67" s="71"/>
      <c r="BS67" s="71"/>
      <c r="BT67" s="71"/>
      <c r="BU67" s="71"/>
      <c r="BV67" s="71"/>
      <c r="BW67" s="71"/>
      <c r="BX67" s="71"/>
      <c r="BY67" s="71"/>
      <c r="BZ67" s="71"/>
      <c r="CA67" s="71"/>
      <c r="CB67" s="71"/>
      <c r="CC67" s="71"/>
      <c r="CD67" s="71"/>
      <c r="CE67" s="71"/>
      <c r="CF67" s="71"/>
      <c r="CG67" s="71"/>
      <c r="CH67" s="71"/>
      <c r="CI67" s="71"/>
      <c r="CJ67" s="71"/>
      <c r="CK67" s="71"/>
      <c r="CL67" s="71"/>
      <c r="CM67" s="71"/>
      <c r="CN67" s="71"/>
      <c r="CO67" s="71"/>
      <c r="CP67" s="71"/>
      <c r="CQ67" s="71"/>
      <c r="CR67" s="71"/>
      <c r="CS67" s="71"/>
      <c r="CT67" s="71"/>
      <c r="CU67" s="71"/>
      <c r="CV67" s="71"/>
      <c r="CW67" s="71"/>
      <c r="CX67" s="71"/>
      <c r="CY67" s="71"/>
      <c r="CZ67" s="71"/>
      <c r="DA67" s="71"/>
      <c r="DB67" s="71"/>
      <c r="DC67" s="71"/>
      <c r="DD67" s="71"/>
      <c r="DE67" s="71"/>
      <c r="DF67" s="71"/>
      <c r="DG67" s="71"/>
    </row>
    <row r="68" spans="1:111" ht="15" customHeight="1" thickBot="1" x14ac:dyDescent="0.3">
      <c r="A68" s="48" t="s">
        <v>83</v>
      </c>
      <c r="B68" s="19" t="s">
        <v>84</v>
      </c>
      <c r="C68" s="72">
        <f>+'Partidos de GBA'!C67+'Capital Federal'!C67+'Resto de Buenos Aires'!C67+Catamarca!C67+Cordoba!C67+Corrientes!C67+Chaco!C67+Chubut!C67+'Entre Rios'!C67+Formosa!C67+Jujuy!C67+'La Pampa'!C67+'La Rioja'!C67+Mendoza!C67+Misiones!C67+Neuquen!C67+'Rio Negro'!C67+Salta!C67+'San Juan'!C67+'San Luis'!C67+'Santa Cruz'!C67+'Santa Fe'!C67+'Santiago del Estero'!C67+Tucuman!C67+'Tierra del Fuego'!C67</f>
        <v>7197</v>
      </c>
      <c r="D68" s="72">
        <f>+'Partidos de GBA'!D67+'Capital Federal'!D67+'Resto de Buenos Aires'!D67+Catamarca!D67+Cordoba!D67+Corrientes!D67+Chaco!D67+Chubut!D67+'Entre Rios'!D67+Formosa!D67+Jujuy!D67+'La Pampa'!D67+'La Rioja'!D67+Mendoza!D67+Misiones!D67+Neuquen!D67+'Rio Negro'!D67+Salta!D67+'San Juan'!D67+'San Luis'!D67+'Santa Cruz'!D67+'Santa Fe'!D67+'Santiago del Estero'!D67+Tucuman!D67+'Tierra del Fuego'!D67</f>
        <v>7698</v>
      </c>
      <c r="E68" s="72">
        <f>+'Partidos de GBA'!E67+'Capital Federal'!E67+'Resto de Buenos Aires'!E67+Catamarca!E67+Cordoba!E67+Corrientes!E67+Chaco!E67+Chubut!E67+'Entre Rios'!E67+Formosa!E67+Jujuy!E67+'La Pampa'!E67+'La Rioja'!E67+Mendoza!E67+Misiones!E67+Neuquen!E67+'Rio Negro'!E67+Salta!E67+'San Juan'!E67+'San Luis'!E67+'Santa Cruz'!E67+'Santa Fe'!E67+'Santiago del Estero'!E67+Tucuman!E67+'Tierra del Fuego'!E67</f>
        <v>7972</v>
      </c>
      <c r="F68" s="72">
        <f>+'Partidos de GBA'!F67+'Capital Federal'!F67+'Resto de Buenos Aires'!F67+Catamarca!F67+Cordoba!F67+Corrientes!F67+Chaco!F67+Chubut!F67+'Entre Rios'!F67+Formosa!F67+Jujuy!F67+'La Pampa'!F67+'La Rioja'!F67+Mendoza!F67+Misiones!F67+Neuquen!F67+'Rio Negro'!F67+Salta!F67+'San Juan'!F67+'San Luis'!F67+'Santa Cruz'!F67+'Santa Fe'!F67+'Santiago del Estero'!F67+Tucuman!F67+'Tierra del Fuego'!F67</f>
        <v>8084</v>
      </c>
      <c r="G68" s="72">
        <f>+'Partidos de GBA'!G67+'Capital Federal'!G67+'Resto de Buenos Aires'!G67+Catamarca!G67+Cordoba!G67+Corrientes!G67+Chaco!G67+Chubut!G67+'Entre Rios'!G67+Formosa!G67+Jujuy!G67+'La Pampa'!G67+'La Rioja'!G67+Mendoza!G67+Misiones!G67+Neuquen!G67+'Rio Negro'!G67+Salta!G67+'San Juan'!G67+'San Luis'!G67+'Santa Cruz'!G67+'Santa Fe'!G67+'Santiago del Estero'!G67+Tucuman!G67+'Tierra del Fuego'!G67</f>
        <v>7720</v>
      </c>
      <c r="H68" s="72">
        <f>+'Partidos de GBA'!H67+'Capital Federal'!H67+'Resto de Buenos Aires'!H67+Catamarca!H67+Cordoba!H67+Corrientes!H67+Chaco!H67+Chubut!H67+'Entre Rios'!H67+Formosa!H67+Jujuy!H67+'La Pampa'!H67+'La Rioja'!H67+Mendoza!H67+Misiones!H67+Neuquen!H67+'Rio Negro'!H67+Salta!H67+'San Juan'!H67+'San Luis'!H67+'Santa Cruz'!H67+'Santa Fe'!H67+'Santiago del Estero'!H67+Tucuman!H67+'Tierra del Fuego'!H67</f>
        <v>7651</v>
      </c>
      <c r="I68" s="72">
        <f>+'Partidos de GBA'!I67+'Capital Federal'!I67+'Resto de Buenos Aires'!I67+Catamarca!I67+Cordoba!I67+Corrientes!I67+Chaco!I67+Chubut!I67+'Entre Rios'!I67+Formosa!I67+Jujuy!I67+'La Pampa'!I67+'La Rioja'!I67+Mendoza!I67+Misiones!I67+Neuquen!I67+'Rio Negro'!I67+Salta!I67+'San Juan'!I67+'San Luis'!I67+'Santa Cruz'!I67+'Santa Fe'!I67+'Santiago del Estero'!I67+Tucuman!I67+'Tierra del Fuego'!I67</f>
        <v>7404</v>
      </c>
      <c r="J68" s="72">
        <f>+'Partidos de GBA'!J67+'Capital Federal'!J67+'Resto de Buenos Aires'!J67+Catamarca!J67+Cordoba!J67+Corrientes!J67+Chaco!J67+Chubut!J67+'Entre Rios'!J67+Formosa!J67+Jujuy!J67+'La Pampa'!J67+'La Rioja'!J67+Mendoza!J67+Misiones!J67+Neuquen!J67+'Rio Negro'!J67+Salta!J67+'San Juan'!J67+'San Luis'!J67+'Santa Cruz'!J67+'Santa Fe'!J67+'Santiago del Estero'!J67+Tucuman!J67+'Tierra del Fuego'!J67</f>
        <v>7638</v>
      </c>
      <c r="K68" s="72">
        <f>+'Partidos de GBA'!K67+'Capital Federal'!K67+'Resto de Buenos Aires'!K67+Catamarca!K67+Cordoba!K67+Corrientes!K67+Chaco!K67+Chubut!K67+'Entre Rios'!K67+Formosa!K67+Jujuy!K67+'La Pampa'!K67+'La Rioja'!K67+Mendoza!K67+Misiones!K67+Neuquen!K67+'Rio Negro'!K67+Salta!K67+'San Juan'!K67+'San Luis'!K67+'Santa Cruz'!K67+'Santa Fe'!K67+'Santiago del Estero'!K67+Tucuman!K67+'Tierra del Fuego'!K67</f>
        <v>8248</v>
      </c>
      <c r="L68" s="72">
        <f>+'Partidos de GBA'!L67+'Capital Federal'!L67+'Resto de Buenos Aires'!L67+Catamarca!L67+Cordoba!L67+Corrientes!L67+Chaco!L67+Chubut!L67+'Entre Rios'!L67+Formosa!L67+Jujuy!L67+'La Pampa'!L67+'La Rioja'!L67+Mendoza!L67+Misiones!L67+Neuquen!L67+'Rio Negro'!L67+Salta!L67+'San Juan'!L67+'San Luis'!L67+'Santa Cruz'!L67+'Santa Fe'!L67+'Santiago del Estero'!L67+Tucuman!L67+'Tierra del Fuego'!L67</f>
        <v>8601</v>
      </c>
      <c r="M68" s="72">
        <f>+'Partidos de GBA'!M67+'Capital Federal'!M67+'Resto de Buenos Aires'!M67+Catamarca!M67+Cordoba!M67+Corrientes!M67+Chaco!M67+Chubut!M67+'Entre Rios'!M67+Formosa!M67+Jujuy!M67+'La Pampa'!M67+'La Rioja'!M67+Mendoza!M67+Misiones!M67+Neuquen!M67+'Rio Negro'!M67+Salta!M67+'San Juan'!M67+'San Luis'!M67+'Santa Cruz'!M67+'Santa Fe'!M67+'Santiago del Estero'!M67+Tucuman!M67+'Tierra del Fuego'!M67</f>
        <v>9054</v>
      </c>
      <c r="N68" s="72">
        <f>+'Partidos de GBA'!N67+'Capital Federal'!N67+'Resto de Buenos Aires'!N67+Catamarca!N67+Cordoba!N67+Corrientes!N67+Chaco!N67+Chubut!N67+'Entre Rios'!N67+Formosa!N67+Jujuy!N67+'La Pampa'!N67+'La Rioja'!N67+Mendoza!N67+Misiones!N67+Neuquen!N67+'Rio Negro'!N67+Salta!N67+'San Juan'!N67+'San Luis'!N67+'Santa Cruz'!N67+'Santa Fe'!N67+'Santiago del Estero'!N67+Tucuman!N67+'Tierra del Fuego'!N67</f>
        <v>9331</v>
      </c>
      <c r="O68" s="72">
        <f>+'Partidos de GBA'!O67+'Capital Federal'!O67+'Resto de Buenos Aires'!O67+Catamarca!O67+Cordoba!O67+Corrientes!O67+Chaco!O67+Chubut!O67+'Entre Rios'!O67+Formosa!O67+Jujuy!O67+'La Pampa'!O67+'La Rioja'!O67+Mendoza!O67+Misiones!O67+Neuquen!O67+'Rio Negro'!O67+Salta!O67+'San Juan'!O67+'San Luis'!O67+'Santa Cruz'!O67+'Santa Fe'!O67+'Santiago del Estero'!O67+Tucuman!O67+'Tierra del Fuego'!O67</f>
        <v>9628</v>
      </c>
      <c r="P68" s="72">
        <f>+'Partidos de GBA'!P67+'Capital Federal'!P67+'Resto de Buenos Aires'!P67+Catamarca!P67+Cordoba!P67+Corrientes!P67+Chaco!P67+Chubut!P67+'Entre Rios'!P67+Formosa!P67+Jujuy!P67+'La Pampa'!P67+'La Rioja'!P67+Mendoza!P67+Misiones!P67+Neuquen!P67+'Rio Negro'!P67+Salta!P67+'San Juan'!P67+'San Luis'!P67+'Santa Cruz'!P67+'Santa Fe'!P67+'Santiago del Estero'!P67+Tucuman!P67+'Tierra del Fuego'!P67</f>
        <v>9773</v>
      </c>
      <c r="Q68" s="72">
        <f>+'Partidos de GBA'!W67+'Capital Federal'!W67+'Resto de Buenos Aires'!W67+Catamarca!W67+Cordoba!W67+Corrientes!W67+Chaco!W67+Chubut!W67+'Entre Rios'!W67+Formosa!W67+Jujuy!W67+'La Pampa'!W67+'La Rioja'!W67+Mendoza!W67+Misiones!W67+Neuquen!W67+'Rio Negro'!W67+Salta!W67+'San Juan'!W67+'San Luis'!W67+'Santa Cruz'!W67+'Santa Fe'!W67+'Santiago del Estero'!W67+Tucuman!W67+'Tierra del Fuego'!W67</f>
        <v>10150</v>
      </c>
      <c r="R68" s="72">
        <f>+'Partidos de GBA'!X67+'Capital Federal'!X67+'Resto de Buenos Aires'!X67+Catamarca!X67+Cordoba!X67+Corrientes!X67+Chaco!X67+Chubut!X67+'Entre Rios'!X67+Formosa!X67+Jujuy!X67+'La Pampa'!X67+'La Rioja'!X67+Mendoza!X67+Misiones!X67+Neuquen!X67+'Rio Negro'!X67+Salta!X67+'San Juan'!X67+'San Luis'!X67+'Santa Cruz'!X67+'Santa Fe'!X67+'Santiago del Estero'!X67+Tucuman!X67+'Tierra del Fuego'!X67</f>
        <v>10320</v>
      </c>
      <c r="S68" s="72"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T68" s="72"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U68" s="72"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V68" s="72"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W68" s="72"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X68" s="72"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Y68" s="72"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Z68" s="72"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A68" s="72"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B68" s="72"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C68" s="72"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D68" s="72"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E68" s="72"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F68" s="72"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G68" s="72"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H68" s="72"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I68" s="72"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J68" s="72"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K68" s="72"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L68" s="72"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M68" s="72"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N68" s="72"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O68" s="72"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P68" s="72"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Q68" s="72"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R68" s="72"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S68" s="72"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T68" s="72"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U68" s="72"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V68" s="72"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W68" s="72"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X68" s="72"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Y68" s="72"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Z68" s="72"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A68" s="72"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B68" s="72"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C68" s="72"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D68" s="72"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E68" s="72"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F68" s="72"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G68" s="72"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H68" s="72"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I68" s="72"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J68" s="72"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K68" s="72"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L68" s="72"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M68" s="72"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N68" s="72"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O68" s="72"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P68" s="72"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Q68" s="72"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R68" s="72"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S68" s="72"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T68" s="72"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U68" s="72"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V68" s="72"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W68" s="72"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X68" s="72"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Y68" s="72"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Z68" s="72"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A68" s="72"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B68" s="72"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C68" s="72"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D68" s="72"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E68" s="72"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F68" s="72"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G68" s="72"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H68" s="72"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I68" s="72"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J68" s="72"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K68" s="72"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L68" s="72"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M68" s="72"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N68" s="72"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O68" s="72"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P68" s="72"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Q68" s="72"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R68" s="72"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S68" s="72"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T68" s="72"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U68" s="72"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V68" s="72"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W68" s="72"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X68" s="72"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Y68" s="72"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Z68" s="72"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DA68" s="72"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DB68" s="72"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DC68" s="72"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DD68" s="72"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DE68" s="72"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DF68" s="72">
        <f>+'Partidos de GBA'!Y67+'Capital Federal'!Y67+'Resto de Buenos Aires'!Y67+Catamarca!Y67+Cordoba!Y67+Corrientes!Y67+Chaco!Y67+Chubut!Y67+'Entre Rios'!Y67+Formosa!Y67+Jujuy!Y67+'La Pampa'!Y67+'La Rioja'!Y67+Mendoza!Y67+Misiones!Y67+Neuquen!Y67+'Rio Negro'!Y67+Salta!Y67+'San Juan'!Y67+'San Luis'!Y67+'Santa Cruz'!Y67+'Santa Fe'!Y67+'Santiago del Estero'!Y67+Tucuman!Y67+'Tierra del Fuego'!Y67</f>
        <v>10319</v>
      </c>
      <c r="DG68" s="72">
        <f>+'Partidos de GBA'!AE67+'Capital Federal'!AE67+'Resto de Buenos Aires'!AE67+Catamarca!AE67+Cordoba!AE67+Corrientes!AE67+Chaco!AE67+Chubut!AE67+'Entre Rios'!AE67+Formosa!AE67+Jujuy!AE67+'La Pampa'!AE67+'La Rioja'!AE67+Mendoza!AE67+Misiones!AE67+Neuquen!AE67+'Rio Negro'!AE67+Salta!AE67+'San Juan'!AE67+'San Luis'!AE67+'Santa Cruz'!AE67+'Santa Fe'!AE67+'Santiago del Estero'!AE67+Tucuman!AE67+'Tierra del Fuego'!AE67</f>
        <v>9649</v>
      </c>
    </row>
    <row r="69" spans="1:111" ht="15" customHeight="1" thickBot="1" x14ac:dyDescent="0.3">
      <c r="A69" s="43">
        <v>80</v>
      </c>
      <c r="B69" s="14" t="s">
        <v>85</v>
      </c>
      <c r="C69" s="67">
        <f>+'Partidos de GBA'!C68+'Capital Federal'!C68+'Resto de Buenos Aires'!C68+Catamarca!C68+Cordoba!C68+Corrientes!C68+Chaco!C68+Chubut!C68+'Entre Rios'!C68+Formosa!C68+Jujuy!C68+'La Pampa'!C68+'La Rioja'!C68+Mendoza!C68+Misiones!C68+Neuquen!C68+'Rio Negro'!C68+Salta!C68+'San Juan'!C68+'San Luis'!C68+'Santa Cruz'!C68+'Santa Fe'!C68+'Santiago del Estero'!C68+Tucuman!C68+'Tierra del Fuego'!C68</f>
        <v>7197</v>
      </c>
      <c r="D69" s="67">
        <f>+'Partidos de GBA'!D68+'Capital Federal'!D68+'Resto de Buenos Aires'!D68+Catamarca!D68+Cordoba!D68+Corrientes!D68+Chaco!D68+Chubut!D68+'Entre Rios'!D68+Formosa!D68+Jujuy!D68+'La Pampa'!D68+'La Rioja'!D68+Mendoza!D68+Misiones!D68+Neuquen!D68+'Rio Negro'!D68+Salta!D68+'San Juan'!D68+'San Luis'!D68+'Santa Cruz'!D68+'Santa Fe'!D68+'Santiago del Estero'!D68+Tucuman!D68+'Tierra del Fuego'!D68</f>
        <v>7698</v>
      </c>
      <c r="E69" s="67">
        <f>+'Partidos de GBA'!E68+'Capital Federal'!E68+'Resto de Buenos Aires'!E68+Catamarca!E68+Cordoba!E68+Corrientes!E68+Chaco!E68+Chubut!E68+'Entre Rios'!E68+Formosa!E68+Jujuy!E68+'La Pampa'!E68+'La Rioja'!E68+Mendoza!E68+Misiones!E68+Neuquen!E68+'Rio Negro'!E68+Salta!E68+'San Juan'!E68+'San Luis'!E68+'Santa Cruz'!E68+'Santa Fe'!E68+'Santiago del Estero'!E68+Tucuman!E68+'Tierra del Fuego'!E68</f>
        <v>7972</v>
      </c>
      <c r="F69" s="67">
        <f>+'Partidos de GBA'!F68+'Capital Federal'!F68+'Resto de Buenos Aires'!F68+Catamarca!F68+Cordoba!F68+Corrientes!F68+Chaco!F68+Chubut!F68+'Entre Rios'!F68+Formosa!F68+Jujuy!F68+'La Pampa'!F68+'La Rioja'!F68+Mendoza!F68+Misiones!F68+Neuquen!F68+'Rio Negro'!F68+Salta!F68+'San Juan'!F68+'San Luis'!F68+'Santa Cruz'!F68+'Santa Fe'!F68+'Santiago del Estero'!F68+Tucuman!F68+'Tierra del Fuego'!F68</f>
        <v>8084</v>
      </c>
      <c r="G69" s="67">
        <f>+'Partidos de GBA'!G68+'Capital Federal'!G68+'Resto de Buenos Aires'!G68+Catamarca!G68+Cordoba!G68+Corrientes!G68+Chaco!G68+Chubut!G68+'Entre Rios'!G68+Formosa!G68+Jujuy!G68+'La Pampa'!G68+'La Rioja'!G68+Mendoza!G68+Misiones!G68+Neuquen!G68+'Rio Negro'!G68+Salta!G68+'San Juan'!G68+'San Luis'!G68+'Santa Cruz'!G68+'Santa Fe'!G68+'Santiago del Estero'!G68+Tucuman!G68+'Tierra del Fuego'!G68</f>
        <v>7720</v>
      </c>
      <c r="H69" s="67">
        <f>+'Partidos de GBA'!H68+'Capital Federal'!H68+'Resto de Buenos Aires'!H68+Catamarca!H68+Cordoba!H68+Corrientes!H68+Chaco!H68+Chubut!H68+'Entre Rios'!H68+Formosa!H68+Jujuy!H68+'La Pampa'!H68+'La Rioja'!H68+Mendoza!H68+Misiones!H68+Neuquen!H68+'Rio Negro'!H68+Salta!H68+'San Juan'!H68+'San Luis'!H68+'Santa Cruz'!H68+'Santa Fe'!H68+'Santiago del Estero'!H68+Tucuman!H68+'Tierra del Fuego'!H68</f>
        <v>7651</v>
      </c>
      <c r="I69" s="67">
        <f>+'Partidos de GBA'!I68+'Capital Federal'!I68+'Resto de Buenos Aires'!I68+Catamarca!I68+Cordoba!I68+Corrientes!I68+Chaco!I68+Chubut!I68+'Entre Rios'!I68+Formosa!I68+Jujuy!I68+'La Pampa'!I68+'La Rioja'!I68+Mendoza!I68+Misiones!I68+Neuquen!I68+'Rio Negro'!I68+Salta!I68+'San Juan'!I68+'San Luis'!I68+'Santa Cruz'!I68+'Santa Fe'!I68+'Santiago del Estero'!I68+Tucuman!I68+'Tierra del Fuego'!I68</f>
        <v>7404</v>
      </c>
      <c r="J69" s="67">
        <f>+'Partidos de GBA'!J68+'Capital Federal'!J68+'Resto de Buenos Aires'!J68+Catamarca!J68+Cordoba!J68+Corrientes!J68+Chaco!J68+Chubut!J68+'Entre Rios'!J68+Formosa!J68+Jujuy!J68+'La Pampa'!J68+'La Rioja'!J68+Mendoza!J68+Misiones!J68+Neuquen!J68+'Rio Negro'!J68+Salta!J68+'San Juan'!J68+'San Luis'!J68+'Santa Cruz'!J68+'Santa Fe'!J68+'Santiago del Estero'!J68+Tucuman!J68+'Tierra del Fuego'!J68</f>
        <v>7638</v>
      </c>
      <c r="K69" s="67">
        <f>+'Partidos de GBA'!K68+'Capital Federal'!K68+'Resto de Buenos Aires'!K68+Catamarca!K68+Cordoba!K68+Corrientes!K68+Chaco!K68+Chubut!K68+'Entre Rios'!K68+Formosa!K68+Jujuy!K68+'La Pampa'!K68+'La Rioja'!K68+Mendoza!K68+Misiones!K68+Neuquen!K68+'Rio Negro'!K68+Salta!K68+'San Juan'!K68+'San Luis'!K68+'Santa Cruz'!K68+'Santa Fe'!K68+'Santiago del Estero'!K68+Tucuman!K68+'Tierra del Fuego'!K68</f>
        <v>8248</v>
      </c>
      <c r="L69" s="67">
        <f>+'Partidos de GBA'!L68+'Capital Federal'!L68+'Resto de Buenos Aires'!L68+Catamarca!L68+Cordoba!L68+Corrientes!L68+Chaco!L68+Chubut!L68+'Entre Rios'!L68+Formosa!L68+Jujuy!L68+'La Pampa'!L68+'La Rioja'!L68+Mendoza!L68+Misiones!L68+Neuquen!L68+'Rio Negro'!L68+Salta!L68+'San Juan'!L68+'San Luis'!L68+'Santa Cruz'!L68+'Santa Fe'!L68+'Santiago del Estero'!L68+Tucuman!L68+'Tierra del Fuego'!L68</f>
        <v>8601</v>
      </c>
      <c r="M69" s="67">
        <f>+'Partidos de GBA'!M68+'Capital Federal'!M68+'Resto de Buenos Aires'!M68+Catamarca!M68+Cordoba!M68+Corrientes!M68+Chaco!M68+Chubut!M68+'Entre Rios'!M68+Formosa!M68+Jujuy!M68+'La Pampa'!M68+'La Rioja'!M68+Mendoza!M68+Misiones!M68+Neuquen!M68+'Rio Negro'!M68+Salta!M68+'San Juan'!M68+'San Luis'!M68+'Santa Cruz'!M68+'Santa Fe'!M68+'Santiago del Estero'!M68+Tucuman!M68+'Tierra del Fuego'!M68</f>
        <v>9054</v>
      </c>
      <c r="N69" s="67">
        <f>+'Partidos de GBA'!N68+'Capital Federal'!N68+'Resto de Buenos Aires'!N68+Catamarca!N68+Cordoba!N68+Corrientes!N68+Chaco!N68+Chubut!N68+'Entre Rios'!N68+Formosa!N68+Jujuy!N68+'La Pampa'!N68+'La Rioja'!N68+Mendoza!N68+Misiones!N68+Neuquen!N68+'Rio Negro'!N68+Salta!N68+'San Juan'!N68+'San Luis'!N68+'Santa Cruz'!N68+'Santa Fe'!N68+'Santiago del Estero'!N68+Tucuman!N68+'Tierra del Fuego'!N68</f>
        <v>9331</v>
      </c>
      <c r="O69" s="67">
        <f>+'Partidos de GBA'!O68+'Capital Federal'!O68+'Resto de Buenos Aires'!O68+Catamarca!O68+Cordoba!O68+Corrientes!O68+Chaco!O68+Chubut!O68+'Entre Rios'!O68+Formosa!O68+Jujuy!O68+'La Pampa'!O68+'La Rioja'!O68+Mendoza!O68+Misiones!O68+Neuquen!O68+'Rio Negro'!O68+Salta!O68+'San Juan'!O68+'San Luis'!O68+'Santa Cruz'!O68+'Santa Fe'!O68+'Santiago del Estero'!O68+Tucuman!O68+'Tierra del Fuego'!O68</f>
        <v>9628</v>
      </c>
      <c r="P69" s="67">
        <f>+'Partidos de GBA'!P68+'Capital Federal'!P68+'Resto de Buenos Aires'!P68+Catamarca!P68+Cordoba!P68+Corrientes!P68+Chaco!P68+Chubut!P68+'Entre Rios'!P68+Formosa!P68+Jujuy!P68+'La Pampa'!P68+'La Rioja'!P68+Mendoza!P68+Misiones!P68+Neuquen!P68+'Rio Negro'!P68+Salta!P68+'San Juan'!P68+'San Luis'!P68+'Santa Cruz'!P68+'Santa Fe'!P68+'Santiago del Estero'!P68+Tucuman!P68+'Tierra del Fuego'!P68</f>
        <v>9773</v>
      </c>
      <c r="Q69" s="67">
        <f>+'Partidos de GBA'!W68+'Capital Federal'!W68+'Resto de Buenos Aires'!W68+Catamarca!W68+Cordoba!W68+Corrientes!W68+Chaco!W68+Chubut!W68+'Entre Rios'!W68+Formosa!W68+Jujuy!W68+'La Pampa'!W68+'La Rioja'!W68+Mendoza!W68+Misiones!W68+Neuquen!W68+'Rio Negro'!W68+Salta!W68+'San Juan'!W68+'San Luis'!W68+'Santa Cruz'!W68+'Santa Fe'!W68+'Santiago del Estero'!W68+Tucuman!W68+'Tierra del Fuego'!W68</f>
        <v>10150</v>
      </c>
      <c r="R69" s="67">
        <f>+'Partidos de GBA'!X68+'Capital Federal'!X68+'Resto de Buenos Aires'!X68+Catamarca!X68+Cordoba!X68+Corrientes!X68+Chaco!X68+Chubut!X68+'Entre Rios'!X68+Formosa!X68+Jujuy!X68+'La Pampa'!X68+'La Rioja'!X68+Mendoza!X68+Misiones!X68+Neuquen!X68+'Rio Negro'!X68+Salta!X68+'San Juan'!X68+'San Luis'!X68+'Santa Cruz'!X68+'Santa Fe'!X68+'Santiago del Estero'!X68+Tucuman!X68+'Tierra del Fuego'!X68</f>
        <v>10320</v>
      </c>
      <c r="S69" s="67"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T69" s="67"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U69" s="67"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V69" s="67"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W69" s="67"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X69" s="67"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Y69" s="67"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Z69" s="67"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A69" s="67"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B69" s="67"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C69" s="67"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D69" s="67"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E69" s="67"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F69" s="67"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G69" s="67"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H69" s="67"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I69" s="67"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J69" s="67"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K69" s="67"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L69" s="67"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M69" s="67"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N69" s="67"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O69" s="67"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P69" s="67"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Q69" s="67"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R69" s="67"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S69" s="67"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T69" s="67"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U69" s="67"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V69" s="67"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W69" s="67"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X69" s="67"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Y69" s="67"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Z69" s="67"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A69" s="67"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B69" s="67"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C69" s="67"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D69" s="67"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E69" s="67"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F69" s="67"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G69" s="67"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H69" s="67"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I69" s="67"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J69" s="67"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K69" s="67"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L69" s="67"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M69" s="67"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N69" s="67"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O69" s="67"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P69" s="67"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Q69" s="67"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R69" s="67"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S69" s="67"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T69" s="67"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U69" s="67"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V69" s="67"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W69" s="67"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X69" s="67"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Y69" s="67"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Z69" s="67"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A69" s="67"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B69" s="67"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C69" s="67"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D69" s="67"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E69" s="67"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F69" s="67"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G69" s="67"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H69" s="67"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I69" s="67"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J69" s="67"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K69" s="67"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L69" s="67"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M69" s="67"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N69" s="67"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O69" s="67"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P69" s="67"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Q69" s="67"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R69" s="67"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S69" s="67"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T69" s="67"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U69" s="67"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V69" s="67"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W69" s="67"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X69" s="67"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Y69" s="67"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Z69" s="67"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DA69" s="67"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DB69" s="67"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DC69" s="67"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DD69" s="67"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DE69" s="67"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DF69" s="67">
        <f>+'Partidos de GBA'!Y68+'Capital Federal'!Y68+'Resto de Buenos Aires'!Y68+Catamarca!Y68+Cordoba!Y68+Corrientes!Y68+Chaco!Y68+Chubut!Y68+'Entre Rios'!Y68+Formosa!Y68+Jujuy!Y68+'La Pampa'!Y68+'La Rioja'!Y68+Mendoza!Y68+Misiones!Y68+Neuquen!Y68+'Rio Negro'!Y68+Salta!Y68+'San Juan'!Y68+'San Luis'!Y68+'Santa Cruz'!Y68+'Santa Fe'!Y68+'Santiago del Estero'!Y68+Tucuman!Y68+'Tierra del Fuego'!Y68</f>
        <v>10319</v>
      </c>
      <c r="DG69" s="67">
        <f>+'Partidos de GBA'!AE68+'Capital Federal'!AE68+'Resto de Buenos Aires'!AE68+Catamarca!AE68+Cordoba!AE68+Corrientes!AE68+Chaco!AE68+Chubut!AE68+'Entre Rios'!AE68+Formosa!AE68+Jujuy!AE68+'La Pampa'!AE68+'La Rioja'!AE68+Mendoza!AE68+Misiones!AE68+Neuquen!AE68+'Rio Negro'!AE68+Salta!AE68+'San Juan'!AE68+'San Luis'!AE68+'Santa Cruz'!AE68+'Santa Fe'!AE68+'Santiago del Estero'!AE68+Tucuman!AE68+'Tierra del Fuego'!AE68</f>
        <v>9649</v>
      </c>
    </row>
    <row r="70" spans="1:111" ht="15" customHeight="1" thickBot="1" x14ac:dyDescent="0.3">
      <c r="A70" s="40" t="s">
        <v>86</v>
      </c>
      <c r="B70" s="9" t="s">
        <v>87</v>
      </c>
      <c r="C70" s="64">
        <f>+'Partidos de GBA'!C69+'Capital Federal'!C69+'Resto de Buenos Aires'!C69+Catamarca!C69+Cordoba!C69+Corrientes!C69+Chaco!C69+Chubut!C69+'Entre Rios'!C69+Formosa!C69+Jujuy!C69+'La Pampa'!C69+'La Rioja'!C69+Mendoza!C69+Misiones!C69+Neuquen!C69+'Rio Negro'!C69+Salta!C69+'San Juan'!C69+'San Luis'!C69+'Santa Cruz'!C69+'Santa Fe'!C69+'Santiago del Estero'!C69+Tucuman!C69+'Tierra del Fuego'!C69</f>
        <v>17475</v>
      </c>
      <c r="D70" s="64">
        <f>+'Partidos de GBA'!D69+'Capital Federal'!D69+'Resto de Buenos Aires'!D69+Catamarca!D69+Cordoba!D69+Corrientes!D69+Chaco!D69+Chubut!D69+'Entre Rios'!D69+Formosa!D69+Jujuy!D69+'La Pampa'!D69+'La Rioja'!D69+Mendoza!D69+Misiones!D69+Neuquen!D69+'Rio Negro'!D69+Salta!D69+'San Juan'!D69+'San Luis'!D69+'Santa Cruz'!D69+'Santa Fe'!D69+'Santiago del Estero'!D69+Tucuman!D69+'Tierra del Fuego'!D69</f>
        <v>17841</v>
      </c>
      <c r="E70" s="64">
        <f>+'Partidos de GBA'!E69+'Capital Federal'!E69+'Resto de Buenos Aires'!E69+Catamarca!E69+Cordoba!E69+Corrientes!E69+Chaco!E69+Chubut!E69+'Entre Rios'!E69+Formosa!E69+Jujuy!E69+'La Pampa'!E69+'La Rioja'!E69+Mendoza!E69+Misiones!E69+Neuquen!E69+'Rio Negro'!E69+Salta!E69+'San Juan'!E69+'San Luis'!E69+'Santa Cruz'!E69+'Santa Fe'!E69+'Santiago del Estero'!E69+Tucuman!E69+'Tierra del Fuego'!E69</f>
        <v>18245</v>
      </c>
      <c r="F70" s="64">
        <f>+'Partidos de GBA'!F69+'Capital Federal'!F69+'Resto de Buenos Aires'!F69+Catamarca!F69+Cordoba!F69+Corrientes!F69+Chaco!F69+Chubut!F69+'Entre Rios'!F69+Formosa!F69+Jujuy!F69+'La Pampa'!F69+'La Rioja'!F69+Mendoza!F69+Misiones!F69+Neuquen!F69+'Rio Negro'!F69+Salta!F69+'San Juan'!F69+'San Luis'!F69+'Santa Cruz'!F69+'Santa Fe'!F69+'Santiago del Estero'!F69+Tucuman!F69+'Tierra del Fuego'!F69</f>
        <v>18457</v>
      </c>
      <c r="G70" s="64">
        <f>+'Partidos de GBA'!G69+'Capital Federal'!G69+'Resto de Buenos Aires'!G69+Catamarca!G69+Cordoba!G69+Corrientes!G69+Chaco!G69+Chubut!G69+'Entre Rios'!G69+Formosa!G69+Jujuy!G69+'La Pampa'!G69+'La Rioja'!G69+Mendoza!G69+Misiones!G69+Neuquen!G69+'Rio Negro'!G69+Salta!G69+'San Juan'!G69+'San Luis'!G69+'Santa Cruz'!G69+'Santa Fe'!G69+'Santiago del Estero'!G69+Tucuman!G69+'Tierra del Fuego'!G69</f>
        <v>17986</v>
      </c>
      <c r="H70" s="64">
        <f>+'Partidos de GBA'!H69+'Capital Federal'!H69+'Resto de Buenos Aires'!H69+Catamarca!H69+Cordoba!H69+Corrientes!H69+Chaco!H69+Chubut!H69+'Entre Rios'!H69+Formosa!H69+Jujuy!H69+'La Pampa'!H69+'La Rioja'!H69+Mendoza!H69+Misiones!H69+Neuquen!H69+'Rio Negro'!H69+Salta!H69+'San Juan'!H69+'San Luis'!H69+'Santa Cruz'!H69+'Santa Fe'!H69+'Santiago del Estero'!H69+Tucuman!H69+'Tierra del Fuego'!H69</f>
        <v>17974</v>
      </c>
      <c r="I70" s="64">
        <f>+'Partidos de GBA'!I69+'Capital Federal'!I69+'Resto de Buenos Aires'!I69+Catamarca!I69+Cordoba!I69+Corrientes!I69+Chaco!I69+Chubut!I69+'Entre Rios'!I69+Formosa!I69+Jujuy!I69+'La Pampa'!I69+'La Rioja'!I69+Mendoza!I69+Misiones!I69+Neuquen!I69+'Rio Negro'!I69+Salta!I69+'San Juan'!I69+'San Luis'!I69+'Santa Cruz'!I69+'Santa Fe'!I69+'Santiago del Estero'!I69+Tucuman!I69+'Tierra del Fuego'!I69</f>
        <v>17279</v>
      </c>
      <c r="J70" s="64">
        <f>+'Partidos de GBA'!J69+'Capital Federal'!J69+'Resto de Buenos Aires'!J69+Catamarca!J69+Cordoba!J69+Corrientes!J69+Chaco!J69+Chubut!J69+'Entre Rios'!J69+Formosa!J69+Jujuy!J69+'La Pampa'!J69+'La Rioja'!J69+Mendoza!J69+Misiones!J69+Neuquen!J69+'Rio Negro'!J69+Salta!J69+'San Juan'!J69+'San Luis'!J69+'Santa Cruz'!J69+'Santa Fe'!J69+'Santiago del Estero'!J69+Tucuman!J69+'Tierra del Fuego'!J69</f>
        <v>17823</v>
      </c>
      <c r="K70" s="64">
        <f>+'Partidos de GBA'!K69+'Capital Federal'!K69+'Resto de Buenos Aires'!K69+Catamarca!K69+Cordoba!K69+Corrientes!K69+Chaco!K69+Chubut!K69+'Entre Rios'!K69+Formosa!K69+Jujuy!K69+'La Pampa'!K69+'La Rioja'!K69+Mendoza!K69+Misiones!K69+Neuquen!K69+'Rio Negro'!K69+Salta!K69+'San Juan'!K69+'San Luis'!K69+'Santa Cruz'!K69+'Santa Fe'!K69+'Santiago del Estero'!K69+Tucuman!K69+'Tierra del Fuego'!K69</f>
        <v>19546</v>
      </c>
      <c r="L70" s="64">
        <f>+'Partidos de GBA'!L69+'Capital Federal'!L69+'Resto de Buenos Aires'!L69+Catamarca!L69+Cordoba!L69+Corrientes!L69+Chaco!L69+Chubut!L69+'Entre Rios'!L69+Formosa!L69+Jujuy!L69+'La Pampa'!L69+'La Rioja'!L69+Mendoza!L69+Misiones!L69+Neuquen!L69+'Rio Negro'!L69+Salta!L69+'San Juan'!L69+'San Luis'!L69+'Santa Cruz'!L69+'Santa Fe'!L69+'Santiago del Estero'!L69+Tucuman!L69+'Tierra del Fuego'!L69</f>
        <v>20860</v>
      </c>
      <c r="M70" s="64">
        <f>+'Partidos de GBA'!M69+'Capital Federal'!M69+'Resto de Buenos Aires'!M69+Catamarca!M69+Cordoba!M69+Corrientes!M69+Chaco!M69+Chubut!M69+'Entre Rios'!M69+Formosa!M69+Jujuy!M69+'La Pampa'!M69+'La Rioja'!M69+Mendoza!M69+Misiones!M69+Neuquen!M69+'Rio Negro'!M69+Salta!M69+'San Juan'!M69+'San Luis'!M69+'Santa Cruz'!M69+'Santa Fe'!M69+'Santiago del Estero'!M69+Tucuman!M69+'Tierra del Fuego'!M69</f>
        <v>21988</v>
      </c>
      <c r="N70" s="64">
        <f>+'Partidos de GBA'!N69+'Capital Federal'!N69+'Resto de Buenos Aires'!N69+Catamarca!N69+Cordoba!N69+Corrientes!N69+Chaco!N69+Chubut!N69+'Entre Rios'!N69+Formosa!N69+Jujuy!N69+'La Pampa'!N69+'La Rioja'!N69+Mendoza!N69+Misiones!N69+Neuquen!N69+'Rio Negro'!N69+Salta!N69+'San Juan'!N69+'San Luis'!N69+'Santa Cruz'!N69+'Santa Fe'!N69+'Santiago del Estero'!N69+Tucuman!N69+'Tierra del Fuego'!N69</f>
        <v>23204</v>
      </c>
      <c r="O70" s="64">
        <f>+'Partidos de GBA'!O69+'Capital Federal'!O69+'Resto de Buenos Aires'!O69+Catamarca!O69+Cordoba!O69+Corrientes!O69+Chaco!O69+Chubut!O69+'Entre Rios'!O69+Formosa!O69+Jujuy!O69+'La Pampa'!O69+'La Rioja'!O69+Mendoza!O69+Misiones!O69+Neuquen!O69+'Rio Negro'!O69+Salta!O69+'San Juan'!O69+'San Luis'!O69+'Santa Cruz'!O69+'Santa Fe'!O69+'Santiago del Estero'!O69+Tucuman!O69+'Tierra del Fuego'!O69</f>
        <v>24217</v>
      </c>
      <c r="P70" s="64">
        <f>+'Partidos de GBA'!P69+'Capital Federal'!P69+'Resto de Buenos Aires'!P69+Catamarca!P69+Cordoba!P69+Corrientes!P69+Chaco!P69+Chubut!P69+'Entre Rios'!P69+Formosa!P69+Jujuy!P69+'La Pampa'!P69+'La Rioja'!P69+Mendoza!P69+Misiones!P69+Neuquen!P69+'Rio Negro'!P69+Salta!P69+'San Juan'!P69+'San Luis'!P69+'Santa Cruz'!P69+'Santa Fe'!P69+'Santiago del Estero'!P69+Tucuman!P69+'Tierra del Fuego'!P69</f>
        <v>25110</v>
      </c>
      <c r="Q70" s="64">
        <f>+'Partidos de GBA'!W69+'Capital Federal'!W69+'Resto de Buenos Aires'!W69+Catamarca!W69+Cordoba!W69+Corrientes!W69+Chaco!W69+Chubut!W69+'Entre Rios'!W69+Formosa!W69+Jujuy!W69+'La Pampa'!W69+'La Rioja'!W69+Mendoza!W69+Misiones!W69+Neuquen!W69+'Rio Negro'!W69+Salta!W69+'San Juan'!W69+'San Luis'!W69+'Santa Cruz'!W69+'Santa Fe'!W69+'Santiago del Estero'!W69+Tucuman!W69+'Tierra del Fuego'!W69</f>
        <v>28400</v>
      </c>
      <c r="R70" s="64">
        <f>+'Partidos de GBA'!X69+'Capital Federal'!X69+'Resto de Buenos Aires'!X69+Catamarca!X69+Cordoba!X69+Corrientes!X69+Chaco!X69+Chubut!X69+'Entre Rios'!X69+Formosa!X69+Jujuy!X69+'La Pampa'!X69+'La Rioja'!X69+Mendoza!X69+Misiones!X69+Neuquen!X69+'Rio Negro'!X69+Salta!X69+'San Juan'!X69+'San Luis'!X69+'Santa Cruz'!X69+'Santa Fe'!X69+'Santiago del Estero'!X69+Tucuman!X69+'Tierra del Fuego'!X69</f>
        <v>28764</v>
      </c>
      <c r="S70"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T70"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U70"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V70"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W70"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X70"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Y70"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Z70"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A70"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B70"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C70"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D70"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E70"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F70"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G70"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H70"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I70"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J70"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K70"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L70"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M70"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N70"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O70"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P70"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Q70"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R70"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S70"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T70"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U70"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V70"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W70"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X70"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Y70"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Z70"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A70"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B70"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C70"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D70"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E70"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F70"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G70"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H70"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I70"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J70"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K70"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L70"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M70"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N70"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O70"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P70"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Q70"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R70"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S70"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T70"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U70"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V70"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W70"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X70"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Y70"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Z70"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A70"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B70"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C70"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D70"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E70"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F70"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G70"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H70"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I70"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J70"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K70"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L70"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M70"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N70"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O70"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P70"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Q70"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R70"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S70"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T70"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U70"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V70"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W70"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X70"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Y70"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Z70"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DA70"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DB70"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DC70"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DD70"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DE70"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DF70" s="64">
        <f>+'Partidos de GBA'!Y69+'Capital Federal'!Y69+'Resto de Buenos Aires'!Y69+Catamarca!Y69+Cordoba!Y69+Corrientes!Y69+Chaco!Y69+Chubut!Y69+'Entre Rios'!Y69+Formosa!Y69+Jujuy!Y69+'La Pampa'!Y69+'La Rioja'!Y69+Mendoza!Y69+Misiones!Y69+Neuquen!Y69+'Rio Negro'!Y69+Salta!Y69+'San Juan'!Y69+'San Luis'!Y69+'Santa Cruz'!Y69+'Santa Fe'!Y69+'Santiago del Estero'!Y69+Tucuman!Y69+'Tierra del Fuego'!Y69</f>
        <v>28816</v>
      </c>
      <c r="DG70" s="64">
        <f>+'Partidos de GBA'!AE69+'Capital Federal'!AE69+'Resto de Buenos Aires'!AE69+Catamarca!AE69+Cordoba!AE69+Corrientes!AE69+Chaco!AE69+Chubut!AE69+'Entre Rios'!AE69+Formosa!AE69+Jujuy!AE69+'La Pampa'!AE69+'La Rioja'!AE69+Mendoza!AE69+Misiones!AE69+Neuquen!AE69+'Rio Negro'!AE69+Salta!AE69+'San Juan'!AE69+'San Luis'!AE69+'Santa Cruz'!AE69+'Santa Fe'!AE69+'Santiago del Estero'!AE69+Tucuman!AE69+'Tierra del Fuego'!AE69</f>
        <v>27103</v>
      </c>
    </row>
    <row r="71" spans="1:111" ht="15" customHeight="1" thickBot="1" x14ac:dyDescent="0.3">
      <c r="A71" s="43">
        <v>85</v>
      </c>
      <c r="B71" s="14" t="s">
        <v>88</v>
      </c>
      <c r="C71" s="67">
        <f>+'Partidos de GBA'!C70+'Capital Federal'!C70+'Resto de Buenos Aires'!C70+Catamarca!C70+Cordoba!C70+Corrientes!C70+Chaco!C70+Chubut!C70+'Entre Rios'!C70+Formosa!C70+Jujuy!C70+'La Pampa'!C70+'La Rioja'!C70+Mendoza!C70+Misiones!C70+Neuquen!C70+'Rio Negro'!C70+Salta!C70+'San Juan'!C70+'San Luis'!C70+'Santa Cruz'!C70+'Santa Fe'!C70+'Santiago del Estero'!C70+Tucuman!C70+'Tierra del Fuego'!C70</f>
        <v>17475</v>
      </c>
      <c r="D71" s="67">
        <f>+'Partidos de GBA'!D70+'Capital Federal'!D70+'Resto de Buenos Aires'!D70+Catamarca!D70+Cordoba!D70+Corrientes!D70+Chaco!D70+Chubut!D70+'Entre Rios'!D70+Formosa!D70+Jujuy!D70+'La Pampa'!D70+'La Rioja'!D70+Mendoza!D70+Misiones!D70+Neuquen!D70+'Rio Negro'!D70+Salta!D70+'San Juan'!D70+'San Luis'!D70+'Santa Cruz'!D70+'Santa Fe'!D70+'Santiago del Estero'!D70+Tucuman!D70+'Tierra del Fuego'!D70</f>
        <v>17841</v>
      </c>
      <c r="E71" s="67">
        <f>+'Partidos de GBA'!E70+'Capital Federal'!E70+'Resto de Buenos Aires'!E70+Catamarca!E70+Cordoba!E70+Corrientes!E70+Chaco!E70+Chubut!E70+'Entre Rios'!E70+Formosa!E70+Jujuy!E70+'La Pampa'!E70+'La Rioja'!E70+Mendoza!E70+Misiones!E70+Neuquen!E70+'Rio Negro'!E70+Salta!E70+'San Juan'!E70+'San Luis'!E70+'Santa Cruz'!E70+'Santa Fe'!E70+'Santiago del Estero'!E70+Tucuman!E70+'Tierra del Fuego'!E70</f>
        <v>18245</v>
      </c>
      <c r="F71" s="67">
        <f>+'Partidos de GBA'!F70+'Capital Federal'!F70+'Resto de Buenos Aires'!F70+Catamarca!F70+Cordoba!F70+Corrientes!F70+Chaco!F70+Chubut!F70+'Entre Rios'!F70+Formosa!F70+Jujuy!F70+'La Pampa'!F70+'La Rioja'!F70+Mendoza!F70+Misiones!F70+Neuquen!F70+'Rio Negro'!F70+Salta!F70+'San Juan'!F70+'San Luis'!F70+'Santa Cruz'!F70+'Santa Fe'!F70+'Santiago del Estero'!F70+Tucuman!F70+'Tierra del Fuego'!F70</f>
        <v>18457</v>
      </c>
      <c r="G71" s="67">
        <f>+'Partidos de GBA'!G70+'Capital Federal'!G70+'Resto de Buenos Aires'!G70+Catamarca!G70+Cordoba!G70+Corrientes!G70+Chaco!G70+Chubut!G70+'Entre Rios'!G70+Formosa!G70+Jujuy!G70+'La Pampa'!G70+'La Rioja'!G70+Mendoza!G70+Misiones!G70+Neuquen!G70+'Rio Negro'!G70+Salta!G70+'San Juan'!G70+'San Luis'!G70+'Santa Cruz'!G70+'Santa Fe'!G70+'Santiago del Estero'!G70+Tucuman!G70+'Tierra del Fuego'!G70</f>
        <v>17986</v>
      </c>
      <c r="H71" s="67">
        <f>+'Partidos de GBA'!H70+'Capital Federal'!H70+'Resto de Buenos Aires'!H70+Catamarca!H70+Cordoba!H70+Corrientes!H70+Chaco!H70+Chubut!H70+'Entre Rios'!H70+Formosa!H70+Jujuy!H70+'La Pampa'!H70+'La Rioja'!H70+Mendoza!H70+Misiones!H70+Neuquen!H70+'Rio Negro'!H70+Salta!H70+'San Juan'!H70+'San Luis'!H70+'Santa Cruz'!H70+'Santa Fe'!H70+'Santiago del Estero'!H70+Tucuman!H70+'Tierra del Fuego'!H70</f>
        <v>17974</v>
      </c>
      <c r="I71" s="67">
        <f>+'Partidos de GBA'!I70+'Capital Federal'!I70+'Resto de Buenos Aires'!I70+Catamarca!I70+Cordoba!I70+Corrientes!I70+Chaco!I70+Chubut!I70+'Entre Rios'!I70+Formosa!I70+Jujuy!I70+'La Pampa'!I70+'La Rioja'!I70+Mendoza!I70+Misiones!I70+Neuquen!I70+'Rio Negro'!I70+Salta!I70+'San Juan'!I70+'San Luis'!I70+'Santa Cruz'!I70+'Santa Fe'!I70+'Santiago del Estero'!I70+Tucuman!I70+'Tierra del Fuego'!I70</f>
        <v>17279</v>
      </c>
      <c r="J71" s="67">
        <f>+'Partidos de GBA'!J70+'Capital Federal'!J70+'Resto de Buenos Aires'!J70+Catamarca!J70+Cordoba!J70+Corrientes!J70+Chaco!J70+Chubut!J70+'Entre Rios'!J70+Formosa!J70+Jujuy!J70+'La Pampa'!J70+'La Rioja'!J70+Mendoza!J70+Misiones!J70+Neuquen!J70+'Rio Negro'!J70+Salta!J70+'San Juan'!J70+'San Luis'!J70+'Santa Cruz'!J70+'Santa Fe'!J70+'Santiago del Estero'!J70+Tucuman!J70+'Tierra del Fuego'!J70</f>
        <v>17823</v>
      </c>
      <c r="K71" s="67">
        <f>+'Partidos de GBA'!K70+'Capital Federal'!K70+'Resto de Buenos Aires'!K70+Catamarca!K70+Cordoba!K70+Corrientes!K70+Chaco!K70+Chubut!K70+'Entre Rios'!K70+Formosa!K70+Jujuy!K70+'La Pampa'!K70+'La Rioja'!K70+Mendoza!K70+Misiones!K70+Neuquen!K70+'Rio Negro'!K70+Salta!K70+'San Juan'!K70+'San Luis'!K70+'Santa Cruz'!K70+'Santa Fe'!K70+'Santiago del Estero'!K70+Tucuman!K70+'Tierra del Fuego'!K70</f>
        <v>19546</v>
      </c>
      <c r="L71" s="67">
        <f>+'Partidos de GBA'!L70+'Capital Federal'!L70+'Resto de Buenos Aires'!L70+Catamarca!L70+Cordoba!L70+Corrientes!L70+Chaco!L70+Chubut!L70+'Entre Rios'!L70+Formosa!L70+Jujuy!L70+'La Pampa'!L70+'La Rioja'!L70+Mendoza!L70+Misiones!L70+Neuquen!L70+'Rio Negro'!L70+Salta!L70+'San Juan'!L70+'San Luis'!L70+'Santa Cruz'!L70+'Santa Fe'!L70+'Santiago del Estero'!L70+Tucuman!L70+'Tierra del Fuego'!L70</f>
        <v>20860</v>
      </c>
      <c r="M71" s="67">
        <f>+'Partidos de GBA'!M70+'Capital Federal'!M70+'Resto de Buenos Aires'!M70+Catamarca!M70+Cordoba!M70+Corrientes!M70+Chaco!M70+Chubut!M70+'Entre Rios'!M70+Formosa!M70+Jujuy!M70+'La Pampa'!M70+'La Rioja'!M70+Mendoza!M70+Misiones!M70+Neuquen!M70+'Rio Negro'!M70+Salta!M70+'San Juan'!M70+'San Luis'!M70+'Santa Cruz'!M70+'Santa Fe'!M70+'Santiago del Estero'!M70+Tucuman!M70+'Tierra del Fuego'!M70</f>
        <v>21988</v>
      </c>
      <c r="N71" s="67">
        <f>+'Partidos de GBA'!N70+'Capital Federal'!N70+'Resto de Buenos Aires'!N70+Catamarca!N70+Cordoba!N70+Corrientes!N70+Chaco!N70+Chubut!N70+'Entre Rios'!N70+Formosa!N70+Jujuy!N70+'La Pampa'!N70+'La Rioja'!N70+Mendoza!N70+Misiones!N70+Neuquen!N70+'Rio Negro'!N70+Salta!N70+'San Juan'!N70+'San Luis'!N70+'Santa Cruz'!N70+'Santa Fe'!N70+'Santiago del Estero'!N70+Tucuman!N70+'Tierra del Fuego'!N70</f>
        <v>23204</v>
      </c>
      <c r="O71" s="67">
        <f>+'Partidos de GBA'!O70+'Capital Federal'!O70+'Resto de Buenos Aires'!O70+Catamarca!O70+Cordoba!O70+Corrientes!O70+Chaco!O70+Chubut!O70+'Entre Rios'!O70+Formosa!O70+Jujuy!O70+'La Pampa'!O70+'La Rioja'!O70+Mendoza!O70+Misiones!O70+Neuquen!O70+'Rio Negro'!O70+Salta!O70+'San Juan'!O70+'San Luis'!O70+'Santa Cruz'!O70+'Santa Fe'!O70+'Santiago del Estero'!O70+Tucuman!O70+'Tierra del Fuego'!O70</f>
        <v>24217</v>
      </c>
      <c r="P71" s="67">
        <f>+'Partidos de GBA'!P70+'Capital Federal'!P70+'Resto de Buenos Aires'!P70+Catamarca!P70+Cordoba!P70+Corrientes!P70+Chaco!P70+Chubut!P70+'Entre Rios'!P70+Formosa!P70+Jujuy!P70+'La Pampa'!P70+'La Rioja'!P70+Mendoza!P70+Misiones!P70+Neuquen!P70+'Rio Negro'!P70+Salta!P70+'San Juan'!P70+'San Luis'!P70+'Santa Cruz'!P70+'Santa Fe'!P70+'Santiago del Estero'!P70+Tucuman!P70+'Tierra del Fuego'!P70</f>
        <v>25110</v>
      </c>
      <c r="Q71" s="67">
        <f>+'Partidos de GBA'!W70+'Capital Federal'!W70+'Resto de Buenos Aires'!W70+Catamarca!W70+Cordoba!W70+Corrientes!W70+Chaco!W70+Chubut!W70+'Entre Rios'!W70+Formosa!W70+Jujuy!W70+'La Pampa'!W70+'La Rioja'!W70+Mendoza!W70+Misiones!W70+Neuquen!W70+'Rio Negro'!W70+Salta!W70+'San Juan'!W70+'San Luis'!W70+'Santa Cruz'!W70+'Santa Fe'!W70+'Santiago del Estero'!W70+Tucuman!W70+'Tierra del Fuego'!W70</f>
        <v>28400</v>
      </c>
      <c r="R71" s="67">
        <f>+'Partidos de GBA'!X70+'Capital Federal'!X70+'Resto de Buenos Aires'!X70+Catamarca!X70+Cordoba!X70+Corrientes!X70+Chaco!X70+Chubut!X70+'Entre Rios'!X70+Formosa!X70+Jujuy!X70+'La Pampa'!X70+'La Rioja'!X70+Mendoza!X70+Misiones!X70+Neuquen!X70+'Rio Negro'!X70+Salta!X70+'San Juan'!X70+'San Luis'!X70+'Santa Cruz'!X70+'Santa Fe'!X70+'Santiago del Estero'!X70+Tucuman!X70+'Tierra del Fuego'!X70</f>
        <v>28764</v>
      </c>
      <c r="S71" s="67"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T71" s="67"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U71" s="67"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V71" s="67"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W71" s="67"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X71" s="67"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Y71" s="67"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Z71" s="67"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A71" s="67"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B71" s="67"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C71" s="67"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D71" s="67"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E71" s="67"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F71" s="67"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G71" s="67"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H71" s="67"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I71" s="67"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J71" s="67"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K71" s="67"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L71" s="67"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M71" s="67"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N71" s="67"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O71" s="67"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P71" s="67"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Q71" s="67"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R71" s="67"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S71" s="67"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T71" s="67"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U71" s="67"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V71" s="67"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W71" s="67"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X71" s="67"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Y71" s="67"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Z71" s="67"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A71" s="67"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B71" s="67"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C71" s="67"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D71" s="67"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E71" s="67"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F71" s="67"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G71" s="67"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H71" s="67"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I71" s="67"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J71" s="67"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K71" s="67"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L71" s="67"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M71" s="67"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N71" s="67"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O71" s="67"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P71" s="67"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Q71" s="67"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R71" s="67"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S71" s="67"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T71" s="67"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U71" s="67"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V71" s="67"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W71" s="67"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X71" s="67"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Y71" s="67"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Z71" s="67"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A71" s="67"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B71" s="67"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C71" s="67"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D71" s="67"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E71" s="67"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F71" s="67"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G71" s="67"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H71" s="67"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I71" s="67"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J71" s="67"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K71" s="67"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L71" s="67"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M71" s="67"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N71" s="67"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O71" s="67"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P71" s="67"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Q71" s="67"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R71" s="67"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S71" s="67"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T71" s="67"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U71" s="67"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V71" s="67"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W71" s="67"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X71" s="67"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Y71" s="67"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Z71" s="67"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DA71" s="67"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DB71" s="67"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DC71" s="67"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DD71" s="67"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DE71" s="67"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DF71" s="67">
        <f>+'Partidos de GBA'!Y70+'Capital Federal'!Y70+'Resto de Buenos Aires'!Y70+Catamarca!Y70+Cordoba!Y70+Corrientes!Y70+Chaco!Y70+Chubut!Y70+'Entre Rios'!Y70+Formosa!Y70+Jujuy!Y70+'La Pampa'!Y70+'La Rioja'!Y70+Mendoza!Y70+Misiones!Y70+Neuquen!Y70+'Rio Negro'!Y70+Salta!Y70+'San Juan'!Y70+'San Luis'!Y70+'Santa Cruz'!Y70+'Santa Fe'!Y70+'Santiago del Estero'!Y70+Tucuman!Y70+'Tierra del Fuego'!Y70</f>
        <v>28816</v>
      </c>
      <c r="DG71" s="67">
        <f>+'Partidos de GBA'!AE70+'Capital Federal'!AE70+'Resto de Buenos Aires'!AE70+Catamarca!AE70+Cordoba!AE70+Corrientes!AE70+Chaco!AE70+Chubut!AE70+'Entre Rios'!AE70+Formosa!AE70+Jujuy!AE70+'La Pampa'!AE70+'La Rioja'!AE70+Mendoza!AE70+Misiones!AE70+Neuquen!AE70+'Rio Negro'!AE70+Salta!AE70+'San Juan'!AE70+'San Luis'!AE70+'Santa Cruz'!AE70+'Santa Fe'!AE70+'Santiago del Estero'!AE70+Tucuman!AE70+'Tierra del Fuego'!AE70</f>
        <v>27103</v>
      </c>
    </row>
    <row r="72" spans="1:111" ht="15" customHeight="1" thickBot="1" x14ac:dyDescent="0.3">
      <c r="A72" s="40" t="s">
        <v>89</v>
      </c>
      <c r="B72" s="9" t="s">
        <v>90</v>
      </c>
      <c r="C72" s="64">
        <f>+'Partidos de GBA'!C71+'Capital Federal'!C71+'Resto de Buenos Aires'!C71+Catamarca!C71+Cordoba!C71+Corrientes!C71+Chaco!C71+Chubut!C71+'Entre Rios'!C71+Formosa!C71+Jujuy!C71+'La Pampa'!C71+'La Rioja'!C71+Mendoza!C71+Misiones!C71+Neuquen!C71+'Rio Negro'!C71+Salta!C71+'San Juan'!C71+'San Luis'!C71+'Santa Cruz'!C71+'Santa Fe'!C71+'Santiago del Estero'!C71+Tucuman!C71+'Tierra del Fuego'!C71</f>
        <v>35947</v>
      </c>
      <c r="D72" s="64">
        <f>+'Partidos de GBA'!D71+'Capital Federal'!D71+'Resto de Buenos Aires'!D71+Catamarca!D71+Cordoba!D71+Corrientes!D71+Chaco!D71+Chubut!D71+'Entre Rios'!D71+Formosa!D71+Jujuy!D71+'La Pampa'!D71+'La Rioja'!D71+Mendoza!D71+Misiones!D71+Neuquen!D71+'Rio Negro'!D71+Salta!D71+'San Juan'!D71+'San Luis'!D71+'Santa Cruz'!D71+'Santa Fe'!D71+'Santiago del Estero'!D71+Tucuman!D71+'Tierra del Fuego'!D71</f>
        <v>36331</v>
      </c>
      <c r="E72" s="64">
        <f>+'Partidos de GBA'!E71+'Capital Federal'!E71+'Resto de Buenos Aires'!E71+Catamarca!E71+Cordoba!E71+Corrientes!E71+Chaco!E71+Chubut!E71+'Entre Rios'!E71+Formosa!E71+Jujuy!E71+'La Pampa'!E71+'La Rioja'!E71+Mendoza!E71+Misiones!E71+Neuquen!E71+'Rio Negro'!E71+Salta!E71+'San Juan'!E71+'San Luis'!E71+'Santa Cruz'!E71+'Santa Fe'!E71+'Santiago del Estero'!E71+Tucuman!E71+'Tierra del Fuego'!E71</f>
        <v>36179</v>
      </c>
      <c r="F72" s="64">
        <f>+'Partidos de GBA'!F71+'Capital Federal'!F71+'Resto de Buenos Aires'!F71+Catamarca!F71+Cordoba!F71+Corrientes!F71+Chaco!F71+Chubut!F71+'Entre Rios'!F71+Formosa!F71+Jujuy!F71+'La Pampa'!F71+'La Rioja'!F71+Mendoza!F71+Misiones!F71+Neuquen!F71+'Rio Negro'!F71+Salta!F71+'San Juan'!F71+'San Luis'!F71+'Santa Cruz'!F71+'Santa Fe'!F71+'Santiago del Estero'!F71+Tucuman!F71+'Tierra del Fuego'!F71</f>
        <v>35507</v>
      </c>
      <c r="G72" s="64">
        <f>+'Partidos de GBA'!G71+'Capital Federal'!G71+'Resto de Buenos Aires'!G71+Catamarca!G71+Cordoba!G71+Corrientes!G71+Chaco!G71+Chubut!G71+'Entre Rios'!G71+Formosa!G71+Jujuy!G71+'La Pampa'!G71+'La Rioja'!G71+Mendoza!G71+Misiones!G71+Neuquen!G71+'Rio Negro'!G71+Salta!G71+'San Juan'!G71+'San Luis'!G71+'Santa Cruz'!G71+'Santa Fe'!G71+'Santiago del Estero'!G71+Tucuman!G71+'Tierra del Fuego'!G71</f>
        <v>34459</v>
      </c>
      <c r="H72" s="64">
        <f>+'Partidos de GBA'!H71+'Capital Federal'!H71+'Resto de Buenos Aires'!H71+Catamarca!H71+Cordoba!H71+Corrientes!H71+Chaco!H71+Chubut!H71+'Entre Rios'!H71+Formosa!H71+Jujuy!H71+'La Pampa'!H71+'La Rioja'!H71+Mendoza!H71+Misiones!H71+Neuquen!H71+'Rio Negro'!H71+Salta!H71+'San Juan'!H71+'San Luis'!H71+'Santa Cruz'!H71+'Santa Fe'!H71+'Santiago del Estero'!H71+Tucuman!H71+'Tierra del Fuego'!H71</f>
        <v>33517</v>
      </c>
      <c r="I72" s="64">
        <f>+'Partidos de GBA'!I71+'Capital Federal'!I71+'Resto de Buenos Aires'!I71+Catamarca!I71+Cordoba!I71+Corrientes!I71+Chaco!I71+Chubut!I71+'Entre Rios'!I71+Formosa!I71+Jujuy!I71+'La Pampa'!I71+'La Rioja'!I71+Mendoza!I71+Misiones!I71+Neuquen!I71+'Rio Negro'!I71+Salta!I71+'San Juan'!I71+'San Luis'!I71+'Santa Cruz'!I71+'Santa Fe'!I71+'Santiago del Estero'!I71+Tucuman!I71+'Tierra del Fuego'!I71</f>
        <v>31820</v>
      </c>
      <c r="J72" s="64">
        <f>+'Partidos de GBA'!J71+'Capital Federal'!J71+'Resto de Buenos Aires'!J71+Catamarca!J71+Cordoba!J71+Corrientes!J71+Chaco!J71+Chubut!J71+'Entre Rios'!J71+Formosa!J71+Jujuy!J71+'La Pampa'!J71+'La Rioja'!J71+Mendoza!J71+Misiones!J71+Neuquen!J71+'Rio Negro'!J71+Salta!J71+'San Juan'!J71+'San Luis'!J71+'Santa Cruz'!J71+'Santa Fe'!J71+'Santiago del Estero'!J71+Tucuman!J71+'Tierra del Fuego'!J71</f>
        <v>34291</v>
      </c>
      <c r="K72" s="64">
        <f>+'Partidos de GBA'!K71+'Capital Federal'!K71+'Resto de Buenos Aires'!K71+Catamarca!K71+Cordoba!K71+Corrientes!K71+Chaco!K71+Chubut!K71+'Entre Rios'!K71+Formosa!K71+Jujuy!K71+'La Pampa'!K71+'La Rioja'!K71+Mendoza!K71+Misiones!K71+Neuquen!K71+'Rio Negro'!K71+Salta!K71+'San Juan'!K71+'San Luis'!K71+'Santa Cruz'!K71+'Santa Fe'!K71+'Santiago del Estero'!K71+Tucuman!K71+'Tierra del Fuego'!K71</f>
        <v>42505</v>
      </c>
      <c r="L72" s="64">
        <f>+'Partidos de GBA'!L71+'Capital Federal'!L71+'Resto de Buenos Aires'!L71+Catamarca!L71+Cordoba!L71+Corrientes!L71+Chaco!L71+Chubut!L71+'Entre Rios'!L71+Formosa!L71+Jujuy!L71+'La Pampa'!L71+'La Rioja'!L71+Mendoza!L71+Misiones!L71+Neuquen!L71+'Rio Negro'!L71+Salta!L71+'San Juan'!L71+'San Luis'!L71+'Santa Cruz'!L71+'Santa Fe'!L71+'Santiago del Estero'!L71+Tucuman!L71+'Tierra del Fuego'!L71</f>
        <v>45452</v>
      </c>
      <c r="M72" s="64">
        <f>+'Partidos de GBA'!M71+'Capital Federal'!M71+'Resto de Buenos Aires'!M71+Catamarca!M71+Cordoba!M71+Corrientes!M71+Chaco!M71+Chubut!M71+'Entre Rios'!M71+Formosa!M71+Jujuy!M71+'La Pampa'!M71+'La Rioja'!M71+Mendoza!M71+Misiones!M71+Neuquen!M71+'Rio Negro'!M71+Salta!M71+'San Juan'!M71+'San Luis'!M71+'Santa Cruz'!M71+'Santa Fe'!M71+'Santiago del Estero'!M71+Tucuman!M71+'Tierra del Fuego'!M71</f>
        <v>47386</v>
      </c>
      <c r="N72" s="64">
        <f>+'Partidos de GBA'!N71+'Capital Federal'!N71+'Resto de Buenos Aires'!N71+Catamarca!N71+Cordoba!N71+Corrientes!N71+Chaco!N71+Chubut!N71+'Entre Rios'!N71+Formosa!N71+Jujuy!N71+'La Pampa'!N71+'La Rioja'!N71+Mendoza!N71+Misiones!N71+Neuquen!N71+'Rio Negro'!N71+Salta!N71+'San Juan'!N71+'San Luis'!N71+'Santa Cruz'!N71+'Santa Fe'!N71+'Santiago del Estero'!N71+Tucuman!N71+'Tierra del Fuego'!N71</f>
        <v>47743</v>
      </c>
      <c r="O72" s="64">
        <f>+'Partidos de GBA'!O71+'Capital Federal'!O71+'Resto de Buenos Aires'!O71+Catamarca!O71+Cordoba!O71+Corrientes!O71+Chaco!O71+Chubut!O71+'Entre Rios'!O71+Formosa!O71+Jujuy!O71+'La Pampa'!O71+'La Rioja'!O71+Mendoza!O71+Misiones!O71+Neuquen!O71+'Rio Negro'!O71+Salta!O71+'San Juan'!O71+'San Luis'!O71+'Santa Cruz'!O71+'Santa Fe'!O71+'Santiago del Estero'!O71+Tucuman!O71+'Tierra del Fuego'!O71</f>
        <v>47659</v>
      </c>
      <c r="P72" s="64">
        <f>+'Partidos de GBA'!P71+'Capital Federal'!P71+'Resto de Buenos Aires'!P71+Catamarca!P71+Cordoba!P71+Corrientes!P71+Chaco!P71+Chubut!P71+'Entre Rios'!P71+Formosa!P71+Jujuy!P71+'La Pampa'!P71+'La Rioja'!P71+Mendoza!P71+Misiones!P71+Neuquen!P71+'Rio Negro'!P71+Salta!P71+'San Juan'!P71+'San Luis'!P71+'Santa Cruz'!P71+'Santa Fe'!P71+'Santiago del Estero'!P71+Tucuman!P71+'Tierra del Fuego'!P71</f>
        <v>47362</v>
      </c>
      <c r="Q72" s="64">
        <f>+'Partidos de GBA'!W71+'Capital Federal'!W71+'Resto de Buenos Aires'!W71+Catamarca!W71+Cordoba!W71+Corrientes!W71+Chaco!W71+Chubut!W71+'Entre Rios'!W71+Formosa!W71+Jujuy!W71+'La Pampa'!W71+'La Rioja'!W71+Mendoza!W71+Misiones!W71+Neuquen!W71+'Rio Negro'!W71+Salta!W71+'San Juan'!W71+'San Luis'!W71+'Santa Cruz'!W71+'Santa Fe'!W71+'Santiago del Estero'!W71+Tucuman!W71+'Tierra del Fuego'!W71</f>
        <v>44656</v>
      </c>
      <c r="R72" s="64">
        <f>+'Partidos de GBA'!X71+'Capital Federal'!X71+'Resto de Buenos Aires'!X71+Catamarca!X71+Cordoba!X71+Corrientes!X71+Chaco!X71+Chubut!X71+'Entre Rios'!X71+Formosa!X71+Jujuy!X71+'La Pampa'!X71+'La Rioja'!X71+Mendoza!X71+Misiones!X71+Neuquen!X71+'Rio Negro'!X71+Salta!X71+'San Juan'!X71+'San Luis'!X71+'Santa Cruz'!X71+'Santa Fe'!X71+'Santiago del Estero'!X71+Tucuman!X71+'Tierra del Fuego'!X71</f>
        <v>44294</v>
      </c>
      <c r="S72"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T72"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U72"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V72"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W72"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X72"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Y72"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Z72"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A72"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B72"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C72"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D72"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E72"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F72"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G72"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H72"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I72"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J72"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K72"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L72"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M72"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N72"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O72"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P72"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Q72"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R72"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S72"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T72"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U72"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V72"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W72"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X72"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Y72"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Z72"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A72"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B72"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C72"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D72"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E72"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F72"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G72"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H72"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I72"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J72"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K72"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L72"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M72"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N72"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O72"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P72"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Q72"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R72"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S72"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T72"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U72"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V72"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W72"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X72"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Y72"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Z72"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A72"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B72"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C72"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D72"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E72"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F72"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G72"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H72"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I72"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J72"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K72"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L72"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M72"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N72"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O72"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P72"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Q72"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R72"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S72"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T72"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U72"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V72"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W72"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X72"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Y72"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Z72"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DA72"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DB72"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DC72"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DD72"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DE72"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DF72" s="64">
        <f>+'Partidos de GBA'!Y71+'Capital Federal'!Y71+'Resto de Buenos Aires'!Y71+Catamarca!Y71+Cordoba!Y71+Corrientes!Y71+Chaco!Y71+Chubut!Y71+'Entre Rios'!Y71+Formosa!Y71+Jujuy!Y71+'La Pampa'!Y71+'La Rioja'!Y71+Mendoza!Y71+Misiones!Y71+Neuquen!Y71+'Rio Negro'!Y71+Salta!Y71+'San Juan'!Y71+'San Luis'!Y71+'Santa Cruz'!Y71+'Santa Fe'!Y71+'Santiago del Estero'!Y71+Tucuman!Y71+'Tierra del Fuego'!Y71</f>
        <v>42987</v>
      </c>
      <c r="DG72" s="64">
        <f>+'Partidos de GBA'!AE71+'Capital Federal'!AE71+'Resto de Buenos Aires'!AE71+Catamarca!AE71+Cordoba!AE71+Corrientes!AE71+Chaco!AE71+Chubut!AE71+'Entre Rios'!AE71+Formosa!AE71+Jujuy!AE71+'La Pampa'!AE71+'La Rioja'!AE71+Mendoza!AE71+Misiones!AE71+Neuquen!AE71+'Rio Negro'!AE71+Salta!AE71+'San Juan'!AE71+'San Luis'!AE71+'Santa Cruz'!AE71+'Santa Fe'!AE71+'Santiago del Estero'!AE71+Tucuman!AE71+'Tierra del Fuego'!AE71</f>
        <v>35705</v>
      </c>
    </row>
    <row r="73" spans="1:111" ht="15" customHeight="1" x14ac:dyDescent="0.25">
      <c r="A73" s="41">
        <v>90</v>
      </c>
      <c r="B73" s="12" t="s">
        <v>91</v>
      </c>
      <c r="C73" s="65"/>
      <c r="D73" s="65"/>
      <c r="E73" s="65"/>
      <c r="F73" s="65"/>
      <c r="G73" s="65"/>
      <c r="H73" s="65"/>
      <c r="I73" s="65"/>
      <c r="J73" s="65"/>
      <c r="K73" s="65"/>
      <c r="L73" s="65"/>
      <c r="M73" s="65"/>
      <c r="N73" s="65"/>
      <c r="O73" s="65"/>
      <c r="P73" s="65"/>
      <c r="Q73" s="65"/>
      <c r="R73" s="65"/>
      <c r="S73" s="65"/>
      <c r="T73" s="65"/>
      <c r="U73" s="65"/>
      <c r="V73" s="65"/>
      <c r="W73" s="65"/>
      <c r="X73" s="65"/>
      <c r="Y73" s="65"/>
      <c r="Z73" s="65"/>
      <c r="AA73" s="65"/>
      <c r="AB73" s="65"/>
      <c r="AC73" s="65"/>
      <c r="AD73" s="65"/>
      <c r="AE73" s="65"/>
      <c r="AF73" s="65"/>
      <c r="AG73" s="65"/>
      <c r="AH73" s="65"/>
      <c r="AI73" s="65"/>
      <c r="AJ73" s="65"/>
      <c r="AK73" s="65"/>
      <c r="AL73" s="65"/>
      <c r="AM73" s="65"/>
      <c r="AN73" s="65"/>
      <c r="AO73" s="65"/>
      <c r="AP73" s="65"/>
      <c r="AQ73" s="65"/>
      <c r="AR73" s="65"/>
      <c r="AS73" s="65"/>
      <c r="AT73" s="65"/>
      <c r="AU73" s="65"/>
      <c r="AV73" s="65"/>
      <c r="AW73" s="65"/>
      <c r="AX73" s="65"/>
      <c r="AY73" s="65"/>
      <c r="AZ73" s="65"/>
      <c r="BA73" s="65"/>
      <c r="BB73" s="65"/>
      <c r="BC73" s="65"/>
      <c r="BD73" s="65"/>
      <c r="BE73" s="65"/>
      <c r="BF73" s="65"/>
      <c r="BG73" s="65"/>
      <c r="BH73" s="65"/>
      <c r="BI73" s="65"/>
      <c r="BJ73" s="65"/>
      <c r="BK73" s="65"/>
      <c r="BL73" s="65"/>
      <c r="BM73" s="65"/>
      <c r="BN73" s="65"/>
      <c r="BO73" s="65"/>
      <c r="BP73" s="65"/>
      <c r="BQ73" s="65"/>
      <c r="BR73" s="65"/>
      <c r="BS73" s="65"/>
      <c r="BT73" s="65"/>
      <c r="BU73" s="65"/>
      <c r="BV73" s="65"/>
      <c r="BW73" s="65"/>
      <c r="BX73" s="65"/>
      <c r="BY73" s="65"/>
      <c r="BZ73" s="65"/>
      <c r="CA73" s="65"/>
      <c r="CB73" s="65"/>
      <c r="CC73" s="65"/>
      <c r="CD73" s="65"/>
      <c r="CE73" s="65"/>
      <c r="CF73" s="65"/>
      <c r="CG73" s="65"/>
      <c r="CH73" s="65"/>
      <c r="CI73" s="65"/>
      <c r="CJ73" s="65"/>
      <c r="CK73" s="65"/>
      <c r="CL73" s="65"/>
      <c r="CM73" s="65"/>
      <c r="CN73" s="65"/>
      <c r="CO73" s="65"/>
      <c r="CP73" s="65"/>
      <c r="CQ73" s="65"/>
      <c r="CR73" s="65"/>
      <c r="CS73" s="65"/>
      <c r="CT73" s="65"/>
      <c r="CU73" s="65"/>
      <c r="CV73" s="65"/>
      <c r="CW73" s="65"/>
      <c r="CX73" s="65"/>
      <c r="CY73" s="65"/>
      <c r="CZ73" s="65"/>
      <c r="DA73" s="65"/>
      <c r="DB73" s="65"/>
      <c r="DC73" s="65"/>
      <c r="DD73" s="65"/>
      <c r="DE73" s="65"/>
      <c r="DF73" s="65"/>
      <c r="DG73" s="65"/>
    </row>
    <row r="74" spans="1:111" ht="15" customHeight="1" x14ac:dyDescent="0.25">
      <c r="A74" s="46">
        <v>91</v>
      </c>
      <c r="B74" s="17" t="s">
        <v>92</v>
      </c>
      <c r="C74" s="70"/>
      <c r="D74" s="70"/>
      <c r="E74" s="70"/>
      <c r="F74" s="70"/>
      <c r="G74" s="70"/>
      <c r="H74" s="70"/>
      <c r="I74" s="70"/>
      <c r="J74" s="70"/>
      <c r="K74" s="70"/>
      <c r="L74" s="70"/>
      <c r="M74" s="70"/>
      <c r="N74" s="70"/>
      <c r="O74" s="70"/>
      <c r="P74" s="70"/>
      <c r="Q74" s="70"/>
      <c r="R74" s="70"/>
      <c r="S74" s="70"/>
      <c r="T74" s="70"/>
      <c r="U74" s="70"/>
      <c r="V74" s="70"/>
      <c r="W74" s="70"/>
      <c r="X74" s="70"/>
      <c r="Y74" s="70"/>
      <c r="Z74" s="70"/>
      <c r="AA74" s="70"/>
      <c r="AB74" s="70"/>
      <c r="AC74" s="70"/>
      <c r="AD74" s="70"/>
      <c r="AE74" s="70"/>
      <c r="AF74" s="70"/>
      <c r="AG74" s="70"/>
      <c r="AH74" s="70"/>
      <c r="AI74" s="70"/>
      <c r="AJ74" s="70"/>
      <c r="AK74" s="70"/>
      <c r="AL74" s="70"/>
      <c r="AM74" s="70"/>
      <c r="AN74" s="70"/>
      <c r="AO74" s="70"/>
      <c r="AP74" s="70"/>
      <c r="AQ74" s="70"/>
      <c r="AR74" s="70"/>
      <c r="AS74" s="70"/>
      <c r="AT74" s="70"/>
      <c r="AU74" s="70"/>
      <c r="AV74" s="70"/>
      <c r="AW74" s="70"/>
      <c r="AX74" s="70"/>
      <c r="AY74" s="70"/>
      <c r="AZ74" s="70"/>
      <c r="BA74" s="70"/>
      <c r="BB74" s="70"/>
      <c r="BC74" s="70"/>
      <c r="BD74" s="70"/>
      <c r="BE74" s="70"/>
      <c r="BF74" s="70"/>
      <c r="BG74" s="70"/>
      <c r="BH74" s="70"/>
      <c r="BI74" s="70"/>
      <c r="BJ74" s="70"/>
      <c r="BK74" s="70"/>
      <c r="BL74" s="70"/>
      <c r="BM74" s="70"/>
      <c r="BN74" s="70"/>
      <c r="BO74" s="70"/>
      <c r="BP74" s="70"/>
      <c r="BQ74" s="70"/>
      <c r="BR74" s="70"/>
      <c r="BS74" s="70"/>
      <c r="BT74" s="70"/>
      <c r="BU74" s="70"/>
      <c r="BV74" s="70"/>
      <c r="BW74" s="70"/>
      <c r="BX74" s="70"/>
      <c r="BY74" s="70"/>
      <c r="BZ74" s="70"/>
      <c r="CA74" s="70"/>
      <c r="CB74" s="70"/>
      <c r="CC74" s="70"/>
      <c r="CD74" s="70"/>
      <c r="CE74" s="70"/>
      <c r="CF74" s="70"/>
      <c r="CG74" s="70"/>
      <c r="CH74" s="70"/>
      <c r="CI74" s="70"/>
      <c r="CJ74" s="70"/>
      <c r="CK74" s="70"/>
      <c r="CL74" s="70"/>
      <c r="CM74" s="70"/>
      <c r="CN74" s="70"/>
      <c r="CO74" s="70"/>
      <c r="CP74" s="70"/>
      <c r="CQ74" s="70"/>
      <c r="CR74" s="70"/>
      <c r="CS74" s="70"/>
      <c r="CT74" s="70"/>
      <c r="CU74" s="70"/>
      <c r="CV74" s="70"/>
      <c r="CW74" s="70"/>
      <c r="CX74" s="70"/>
      <c r="CY74" s="70"/>
      <c r="CZ74" s="70"/>
      <c r="DA74" s="70"/>
      <c r="DB74" s="70"/>
      <c r="DC74" s="70"/>
      <c r="DD74" s="70"/>
      <c r="DE74" s="70"/>
      <c r="DF74" s="70"/>
      <c r="DG74" s="70"/>
    </row>
    <row r="75" spans="1:111" ht="15" customHeight="1" x14ac:dyDescent="0.25">
      <c r="A75" s="46">
        <v>92</v>
      </c>
      <c r="B75" s="17" t="s">
        <v>93</v>
      </c>
      <c r="C75" s="70"/>
      <c r="D75" s="70"/>
      <c r="E75" s="70"/>
      <c r="F75" s="70"/>
      <c r="G75" s="70"/>
      <c r="H75" s="70"/>
      <c r="I75" s="70"/>
      <c r="J75" s="70"/>
      <c r="K75" s="70"/>
      <c r="L75" s="70"/>
      <c r="M75" s="70"/>
      <c r="N75" s="70"/>
      <c r="O75" s="70"/>
      <c r="P75" s="70"/>
      <c r="Q75" s="70"/>
      <c r="R75" s="70"/>
      <c r="S75" s="70"/>
      <c r="T75" s="70"/>
      <c r="U75" s="70"/>
      <c r="V75" s="70"/>
      <c r="W75" s="70"/>
      <c r="X75" s="70"/>
      <c r="Y75" s="70"/>
      <c r="Z75" s="70"/>
      <c r="AA75" s="70"/>
      <c r="AB75" s="70"/>
      <c r="AC75" s="70"/>
      <c r="AD75" s="70"/>
      <c r="AE75" s="70"/>
      <c r="AF75" s="70"/>
      <c r="AG75" s="70"/>
      <c r="AH75" s="70"/>
      <c r="AI75" s="70"/>
      <c r="AJ75" s="70"/>
      <c r="AK75" s="70"/>
      <c r="AL75" s="70"/>
      <c r="AM75" s="70"/>
      <c r="AN75" s="70"/>
      <c r="AO75" s="70"/>
      <c r="AP75" s="70"/>
      <c r="AQ75" s="70"/>
      <c r="AR75" s="70"/>
      <c r="AS75" s="70"/>
      <c r="AT75" s="70"/>
      <c r="AU75" s="70"/>
      <c r="AV75" s="70"/>
      <c r="AW75" s="70"/>
      <c r="AX75" s="70"/>
      <c r="AY75" s="70"/>
      <c r="AZ75" s="70"/>
      <c r="BA75" s="70"/>
      <c r="BB75" s="70"/>
      <c r="BC75" s="70"/>
      <c r="BD75" s="70"/>
      <c r="BE75" s="70"/>
      <c r="BF75" s="70"/>
      <c r="BG75" s="70"/>
      <c r="BH75" s="70"/>
      <c r="BI75" s="70"/>
      <c r="BJ75" s="70"/>
      <c r="BK75" s="70"/>
      <c r="BL75" s="70"/>
      <c r="BM75" s="70"/>
      <c r="BN75" s="70"/>
      <c r="BO75" s="70"/>
      <c r="BP75" s="70"/>
      <c r="BQ75" s="70"/>
      <c r="BR75" s="70"/>
      <c r="BS75" s="70"/>
      <c r="BT75" s="70"/>
      <c r="BU75" s="70"/>
      <c r="BV75" s="70"/>
      <c r="BW75" s="70"/>
      <c r="BX75" s="70"/>
      <c r="BY75" s="70"/>
      <c r="BZ75" s="70"/>
      <c r="CA75" s="70"/>
      <c r="CB75" s="70"/>
      <c r="CC75" s="70"/>
      <c r="CD75" s="70"/>
      <c r="CE75" s="70"/>
      <c r="CF75" s="70"/>
      <c r="CG75" s="70"/>
      <c r="CH75" s="70"/>
      <c r="CI75" s="70"/>
      <c r="CJ75" s="70"/>
      <c r="CK75" s="70"/>
      <c r="CL75" s="70"/>
      <c r="CM75" s="70"/>
      <c r="CN75" s="70"/>
      <c r="CO75" s="70"/>
      <c r="CP75" s="70"/>
      <c r="CQ75" s="70"/>
      <c r="CR75" s="70"/>
      <c r="CS75" s="70"/>
      <c r="CT75" s="70"/>
      <c r="CU75" s="70"/>
      <c r="CV75" s="70"/>
      <c r="CW75" s="70"/>
      <c r="CX75" s="70"/>
      <c r="CY75" s="70"/>
      <c r="CZ75" s="70"/>
      <c r="DA75" s="70"/>
      <c r="DB75" s="70"/>
      <c r="DC75" s="70"/>
      <c r="DD75" s="70"/>
      <c r="DE75" s="70"/>
      <c r="DF75" s="70"/>
      <c r="DG75" s="70"/>
    </row>
    <row r="76" spans="1:111" ht="15" customHeight="1" thickBot="1" x14ac:dyDescent="0.3">
      <c r="A76" s="47">
        <v>93</v>
      </c>
      <c r="B76" s="18" t="s">
        <v>94</v>
      </c>
      <c r="C76" s="76"/>
      <c r="D76" s="76"/>
      <c r="E76" s="76"/>
      <c r="F76" s="76"/>
      <c r="G76" s="76"/>
      <c r="H76" s="76"/>
      <c r="I76" s="76"/>
      <c r="J76" s="76"/>
      <c r="K76" s="76"/>
      <c r="L76" s="76"/>
      <c r="M76" s="76"/>
      <c r="N76" s="76"/>
      <c r="O76" s="76"/>
      <c r="P76" s="76"/>
      <c r="Q76" s="76"/>
      <c r="R76" s="76"/>
      <c r="S76" s="76"/>
      <c r="T76" s="76"/>
      <c r="U76" s="76"/>
      <c r="V76" s="76"/>
      <c r="W76" s="76"/>
      <c r="X76" s="76"/>
      <c r="Y76" s="76"/>
      <c r="Z76" s="76"/>
      <c r="AA76" s="76"/>
      <c r="AB76" s="76"/>
      <c r="AC76" s="76"/>
      <c r="AD76" s="76"/>
      <c r="AE76" s="76"/>
      <c r="AF76" s="76"/>
      <c r="AG76" s="76"/>
      <c r="AH76" s="76"/>
      <c r="AI76" s="76"/>
      <c r="AJ76" s="76"/>
      <c r="AK76" s="76"/>
      <c r="AL76" s="76"/>
      <c r="AM76" s="76"/>
      <c r="AN76" s="76"/>
      <c r="AO76" s="76"/>
      <c r="AP76" s="76"/>
      <c r="AQ76" s="76"/>
      <c r="AR76" s="76"/>
      <c r="AS76" s="76"/>
      <c r="AT76" s="76"/>
      <c r="AU76" s="76"/>
      <c r="AV76" s="76"/>
      <c r="AW76" s="76"/>
      <c r="AX76" s="76"/>
      <c r="AY76" s="76"/>
      <c r="AZ76" s="76"/>
      <c r="BA76" s="76"/>
      <c r="BB76" s="76"/>
      <c r="BC76" s="76"/>
      <c r="BD76" s="76"/>
      <c r="BE76" s="76"/>
      <c r="BF76" s="76"/>
      <c r="BG76" s="76"/>
      <c r="BH76" s="76"/>
      <c r="BI76" s="76"/>
      <c r="BJ76" s="76"/>
      <c r="BK76" s="76"/>
      <c r="BL76" s="76"/>
      <c r="BM76" s="76"/>
      <c r="BN76" s="76"/>
      <c r="BO76" s="76"/>
      <c r="BP76" s="76"/>
      <c r="BQ76" s="76"/>
      <c r="BR76" s="76"/>
      <c r="BS76" s="76"/>
      <c r="BT76" s="76"/>
      <c r="BU76" s="76"/>
      <c r="BV76" s="76"/>
      <c r="BW76" s="76"/>
      <c r="BX76" s="76"/>
      <c r="BY76" s="76"/>
      <c r="BZ76" s="76"/>
      <c r="CA76" s="76"/>
      <c r="CB76" s="76"/>
      <c r="CC76" s="76"/>
      <c r="CD76" s="76"/>
      <c r="CE76" s="76"/>
      <c r="CF76" s="76"/>
      <c r="CG76" s="76"/>
      <c r="CH76" s="76"/>
      <c r="CI76" s="76"/>
      <c r="CJ76" s="76"/>
      <c r="CK76" s="76"/>
      <c r="CL76" s="76"/>
      <c r="CM76" s="76"/>
      <c r="CN76" s="76"/>
      <c r="CO76" s="76"/>
      <c r="CP76" s="76"/>
      <c r="CQ76" s="76"/>
      <c r="CR76" s="76"/>
      <c r="CS76" s="76"/>
      <c r="CT76" s="76"/>
      <c r="CU76" s="76"/>
      <c r="CV76" s="76"/>
      <c r="CW76" s="76"/>
      <c r="CX76" s="76"/>
      <c r="CY76" s="76"/>
      <c r="CZ76" s="76"/>
      <c r="DA76" s="76"/>
      <c r="DB76" s="76"/>
      <c r="DC76" s="76"/>
      <c r="DD76" s="76"/>
      <c r="DE76" s="76"/>
      <c r="DF76" s="76"/>
      <c r="DG76" s="76"/>
    </row>
    <row r="77" spans="1:111" ht="15" customHeight="1" thickBot="1" x14ac:dyDescent="0.3">
      <c r="A77" s="51"/>
      <c r="B77" s="52" t="s">
        <v>291</v>
      </c>
      <c r="C77" s="64">
        <f>+'Partidos de GBA'!C76+'Capital Federal'!C76+'Resto de Buenos Aires'!C76+Catamarca!C76+Cordoba!C76+Corrientes!C76+Chaco!C76+Chubut!C76+'Entre Rios'!C76+Formosa!C76+Jujuy!C76+'La Pampa'!C76+'La Rioja'!C76+Mendoza!C76+Misiones!C76+Neuquen!C76+'Rio Negro'!C76+Salta!C76+'San Juan'!C76+'San Luis'!C76+'Santa Cruz'!C76+'Santa Fe'!C76+'Santiago del Estero'!C76+Tucuman!C76+'Tierra del Fuego'!C76</f>
        <v>442487</v>
      </c>
      <c r="D77" s="64">
        <f>+'Partidos de GBA'!D76+'Capital Federal'!D76+'Resto de Buenos Aires'!D76+Catamarca!D76+Cordoba!D76+Corrientes!D76+Chaco!D76+Chubut!D76+'Entre Rios'!D76+Formosa!D76+Jujuy!D76+'La Pampa'!D76+'La Rioja'!D76+Mendoza!D76+Misiones!D76+Neuquen!D76+'Rio Negro'!D76+Salta!D76+'San Juan'!D76+'San Luis'!D76+'Santa Cruz'!D76+'Santa Fe'!D76+'Santiago del Estero'!D76+Tucuman!D76+'Tierra del Fuego'!D76</f>
        <v>450842</v>
      </c>
      <c r="E77" s="64">
        <f>+'Partidos de GBA'!E76+'Capital Federal'!E76+'Resto de Buenos Aires'!E76+Catamarca!E76+Cordoba!E76+Corrientes!E76+Chaco!E76+Chubut!E76+'Entre Rios'!E76+Formosa!E76+Jujuy!E76+'La Pampa'!E76+'La Rioja'!E76+Mendoza!E76+Misiones!E76+Neuquen!E76+'Rio Negro'!E76+Salta!E76+'San Juan'!E76+'San Luis'!E76+'Santa Cruz'!E76+'Santa Fe'!E76+'Santiago del Estero'!E76+Tucuman!E76+'Tierra del Fuego'!E76</f>
        <v>454531</v>
      </c>
      <c r="F77" s="64">
        <f>+'Partidos de GBA'!F76+'Capital Federal'!F76+'Resto de Buenos Aires'!F76+Catamarca!F76+Cordoba!F76+Corrientes!F76+Chaco!F76+Chubut!F76+'Entre Rios'!F76+Formosa!F76+Jujuy!F76+'La Pampa'!F76+'La Rioja'!F76+Mendoza!F76+Misiones!F76+Neuquen!F76+'Rio Negro'!F76+Salta!F76+'San Juan'!F76+'San Luis'!F76+'Santa Cruz'!F76+'Santa Fe'!F76+'Santiago del Estero'!F76+Tucuman!F76+'Tierra del Fuego'!F76</f>
        <v>456498</v>
      </c>
      <c r="G77" s="64">
        <f>+'Partidos de GBA'!G76+'Capital Federal'!G76+'Resto de Buenos Aires'!G76+Catamarca!G76+Cordoba!G76+Corrientes!G76+Chaco!G76+Chubut!G76+'Entre Rios'!G76+Formosa!G76+Jujuy!G76+'La Pampa'!G76+'La Rioja'!G76+Mendoza!G76+Misiones!G76+Neuquen!G76+'Rio Negro'!G76+Salta!G76+'San Juan'!G76+'San Luis'!G76+'Santa Cruz'!G76+'Santa Fe'!G76+'Santiago del Estero'!G76+Tucuman!G76+'Tierra del Fuego'!G76</f>
        <v>439702</v>
      </c>
      <c r="H77" s="64">
        <f>+'Partidos de GBA'!H76+'Capital Federal'!H76+'Resto de Buenos Aires'!H76+Catamarca!H76+Cordoba!H76+Corrientes!H76+Chaco!H76+Chubut!H76+'Entre Rios'!H76+Formosa!H76+Jujuy!H76+'La Pampa'!H76+'La Rioja'!H76+Mendoza!H76+Misiones!H76+Neuquen!H76+'Rio Negro'!H76+Salta!H76+'San Juan'!H76+'San Luis'!H76+'Santa Cruz'!H76+'Santa Fe'!H76+'Santiago del Estero'!H76+Tucuman!H76+'Tierra del Fuego'!H76</f>
        <v>423843</v>
      </c>
      <c r="I77" s="64">
        <f>+'Partidos de GBA'!I76+'Capital Federal'!I76+'Resto de Buenos Aires'!I76+Catamarca!I76+Cordoba!I76+Corrientes!I76+Chaco!I76+Chubut!I76+'Entre Rios'!I76+Formosa!I76+Jujuy!I76+'La Pampa'!I76+'La Rioja'!I76+Mendoza!I76+Misiones!I76+Neuquen!I76+'Rio Negro'!I76+Salta!I76+'San Juan'!I76+'San Luis'!I76+'Santa Cruz'!I76+'Santa Fe'!I76+'Santiago del Estero'!I76+Tucuman!I76+'Tierra del Fuego'!I76</f>
        <v>402322</v>
      </c>
      <c r="J77" s="64">
        <f>+'Partidos de GBA'!J76+'Capital Federal'!J76+'Resto de Buenos Aires'!J76+Catamarca!J76+Cordoba!J76+Corrientes!J76+Chaco!J76+Chubut!J76+'Entre Rios'!J76+Formosa!J76+Jujuy!J76+'La Pampa'!J76+'La Rioja'!J76+Mendoza!J76+Misiones!J76+Neuquen!J76+'Rio Negro'!J76+Salta!J76+'San Juan'!J76+'San Luis'!J76+'Santa Cruz'!J76+'Santa Fe'!J76+'Santiago del Estero'!J76+Tucuman!J76+'Tierra del Fuego'!J76</f>
        <v>432484</v>
      </c>
      <c r="K77" s="64">
        <f>+'Partidos de GBA'!K76+'Capital Federal'!K76+'Resto de Buenos Aires'!K76+Catamarca!K76+Cordoba!K76+Corrientes!K76+Chaco!K76+Chubut!K76+'Entre Rios'!K76+Formosa!K76+Jujuy!K76+'La Pampa'!K76+'La Rioja'!K76+Mendoza!K76+Misiones!K76+Neuquen!K76+'Rio Negro'!K76+Salta!K76+'San Juan'!K76+'San Luis'!K76+'Santa Cruz'!K76+'Santa Fe'!K76+'Santiago del Estero'!K76+Tucuman!K76+'Tierra del Fuego'!K76</f>
        <v>493963</v>
      </c>
      <c r="L77" s="64">
        <f>+'Partidos de GBA'!L76+'Capital Federal'!L76+'Resto de Buenos Aires'!L76+Catamarca!L76+Cordoba!L76+Corrientes!L76+Chaco!L76+Chubut!L76+'Entre Rios'!L76+Formosa!L76+Jujuy!L76+'La Pampa'!L76+'La Rioja'!L76+Mendoza!L76+Misiones!L76+Neuquen!L76+'Rio Negro'!L76+Salta!L76+'San Juan'!L76+'San Luis'!L76+'Santa Cruz'!L76+'Santa Fe'!L76+'Santiago del Estero'!L76+Tucuman!L76+'Tierra del Fuego'!L76</f>
        <v>532669</v>
      </c>
      <c r="M77" s="64">
        <f>+'Partidos de GBA'!M76+'Capital Federal'!M76+'Resto de Buenos Aires'!M76+Catamarca!M76+Cordoba!M76+Corrientes!M76+Chaco!M76+Chubut!M76+'Entre Rios'!M76+Formosa!M76+Jujuy!M76+'La Pampa'!M76+'La Rioja'!M76+Mendoza!M76+Misiones!M76+Neuquen!M76+'Rio Negro'!M76+Salta!M76+'San Juan'!M76+'San Luis'!M76+'Santa Cruz'!M76+'Santa Fe'!M76+'Santiago del Estero'!M76+Tucuman!M76+'Tierra del Fuego'!M76</f>
        <v>568461</v>
      </c>
      <c r="N77" s="64">
        <f>+'Partidos de GBA'!N76+'Capital Federal'!N76+'Resto de Buenos Aires'!N76+Catamarca!N76+Cordoba!N76+Corrientes!N76+Chaco!N76+Chubut!N76+'Entre Rios'!N76+Formosa!N76+Jujuy!N76+'La Pampa'!N76+'La Rioja'!N76+Mendoza!N76+Misiones!N76+Neuquen!N76+'Rio Negro'!N76+Salta!N76+'San Juan'!N76+'San Luis'!N76+'Santa Cruz'!N76+'Santa Fe'!N76+'Santiago del Estero'!N76+Tucuman!N76+'Tierra del Fuego'!N76</f>
        <v>597583</v>
      </c>
      <c r="O77" s="64">
        <f>+'Partidos de GBA'!O76+'Capital Federal'!O76+'Resto de Buenos Aires'!O76+Catamarca!O76+Cordoba!O76+Corrientes!O76+Chaco!O76+Chubut!O76+'Entre Rios'!O76+Formosa!O76+Jujuy!O76+'La Pampa'!O76+'La Rioja'!O76+Mendoza!O76+Misiones!O76+Neuquen!O76+'Rio Negro'!O76+Salta!O76+'San Juan'!O76+'San Luis'!O76+'Santa Cruz'!O76+'Santa Fe'!O76+'Santiago del Estero'!O76+Tucuman!O76+'Tierra del Fuego'!O76</f>
        <v>620003</v>
      </c>
      <c r="P77" s="64">
        <f>+'Partidos de GBA'!P76+'Capital Federal'!P76+'Resto de Buenos Aires'!P76+Catamarca!P76+Cordoba!P76+Corrientes!P76+Chaco!P76+Chubut!P76+'Entre Rios'!P76+Formosa!P76+Jujuy!P76+'La Pampa'!P76+'La Rioja'!P76+Mendoza!P76+Misiones!P76+Neuquen!P76+'Rio Negro'!P76+Salta!P76+'San Juan'!P76+'San Luis'!P76+'Santa Cruz'!P76+'Santa Fe'!P76+'Santiago del Estero'!P76+Tucuman!P76+'Tierra del Fuego'!P76</f>
        <v>623677</v>
      </c>
      <c r="Q77" s="64">
        <f>+'Partidos de GBA'!W76+'Capital Federal'!W76+'Resto de Buenos Aires'!W76+Catamarca!W76+Cordoba!W76+Corrientes!W76+Chaco!W76+Chubut!W76+'Entre Rios'!W76+Formosa!W76+Jujuy!W76+'La Pampa'!W76+'La Rioja'!W76+Mendoza!W76+Misiones!W76+Neuquen!W76+'Rio Negro'!W76+Salta!W76+'San Juan'!W76+'San Luis'!W76+'Santa Cruz'!W76+'Santa Fe'!W76+'Santiago del Estero'!W76+Tucuman!W76+'Tierra del Fuego'!W76</f>
        <v>647399</v>
      </c>
      <c r="R77" s="64">
        <f>+'Partidos de GBA'!X76+'Capital Federal'!X76+'Resto de Buenos Aires'!X76+Catamarca!X76+Cordoba!X76+Corrientes!X76+Chaco!X76+Chubut!X76+'Entre Rios'!X76+Formosa!X76+Jujuy!X76+'La Pampa'!X76+'La Rioja'!X76+Mendoza!X76+Misiones!X76+Neuquen!X76+'Rio Negro'!X76+Salta!X76+'San Juan'!X76+'San Luis'!X76+'Santa Cruz'!X76+'Santa Fe'!X76+'Santiago del Estero'!X76+Tucuman!X76+'Tierra del Fuego'!X76</f>
        <v>650238</v>
      </c>
      <c r="S77"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T77"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U77"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V77"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W77"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X77"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Y77"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Z77"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A77"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B77"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C77"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D77"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E77"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F77"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G77"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H77"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I77"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J77"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K77"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L77"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M77"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N77"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O77"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P77"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Q77"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R77"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S77"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T77"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U77"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V77"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W77"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X77"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Y77"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AZ77"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A77"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B77"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C77"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D77"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E77"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F77"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G77"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H77"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I77"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J77"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K77"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L77"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M77"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N77"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O77"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P77"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Q77"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R77"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S77"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T77"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U77"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V77"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W77"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X77"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Y77"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BZ77"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A77"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B77"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C77"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D77"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E77"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F77"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G77"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H77"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I77"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J77"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K77"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L77"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M77"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N77"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O77"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P77"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Q77"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R77"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S77"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T77"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U77"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V77"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W77"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X77"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Y77"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CZ77"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DA77"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DB77"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DC77"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DD77"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DE77" s="64" t="e">
        <f>+'Partidos de GBA'!#REF!+'Capital Federal'!#REF!+'Resto de Buenos Aires'!#REF!+Catamarca!#REF!+Cordoba!#REF!+Corrientes!#REF!+Chaco!#REF!+Chubut!#REF!+'Entre Rios'!#REF!+Formosa!#REF!+Jujuy!#REF!+'La Pampa'!#REF!+'La Rioja'!#REF!+Mendoza!#REF!+Misiones!#REF!+Neuquen!#REF!+'Rio Negro'!#REF!+Salta!#REF!+'San Juan'!#REF!+'San Luis'!#REF!+'Santa Cruz'!#REF!+'Santa Fe'!#REF!+'Santiago del Estero'!#REF!+Tucuman!#REF!+'Tierra del Fuego'!#REF!</f>
        <v>#REF!</v>
      </c>
      <c r="DF77" s="64">
        <f>+'Partidos de GBA'!Y76+'Capital Federal'!Y76+'Resto de Buenos Aires'!Y76+Catamarca!Y76+Cordoba!Y76+Corrientes!Y76+Chaco!Y76+Chubut!Y76+'Entre Rios'!Y76+Formosa!Y76+Jujuy!Y76+'La Pampa'!Y76+'La Rioja'!Y76+Mendoza!Y76+Misiones!Y76+Neuquen!Y76+'Rio Negro'!Y76+Salta!Y76+'San Juan'!Y76+'San Luis'!Y76+'Santa Cruz'!Y76+'Santa Fe'!Y76+'Santiago del Estero'!Y76+Tucuman!Y76+'Tierra del Fuego'!Y76</f>
        <v>639487</v>
      </c>
      <c r="DG77" s="64">
        <f>+'Partidos de GBA'!AE76+'Capital Federal'!AE76+'Resto de Buenos Aires'!AE76+Catamarca!AE76+Cordoba!AE76+Corrientes!AE76+Chaco!AE76+Chubut!AE76+'Entre Rios'!AE76+Formosa!AE76+Jujuy!AE76+'La Pampa'!AE76+'La Rioja'!AE76+Mendoza!AE76+Misiones!AE76+Neuquen!AE76+'Rio Negro'!AE76+Salta!AE76+'San Juan'!AE76+'San Luis'!AE76+'Santa Cruz'!AE76+'Santa Fe'!AE76+'Santiago del Estero'!AE76+Tucuman!AE76+'Tierra del Fuego'!AE76</f>
        <v>609654</v>
      </c>
    </row>
    <row r="78" spans="1:111" x14ac:dyDescent="0.25">
      <c r="CD78" s="77"/>
      <c r="CG78" s="107"/>
    </row>
    <row r="79" spans="1:111" x14ac:dyDescent="0.25">
      <c r="C79" s="119"/>
      <c r="D79" s="119"/>
      <c r="E79" s="119"/>
      <c r="F79" s="119"/>
      <c r="G79" s="119"/>
      <c r="H79" s="119"/>
      <c r="I79" s="119"/>
      <c r="J79" s="119"/>
      <c r="K79" s="119"/>
      <c r="L79" s="119"/>
      <c r="M79" s="119"/>
      <c r="N79" s="119"/>
      <c r="O79" s="119"/>
      <c r="P79" s="119"/>
      <c r="Q79" s="119"/>
      <c r="R79" s="119"/>
      <c r="S79" s="119"/>
      <c r="T79" s="119"/>
      <c r="U79" s="119"/>
      <c r="V79" s="119"/>
      <c r="W79" s="119"/>
      <c r="X79" s="119"/>
      <c r="Y79" s="119"/>
      <c r="Z79" s="119"/>
      <c r="AA79" s="119"/>
      <c r="AB79" s="119"/>
      <c r="AC79" s="119"/>
      <c r="AD79" s="119"/>
      <c r="AE79" s="119"/>
      <c r="AF79" s="119"/>
      <c r="AG79" s="119"/>
      <c r="AH79" s="119"/>
      <c r="AI79" s="119"/>
      <c r="AJ79" s="119"/>
      <c r="AK79" s="119"/>
      <c r="AL79" s="119"/>
      <c r="AM79" s="119"/>
      <c r="AN79" s="119"/>
      <c r="AO79" s="119"/>
      <c r="AP79" s="119"/>
      <c r="AQ79" s="119"/>
      <c r="AR79" s="119"/>
      <c r="AS79" s="119"/>
      <c r="AT79" s="119"/>
      <c r="AU79" s="119"/>
      <c r="AV79" s="119"/>
      <c r="AW79" s="119"/>
      <c r="AX79" s="119"/>
      <c r="AY79" s="119"/>
      <c r="AZ79" s="119"/>
      <c r="BA79" s="119"/>
      <c r="BB79" s="119"/>
      <c r="BC79" s="119"/>
      <c r="BD79" s="119"/>
      <c r="BE79" s="119"/>
      <c r="BF79" s="119"/>
      <c r="BG79" s="119"/>
      <c r="BH79" s="119"/>
      <c r="BI79" s="119"/>
      <c r="BJ79" s="119"/>
      <c r="BK79" s="119"/>
      <c r="BL79" s="119"/>
      <c r="BM79" s="119"/>
      <c r="BN79" s="119"/>
      <c r="BO79" s="119"/>
      <c r="BP79" s="119"/>
      <c r="BQ79" s="119"/>
      <c r="BR79" s="119"/>
      <c r="BS79" s="119"/>
      <c r="BT79" s="119"/>
      <c r="BU79" s="119"/>
      <c r="BV79" s="119"/>
      <c r="BW79" s="119"/>
      <c r="BX79" s="119"/>
      <c r="BY79" s="119"/>
      <c r="BZ79" s="119"/>
      <c r="CA79" s="119"/>
      <c r="CB79" s="119"/>
      <c r="CC79" s="119"/>
      <c r="CD79" s="119"/>
      <c r="CE79" s="119"/>
      <c r="CF79" s="119"/>
      <c r="CG79" s="119"/>
      <c r="CH79" s="119"/>
      <c r="CI79" s="119"/>
      <c r="CK79" s="119"/>
    </row>
    <row r="80" spans="1:111" x14ac:dyDescent="0.25">
      <c r="B80" t="s">
        <v>292</v>
      </c>
      <c r="C80">
        <v>3424220</v>
      </c>
      <c r="D80">
        <v>3465443</v>
      </c>
      <c r="E80">
        <v>3528343</v>
      </c>
      <c r="F80">
        <v>3626912</v>
      </c>
      <c r="G80">
        <v>3724451</v>
      </c>
      <c r="H80">
        <v>3775838</v>
      </c>
      <c r="I80">
        <v>3835541</v>
      </c>
      <c r="J80">
        <v>3952949</v>
      </c>
      <c r="K80">
        <v>4056279</v>
      </c>
      <c r="L80">
        <v>4068557</v>
      </c>
      <c r="M80">
        <v>4093020</v>
      </c>
      <c r="N80">
        <v>4118671</v>
      </c>
      <c r="O80">
        <v>4104477</v>
      </c>
      <c r="P80">
        <v>4052089</v>
      </c>
      <c r="Q80">
        <v>4011744</v>
      </c>
      <c r="R80">
        <v>4024920</v>
      </c>
      <c r="S80">
        <v>4026798</v>
      </c>
      <c r="T80">
        <v>3968337</v>
      </c>
      <c r="U80">
        <v>3970419</v>
      </c>
      <c r="V80">
        <v>4016552</v>
      </c>
      <c r="W80">
        <v>4036221</v>
      </c>
      <c r="X80">
        <v>3980599</v>
      </c>
      <c r="Y80">
        <v>3879568</v>
      </c>
      <c r="Z80">
        <v>3786091</v>
      </c>
      <c r="AA80">
        <v>3609226</v>
      </c>
      <c r="AB80">
        <v>3510382</v>
      </c>
      <c r="AC80">
        <v>3468555</v>
      </c>
      <c r="AD80">
        <v>3506656</v>
      </c>
      <c r="AE80">
        <v>3602099</v>
      </c>
      <c r="AF80">
        <v>3667815</v>
      </c>
      <c r="AG80">
        <v>3755388</v>
      </c>
      <c r="AH80">
        <v>3889778</v>
      </c>
      <c r="AI80">
        <v>4017785</v>
      </c>
      <c r="AJ80">
        <v>4096510</v>
      </c>
      <c r="AK80">
        <v>4232094</v>
      </c>
      <c r="AL80">
        <v>4388329</v>
      </c>
      <c r="AM80">
        <v>4533828</v>
      </c>
      <c r="AN80">
        <v>4627502</v>
      </c>
      <c r="AO80">
        <v>4719655</v>
      </c>
      <c r="AP80">
        <v>4891348</v>
      </c>
      <c r="AQ80">
        <v>5018474</v>
      </c>
      <c r="AR80">
        <v>5078140</v>
      </c>
      <c r="AS80">
        <v>5148836</v>
      </c>
      <c r="AT80">
        <v>5311012</v>
      </c>
      <c r="AU80">
        <v>5447187</v>
      </c>
      <c r="AV80">
        <v>5513270</v>
      </c>
      <c r="AW80">
        <v>5602832</v>
      </c>
      <c r="AX80">
        <v>5781309</v>
      </c>
      <c r="AY80">
        <v>5875602</v>
      </c>
      <c r="AZ80">
        <v>5927465</v>
      </c>
      <c r="BA80">
        <v>5935049</v>
      </c>
      <c r="BB80">
        <v>5963535</v>
      </c>
      <c r="BC80">
        <v>5897373</v>
      </c>
      <c r="BD80">
        <v>5802941</v>
      </c>
      <c r="BE80">
        <v>5792225</v>
      </c>
      <c r="BF80">
        <v>5875719</v>
      </c>
      <c r="BG80">
        <v>5943477</v>
      </c>
      <c r="BH80">
        <v>5945997</v>
      </c>
      <c r="BI80">
        <v>5980439</v>
      </c>
      <c r="BJ80">
        <v>6103776</v>
      </c>
      <c r="BK80" s="77">
        <v>6217730</v>
      </c>
      <c r="BL80" s="77">
        <v>6245598</v>
      </c>
      <c r="BM80" s="77">
        <v>6283032</v>
      </c>
      <c r="BN80" s="77">
        <v>6383145</v>
      </c>
      <c r="BO80" s="112">
        <v>6408929</v>
      </c>
      <c r="BP80" s="77">
        <v>6343722</v>
      </c>
      <c r="BQ80" s="77">
        <v>6320313</v>
      </c>
      <c r="BR80" s="77">
        <v>6394013</v>
      </c>
      <c r="BS80" s="77">
        <v>6446424</v>
      </c>
      <c r="BT80" s="77">
        <v>6406568</v>
      </c>
      <c r="BU80" s="77">
        <v>6394144</v>
      </c>
      <c r="BV80" s="110">
        <v>6450772</v>
      </c>
      <c r="BW80" s="110">
        <v>6459169</v>
      </c>
      <c r="BX80" s="110">
        <v>6400267</v>
      </c>
      <c r="BY80" s="110">
        <v>6403427</v>
      </c>
      <c r="BZ80" s="110">
        <v>6477927</v>
      </c>
      <c r="CA80" s="110">
        <v>6556193</v>
      </c>
      <c r="CB80" s="110">
        <v>6566666</v>
      </c>
      <c r="CC80" s="110">
        <v>6586359</v>
      </c>
      <c r="CD80" s="110">
        <v>6614606</v>
      </c>
      <c r="CE80" s="110">
        <v>6610651</v>
      </c>
      <c r="CF80" s="110">
        <v>6522164</v>
      </c>
      <c r="CG80" s="110">
        <v>6497378</v>
      </c>
      <c r="CH80" s="110">
        <v>6554187</v>
      </c>
      <c r="CI80">
        <v>6605150</v>
      </c>
      <c r="CJ80">
        <v>6559705</v>
      </c>
      <c r="CK80">
        <v>6584064</v>
      </c>
      <c r="CL80" s="119">
        <v>6661945</v>
      </c>
      <c r="CM80">
        <v>6707094</v>
      </c>
      <c r="CN80">
        <v>6633840</v>
      </c>
      <c r="CO80">
        <v>6581049</v>
      </c>
      <c r="CP80">
        <v>6563370</v>
      </c>
      <c r="CQ80">
        <v>6570750</v>
      </c>
      <c r="CR80">
        <v>6477193</v>
      </c>
      <c r="CS80">
        <v>6437941</v>
      </c>
      <c r="CT80">
        <v>6399830</v>
      </c>
      <c r="CU80" s="174">
        <v>6379127</v>
      </c>
      <c r="CV80" s="174">
        <v>6122464</v>
      </c>
      <c r="CW80" s="174">
        <v>6100056</v>
      </c>
      <c r="CX80" s="174">
        <v>6150984</v>
      </c>
      <c r="CY80" s="174">
        <v>6237419</v>
      </c>
      <c r="CZ80" s="174">
        <v>6238692</v>
      </c>
      <c r="DA80" s="174">
        <v>6261928</v>
      </c>
      <c r="DB80" s="174">
        <v>6368244</v>
      </c>
      <c r="DC80" s="174">
        <v>6498532</v>
      </c>
      <c r="DD80" s="174">
        <v>6524355</v>
      </c>
      <c r="DE80" s="174">
        <v>6588919</v>
      </c>
      <c r="DF80" s="174">
        <v>6669998</v>
      </c>
      <c r="DG80">
        <v>6759543</v>
      </c>
    </row>
    <row r="81" spans="2:112" x14ac:dyDescent="0.25">
      <c r="D81" s="119"/>
      <c r="E81" s="119"/>
      <c r="F81" s="119"/>
      <c r="G81" s="119"/>
      <c r="H81" s="119"/>
      <c r="I81" s="119"/>
      <c r="J81" s="119"/>
      <c r="K81" s="119"/>
      <c r="L81" s="119"/>
      <c r="M81" s="119"/>
      <c r="N81" s="119"/>
      <c r="O81" s="119"/>
      <c r="P81" s="119"/>
      <c r="Q81" s="119"/>
      <c r="R81" s="119"/>
      <c r="S81" s="119"/>
      <c r="T81" s="119"/>
      <c r="U81" s="119"/>
      <c r="V81" s="119"/>
      <c r="W81" s="119"/>
      <c r="X81" s="119"/>
      <c r="Y81" s="119"/>
      <c r="Z81" s="119"/>
      <c r="AA81" s="119"/>
      <c r="AB81" s="119"/>
      <c r="AC81" s="119"/>
      <c r="AD81" s="119"/>
      <c r="AE81" s="119"/>
      <c r="AF81" s="119"/>
      <c r="AG81" s="119"/>
      <c r="AH81" s="119"/>
      <c r="AI81" s="119"/>
      <c r="AJ81" s="119"/>
      <c r="AK81" s="119"/>
      <c r="AL81" s="119"/>
      <c r="AM81" s="119"/>
      <c r="AN81" s="119"/>
      <c r="AO81" s="119"/>
      <c r="AP81" s="119"/>
      <c r="AQ81" s="119"/>
      <c r="AR81" s="119"/>
      <c r="AS81" s="119"/>
      <c r="AT81" s="119"/>
      <c r="AU81" s="119"/>
      <c r="AV81" s="119"/>
      <c r="AW81" s="119"/>
      <c r="AX81" s="119"/>
      <c r="AY81" s="119"/>
      <c r="AZ81" s="119"/>
      <c r="BA81" s="119"/>
      <c r="BB81" s="119"/>
      <c r="BC81" s="119"/>
      <c r="BD81" s="119"/>
      <c r="BE81" s="119"/>
      <c r="BF81" s="119"/>
      <c r="BG81" s="119"/>
      <c r="BH81" s="119"/>
      <c r="BI81" s="119"/>
      <c r="BJ81" s="119"/>
      <c r="BK81" s="119"/>
      <c r="BL81" s="119"/>
      <c r="BM81" s="119"/>
      <c r="BN81" s="119"/>
      <c r="BO81" s="119"/>
      <c r="BP81" s="119"/>
      <c r="BQ81" s="119"/>
      <c r="BR81" s="119"/>
      <c r="BS81" s="119"/>
      <c r="BT81" s="119"/>
      <c r="BU81" s="119"/>
      <c r="BV81" s="119"/>
      <c r="BW81" s="119"/>
      <c r="BX81" s="119"/>
      <c r="BY81" s="119"/>
      <c r="BZ81" s="119"/>
      <c r="CA81" s="119"/>
      <c r="CB81" s="119"/>
      <c r="CC81" s="119"/>
      <c r="CD81" s="119"/>
      <c r="CE81" s="119"/>
      <c r="CF81" s="119"/>
      <c r="CG81" s="119"/>
      <c r="CH81" s="119"/>
      <c r="CI81" s="119"/>
      <c r="CJ81" s="119"/>
      <c r="CK81" s="119"/>
    </row>
    <row r="82" spans="2:112" x14ac:dyDescent="0.25">
      <c r="C82" s="77">
        <f>+C77-C80</f>
        <v>-2981733</v>
      </c>
      <c r="D82" s="77">
        <f t="shared" ref="D82:BN82" si="0">+D77-D80</f>
        <v>-3014601</v>
      </c>
      <c r="E82" s="77">
        <f t="shared" si="0"/>
        <v>-3073812</v>
      </c>
      <c r="F82" s="77">
        <f t="shared" si="0"/>
        <v>-3170414</v>
      </c>
      <c r="G82" s="77">
        <f t="shared" si="0"/>
        <v>-3284749</v>
      </c>
      <c r="H82" s="77">
        <f t="shared" si="0"/>
        <v>-3351995</v>
      </c>
      <c r="I82" s="77">
        <f t="shared" si="0"/>
        <v>-3433219</v>
      </c>
      <c r="J82" s="77">
        <f t="shared" si="0"/>
        <v>-3520465</v>
      </c>
      <c r="K82" s="77">
        <f t="shared" si="0"/>
        <v>-3562316</v>
      </c>
      <c r="L82" s="77">
        <f t="shared" si="0"/>
        <v>-3535888</v>
      </c>
      <c r="M82" s="77">
        <f t="shared" si="0"/>
        <v>-3524559</v>
      </c>
      <c r="N82" s="77">
        <f t="shared" si="0"/>
        <v>-3521088</v>
      </c>
      <c r="O82" s="77">
        <f t="shared" si="0"/>
        <v>-3484474</v>
      </c>
      <c r="P82" s="77">
        <f t="shared" si="0"/>
        <v>-3428412</v>
      </c>
      <c r="Q82" s="77">
        <f t="shared" si="0"/>
        <v>-3364345</v>
      </c>
      <c r="R82" s="77">
        <f t="shared" si="0"/>
        <v>-3374682</v>
      </c>
      <c r="S82" s="77" t="e">
        <f t="shared" si="0"/>
        <v>#REF!</v>
      </c>
      <c r="T82" s="77" t="e">
        <f t="shared" si="0"/>
        <v>#REF!</v>
      </c>
      <c r="U82" s="77" t="e">
        <f t="shared" si="0"/>
        <v>#REF!</v>
      </c>
      <c r="V82" s="77" t="e">
        <f t="shared" si="0"/>
        <v>#REF!</v>
      </c>
      <c r="W82" s="77" t="e">
        <f t="shared" si="0"/>
        <v>#REF!</v>
      </c>
      <c r="X82" s="77" t="e">
        <f t="shared" si="0"/>
        <v>#REF!</v>
      </c>
      <c r="Y82" s="77" t="e">
        <f t="shared" si="0"/>
        <v>#REF!</v>
      </c>
      <c r="Z82" s="77" t="e">
        <f t="shared" si="0"/>
        <v>#REF!</v>
      </c>
      <c r="AA82" s="77" t="e">
        <f t="shared" si="0"/>
        <v>#REF!</v>
      </c>
      <c r="AB82" s="77" t="e">
        <f t="shared" si="0"/>
        <v>#REF!</v>
      </c>
      <c r="AC82" s="77" t="e">
        <f t="shared" si="0"/>
        <v>#REF!</v>
      </c>
      <c r="AD82" s="77" t="e">
        <f t="shared" si="0"/>
        <v>#REF!</v>
      </c>
      <c r="AE82" s="77" t="e">
        <f t="shared" si="0"/>
        <v>#REF!</v>
      </c>
      <c r="AF82" s="77" t="e">
        <f t="shared" si="0"/>
        <v>#REF!</v>
      </c>
      <c r="AG82" s="77" t="e">
        <f t="shared" si="0"/>
        <v>#REF!</v>
      </c>
      <c r="AH82" s="77" t="e">
        <f t="shared" si="0"/>
        <v>#REF!</v>
      </c>
      <c r="AI82" s="77" t="e">
        <f t="shared" si="0"/>
        <v>#REF!</v>
      </c>
      <c r="AJ82" s="77" t="e">
        <f t="shared" si="0"/>
        <v>#REF!</v>
      </c>
      <c r="AK82" s="77" t="e">
        <f t="shared" si="0"/>
        <v>#REF!</v>
      </c>
      <c r="AL82" s="77" t="e">
        <f t="shared" si="0"/>
        <v>#REF!</v>
      </c>
      <c r="AM82" s="77" t="e">
        <f t="shared" si="0"/>
        <v>#REF!</v>
      </c>
      <c r="AN82" s="77" t="e">
        <f t="shared" si="0"/>
        <v>#REF!</v>
      </c>
      <c r="AO82" s="77" t="e">
        <f t="shared" si="0"/>
        <v>#REF!</v>
      </c>
      <c r="AP82" s="77" t="e">
        <f t="shared" si="0"/>
        <v>#REF!</v>
      </c>
      <c r="AQ82" s="77" t="e">
        <f t="shared" si="0"/>
        <v>#REF!</v>
      </c>
      <c r="AR82" s="77" t="e">
        <f t="shared" si="0"/>
        <v>#REF!</v>
      </c>
      <c r="AS82" s="77" t="e">
        <f t="shared" si="0"/>
        <v>#REF!</v>
      </c>
      <c r="AT82" s="77" t="e">
        <f t="shared" si="0"/>
        <v>#REF!</v>
      </c>
      <c r="AU82" s="77" t="e">
        <f t="shared" si="0"/>
        <v>#REF!</v>
      </c>
      <c r="AV82" s="77" t="e">
        <f t="shared" si="0"/>
        <v>#REF!</v>
      </c>
      <c r="AW82" s="77" t="e">
        <f t="shared" si="0"/>
        <v>#REF!</v>
      </c>
      <c r="AX82" s="77" t="e">
        <f t="shared" si="0"/>
        <v>#REF!</v>
      </c>
      <c r="AY82" s="77" t="e">
        <f t="shared" si="0"/>
        <v>#REF!</v>
      </c>
      <c r="AZ82" s="77" t="e">
        <f t="shared" si="0"/>
        <v>#REF!</v>
      </c>
      <c r="BA82" s="77" t="e">
        <f t="shared" si="0"/>
        <v>#REF!</v>
      </c>
      <c r="BB82" s="77" t="e">
        <f t="shared" si="0"/>
        <v>#REF!</v>
      </c>
      <c r="BC82" s="77" t="e">
        <f t="shared" si="0"/>
        <v>#REF!</v>
      </c>
      <c r="BD82" s="77" t="e">
        <f t="shared" si="0"/>
        <v>#REF!</v>
      </c>
      <c r="BE82" s="77" t="e">
        <f t="shared" si="0"/>
        <v>#REF!</v>
      </c>
      <c r="BF82" s="77" t="e">
        <f t="shared" si="0"/>
        <v>#REF!</v>
      </c>
      <c r="BG82" s="77" t="e">
        <f t="shared" si="0"/>
        <v>#REF!</v>
      </c>
      <c r="BH82" s="77" t="e">
        <f t="shared" si="0"/>
        <v>#REF!</v>
      </c>
      <c r="BI82" s="77" t="e">
        <f t="shared" si="0"/>
        <v>#REF!</v>
      </c>
      <c r="BJ82" s="77" t="e">
        <f t="shared" si="0"/>
        <v>#REF!</v>
      </c>
      <c r="BK82" s="77" t="e">
        <f t="shared" si="0"/>
        <v>#REF!</v>
      </c>
      <c r="BL82" s="77" t="e">
        <f t="shared" si="0"/>
        <v>#REF!</v>
      </c>
      <c r="BM82" s="77" t="e">
        <f t="shared" si="0"/>
        <v>#REF!</v>
      </c>
      <c r="BN82" s="77" t="e">
        <f t="shared" si="0"/>
        <v>#REF!</v>
      </c>
      <c r="BO82" s="77" t="e">
        <f t="shared" ref="BO82:CE82" si="1">+BO77-BO80</f>
        <v>#REF!</v>
      </c>
      <c r="BP82" s="77" t="e">
        <f t="shared" si="1"/>
        <v>#REF!</v>
      </c>
      <c r="BQ82" s="77" t="e">
        <f t="shared" si="1"/>
        <v>#REF!</v>
      </c>
      <c r="BR82" s="77" t="e">
        <f t="shared" si="1"/>
        <v>#REF!</v>
      </c>
      <c r="BS82" s="77" t="e">
        <f t="shared" si="1"/>
        <v>#REF!</v>
      </c>
      <c r="BT82" s="77" t="e">
        <f t="shared" si="1"/>
        <v>#REF!</v>
      </c>
      <c r="BU82" s="77" t="e">
        <f t="shared" si="1"/>
        <v>#REF!</v>
      </c>
      <c r="BV82" s="77" t="e">
        <f t="shared" si="1"/>
        <v>#REF!</v>
      </c>
      <c r="BW82" s="77" t="e">
        <f t="shared" si="1"/>
        <v>#REF!</v>
      </c>
      <c r="BX82" s="77" t="e">
        <f t="shared" si="1"/>
        <v>#REF!</v>
      </c>
      <c r="BY82" s="77" t="e">
        <f t="shared" si="1"/>
        <v>#REF!</v>
      </c>
      <c r="BZ82" s="77" t="e">
        <f t="shared" si="1"/>
        <v>#REF!</v>
      </c>
      <c r="CA82" s="77" t="e">
        <f t="shared" si="1"/>
        <v>#REF!</v>
      </c>
      <c r="CB82" s="77" t="e">
        <f t="shared" si="1"/>
        <v>#REF!</v>
      </c>
      <c r="CC82" s="77" t="e">
        <f t="shared" si="1"/>
        <v>#REF!</v>
      </c>
      <c r="CD82" s="77" t="e">
        <f t="shared" si="1"/>
        <v>#REF!</v>
      </c>
      <c r="CE82" s="77" t="e">
        <f t="shared" si="1"/>
        <v>#REF!</v>
      </c>
      <c r="CF82" s="77" t="e">
        <f>+CF77-CF80</f>
        <v>#REF!</v>
      </c>
      <c r="CG82" s="77" t="e">
        <f t="shared" ref="CG82:CK82" si="2">+CG77-CG80</f>
        <v>#REF!</v>
      </c>
      <c r="CH82" s="77" t="e">
        <f t="shared" si="2"/>
        <v>#REF!</v>
      </c>
      <c r="CI82" s="77" t="e">
        <f t="shared" si="2"/>
        <v>#REF!</v>
      </c>
      <c r="CJ82" s="77" t="e">
        <f t="shared" si="2"/>
        <v>#REF!</v>
      </c>
      <c r="CK82" s="77" t="e">
        <f t="shared" si="2"/>
        <v>#REF!</v>
      </c>
      <c r="CL82" s="77" t="e">
        <f t="shared" ref="CL82:CT82" si="3">+CL77-CL80</f>
        <v>#REF!</v>
      </c>
      <c r="CM82" s="77" t="e">
        <f t="shared" si="3"/>
        <v>#REF!</v>
      </c>
      <c r="CN82" s="77" t="e">
        <f t="shared" si="3"/>
        <v>#REF!</v>
      </c>
      <c r="CO82" s="77" t="e">
        <f t="shared" si="3"/>
        <v>#REF!</v>
      </c>
      <c r="CP82" s="77" t="e">
        <f t="shared" si="3"/>
        <v>#REF!</v>
      </c>
      <c r="CQ82" s="77" t="e">
        <f t="shared" si="3"/>
        <v>#REF!</v>
      </c>
      <c r="CR82" s="77" t="e">
        <f t="shared" si="3"/>
        <v>#REF!</v>
      </c>
      <c r="CS82" s="77" t="e">
        <f t="shared" si="3"/>
        <v>#REF!</v>
      </c>
      <c r="CT82" s="77" t="e">
        <f t="shared" si="3"/>
        <v>#REF!</v>
      </c>
      <c r="CU82" s="77" t="e">
        <f t="shared" ref="CU82:CV82" si="4">+CU77-CU80</f>
        <v>#REF!</v>
      </c>
      <c r="CV82" s="77" t="e">
        <f t="shared" si="4"/>
        <v>#REF!</v>
      </c>
      <c r="CW82" s="77" t="e">
        <f t="shared" ref="CW82" si="5">+CW77-CW80</f>
        <v>#REF!</v>
      </c>
      <c r="CX82" s="77" t="e">
        <f t="shared" ref="CX82" si="6">+CX77-CX80</f>
        <v>#REF!</v>
      </c>
      <c r="CY82" s="77" t="e">
        <f t="shared" ref="CY82" si="7">+CY77-CY80</f>
        <v>#REF!</v>
      </c>
      <c r="CZ82" s="77" t="e">
        <f t="shared" ref="CZ82:DA82" si="8">+CZ77-CZ80</f>
        <v>#REF!</v>
      </c>
      <c r="DA82" s="77" t="e">
        <f t="shared" si="8"/>
        <v>#REF!</v>
      </c>
      <c r="DB82" s="77" t="e">
        <f t="shared" ref="DB82:DC82" si="9">+DB77-DB80</f>
        <v>#REF!</v>
      </c>
      <c r="DC82" s="77" t="e">
        <f t="shared" si="9"/>
        <v>#REF!</v>
      </c>
      <c r="DD82" s="77" t="e">
        <f t="shared" ref="DD82" si="10">+DD77-DD80</f>
        <v>#REF!</v>
      </c>
      <c r="DE82" s="77" t="e">
        <f t="shared" ref="DE82:DG82" si="11">+DE77-DE80</f>
        <v>#REF!</v>
      </c>
      <c r="DF82" s="77">
        <f t="shared" si="11"/>
        <v>-6030511</v>
      </c>
      <c r="DG82" s="77">
        <f t="shared" si="11"/>
        <v>-6149889</v>
      </c>
      <c r="DH82" s="77"/>
    </row>
    <row r="83" spans="2:112" x14ac:dyDescent="0.25">
      <c r="B83" t="s">
        <v>293</v>
      </c>
      <c r="C83" s="110">
        <f>+C82/C77</f>
        <v>-6.7385776305292584</v>
      </c>
      <c r="D83" s="110">
        <f t="shared" ref="D83:BO83" si="12">+D82/D77</f>
        <v>-6.6866019581139291</v>
      </c>
      <c r="E83" s="110">
        <f t="shared" si="12"/>
        <v>-6.7626014507261329</v>
      </c>
      <c r="F83" s="110">
        <f t="shared" si="12"/>
        <v>-6.94507752498368</v>
      </c>
      <c r="G83" s="110">
        <f t="shared" si="12"/>
        <v>-7.4703981332811766</v>
      </c>
      <c r="H83" s="110">
        <f t="shared" si="12"/>
        <v>-7.9085769966709369</v>
      </c>
      <c r="I83" s="110">
        <f t="shared" si="12"/>
        <v>-8.533510471711713</v>
      </c>
      <c r="J83" s="110">
        <f t="shared" si="12"/>
        <v>-8.1401046050258508</v>
      </c>
      <c r="K83" s="110">
        <f t="shared" si="12"/>
        <v>-7.2117061399335576</v>
      </c>
      <c r="L83" s="110">
        <f t="shared" si="12"/>
        <v>-6.6380585316584968</v>
      </c>
      <c r="M83" s="110">
        <f t="shared" si="12"/>
        <v>-6.2001773208716164</v>
      </c>
      <c r="N83" s="110">
        <f t="shared" si="12"/>
        <v>-5.8922158093520061</v>
      </c>
      <c r="O83" s="110">
        <f t="shared" si="12"/>
        <v>-5.6200921608443828</v>
      </c>
      <c r="P83" s="110">
        <f t="shared" si="12"/>
        <v>-5.4970954516520569</v>
      </c>
      <c r="Q83" s="110">
        <f t="shared" si="12"/>
        <v>-5.1967102204359286</v>
      </c>
      <c r="R83" s="110">
        <f t="shared" si="12"/>
        <v>-5.1899181530455003</v>
      </c>
      <c r="S83" s="110" t="e">
        <f t="shared" si="12"/>
        <v>#REF!</v>
      </c>
      <c r="T83" s="110" t="e">
        <f t="shared" si="12"/>
        <v>#REF!</v>
      </c>
      <c r="U83" s="110" t="e">
        <f t="shared" si="12"/>
        <v>#REF!</v>
      </c>
      <c r="V83" s="110" t="e">
        <f t="shared" si="12"/>
        <v>#REF!</v>
      </c>
      <c r="W83" s="110" t="e">
        <f t="shared" si="12"/>
        <v>#REF!</v>
      </c>
      <c r="X83" s="110" t="e">
        <f t="shared" si="12"/>
        <v>#REF!</v>
      </c>
      <c r="Y83" s="110" t="e">
        <f t="shared" si="12"/>
        <v>#REF!</v>
      </c>
      <c r="Z83" s="110" t="e">
        <f t="shared" si="12"/>
        <v>#REF!</v>
      </c>
      <c r="AA83" s="110" t="e">
        <f t="shared" si="12"/>
        <v>#REF!</v>
      </c>
      <c r="AB83" s="110" t="e">
        <f t="shared" si="12"/>
        <v>#REF!</v>
      </c>
      <c r="AC83" s="110" t="e">
        <f t="shared" si="12"/>
        <v>#REF!</v>
      </c>
      <c r="AD83" s="110" t="e">
        <f t="shared" si="12"/>
        <v>#REF!</v>
      </c>
      <c r="AE83" s="110" t="e">
        <f t="shared" si="12"/>
        <v>#REF!</v>
      </c>
      <c r="AF83" s="110" t="e">
        <f t="shared" si="12"/>
        <v>#REF!</v>
      </c>
      <c r="AG83" s="110" t="e">
        <f t="shared" si="12"/>
        <v>#REF!</v>
      </c>
      <c r="AH83" s="110" t="e">
        <f t="shared" si="12"/>
        <v>#REF!</v>
      </c>
      <c r="AI83" s="110" t="e">
        <f t="shared" si="12"/>
        <v>#REF!</v>
      </c>
      <c r="AJ83" s="110" t="e">
        <f t="shared" si="12"/>
        <v>#REF!</v>
      </c>
      <c r="AK83" s="110" t="e">
        <f t="shared" si="12"/>
        <v>#REF!</v>
      </c>
      <c r="AL83" s="110" t="e">
        <f t="shared" si="12"/>
        <v>#REF!</v>
      </c>
      <c r="AM83" s="110" t="e">
        <f t="shared" si="12"/>
        <v>#REF!</v>
      </c>
      <c r="AN83" s="110" t="e">
        <f t="shared" si="12"/>
        <v>#REF!</v>
      </c>
      <c r="AO83" s="110" t="e">
        <f t="shared" si="12"/>
        <v>#REF!</v>
      </c>
      <c r="AP83" s="110" t="e">
        <f t="shared" si="12"/>
        <v>#REF!</v>
      </c>
      <c r="AQ83" s="110" t="e">
        <f t="shared" si="12"/>
        <v>#REF!</v>
      </c>
      <c r="AR83" s="110" t="e">
        <f t="shared" si="12"/>
        <v>#REF!</v>
      </c>
      <c r="AS83" s="110" t="e">
        <f t="shared" si="12"/>
        <v>#REF!</v>
      </c>
      <c r="AT83" s="110" t="e">
        <f t="shared" si="12"/>
        <v>#REF!</v>
      </c>
      <c r="AU83" s="110" t="e">
        <f t="shared" si="12"/>
        <v>#REF!</v>
      </c>
      <c r="AV83" s="110" t="e">
        <f t="shared" si="12"/>
        <v>#REF!</v>
      </c>
      <c r="AW83" s="110" t="e">
        <f t="shared" si="12"/>
        <v>#REF!</v>
      </c>
      <c r="AX83" s="110" t="e">
        <f t="shared" si="12"/>
        <v>#REF!</v>
      </c>
      <c r="AY83" s="110" t="e">
        <f t="shared" si="12"/>
        <v>#REF!</v>
      </c>
      <c r="AZ83" s="110" t="e">
        <f t="shared" si="12"/>
        <v>#REF!</v>
      </c>
      <c r="BA83" s="110" t="e">
        <f t="shared" si="12"/>
        <v>#REF!</v>
      </c>
      <c r="BB83" s="110" t="e">
        <f t="shared" si="12"/>
        <v>#REF!</v>
      </c>
      <c r="BC83" s="110" t="e">
        <f t="shared" si="12"/>
        <v>#REF!</v>
      </c>
      <c r="BD83" s="110" t="e">
        <f t="shared" si="12"/>
        <v>#REF!</v>
      </c>
      <c r="BE83" s="110" t="e">
        <f t="shared" si="12"/>
        <v>#REF!</v>
      </c>
      <c r="BF83" s="110" t="e">
        <f t="shared" si="12"/>
        <v>#REF!</v>
      </c>
      <c r="BG83" s="110" t="e">
        <f t="shared" si="12"/>
        <v>#REF!</v>
      </c>
      <c r="BH83" s="110" t="e">
        <f t="shared" si="12"/>
        <v>#REF!</v>
      </c>
      <c r="BI83" s="110" t="e">
        <f t="shared" si="12"/>
        <v>#REF!</v>
      </c>
      <c r="BJ83" s="110" t="e">
        <f t="shared" si="12"/>
        <v>#REF!</v>
      </c>
      <c r="BK83" s="110" t="e">
        <f t="shared" si="12"/>
        <v>#REF!</v>
      </c>
      <c r="BL83" s="110" t="e">
        <f t="shared" si="12"/>
        <v>#REF!</v>
      </c>
      <c r="BM83" s="110" t="e">
        <f t="shared" si="12"/>
        <v>#REF!</v>
      </c>
      <c r="BN83" s="110" t="e">
        <f t="shared" si="12"/>
        <v>#REF!</v>
      </c>
      <c r="BO83" s="110" t="e">
        <f t="shared" si="12"/>
        <v>#REF!</v>
      </c>
      <c r="BP83" s="110" t="e">
        <f t="shared" ref="BP83:CK83" si="13">+BP82/BP77</f>
        <v>#REF!</v>
      </c>
      <c r="BQ83" s="110" t="e">
        <f t="shared" si="13"/>
        <v>#REF!</v>
      </c>
      <c r="BR83" s="110" t="e">
        <f t="shared" si="13"/>
        <v>#REF!</v>
      </c>
      <c r="BS83" s="110" t="e">
        <f t="shared" si="13"/>
        <v>#REF!</v>
      </c>
      <c r="BT83" s="110" t="e">
        <f t="shared" si="13"/>
        <v>#REF!</v>
      </c>
      <c r="BU83" s="110" t="e">
        <f t="shared" si="13"/>
        <v>#REF!</v>
      </c>
      <c r="BV83" s="110" t="e">
        <f t="shared" si="13"/>
        <v>#REF!</v>
      </c>
      <c r="BW83" s="110" t="e">
        <f t="shared" si="13"/>
        <v>#REF!</v>
      </c>
      <c r="BX83" s="110" t="e">
        <f t="shared" si="13"/>
        <v>#REF!</v>
      </c>
      <c r="BY83" s="110" t="e">
        <f t="shared" si="13"/>
        <v>#REF!</v>
      </c>
      <c r="BZ83" s="110" t="e">
        <f t="shared" si="13"/>
        <v>#REF!</v>
      </c>
      <c r="CA83" s="110" t="e">
        <f t="shared" si="13"/>
        <v>#REF!</v>
      </c>
      <c r="CB83" s="110" t="e">
        <f t="shared" si="13"/>
        <v>#REF!</v>
      </c>
      <c r="CC83" s="110" t="e">
        <f t="shared" si="13"/>
        <v>#REF!</v>
      </c>
      <c r="CD83" s="110" t="e">
        <f t="shared" si="13"/>
        <v>#REF!</v>
      </c>
      <c r="CE83" s="110" t="e">
        <f t="shared" si="13"/>
        <v>#REF!</v>
      </c>
      <c r="CF83" s="110" t="e">
        <f t="shared" si="13"/>
        <v>#REF!</v>
      </c>
      <c r="CG83" s="110" t="e">
        <f t="shared" si="13"/>
        <v>#REF!</v>
      </c>
      <c r="CH83" s="110" t="e">
        <f t="shared" si="13"/>
        <v>#REF!</v>
      </c>
      <c r="CI83" s="110" t="e">
        <f t="shared" si="13"/>
        <v>#REF!</v>
      </c>
      <c r="CJ83" s="110" t="e">
        <f t="shared" si="13"/>
        <v>#REF!</v>
      </c>
      <c r="CK83" s="110" t="e">
        <f t="shared" si="13"/>
        <v>#REF!</v>
      </c>
      <c r="CL83" s="110" t="e">
        <f t="shared" ref="CL83:CT83" si="14">+CL82/CL77</f>
        <v>#REF!</v>
      </c>
      <c r="CM83" s="110" t="e">
        <f t="shared" si="14"/>
        <v>#REF!</v>
      </c>
      <c r="CN83" s="110" t="e">
        <f t="shared" si="14"/>
        <v>#REF!</v>
      </c>
      <c r="CO83" s="110" t="e">
        <f t="shared" si="14"/>
        <v>#REF!</v>
      </c>
      <c r="CP83" s="110" t="e">
        <f t="shared" si="14"/>
        <v>#REF!</v>
      </c>
      <c r="CQ83" s="110" t="e">
        <f t="shared" si="14"/>
        <v>#REF!</v>
      </c>
      <c r="CR83" s="110" t="e">
        <f t="shared" si="14"/>
        <v>#REF!</v>
      </c>
      <c r="CS83" s="110" t="e">
        <f t="shared" si="14"/>
        <v>#REF!</v>
      </c>
      <c r="CT83" s="110" t="e">
        <f t="shared" si="14"/>
        <v>#REF!</v>
      </c>
      <c r="CU83" s="110" t="e">
        <f t="shared" ref="CU83:CV83" si="15">+CU82/CU77</f>
        <v>#REF!</v>
      </c>
      <c r="CV83" s="110" t="e">
        <f t="shared" si="15"/>
        <v>#REF!</v>
      </c>
      <c r="CW83" s="110" t="e">
        <f t="shared" ref="CW83" si="16">+CW82/CW77</f>
        <v>#REF!</v>
      </c>
      <c r="CX83" s="110" t="e">
        <f t="shared" ref="CX83" si="17">+CX82/CX77</f>
        <v>#REF!</v>
      </c>
      <c r="CY83" s="110" t="e">
        <f t="shared" ref="CY83" si="18">+CY82/CY77</f>
        <v>#REF!</v>
      </c>
      <c r="CZ83" s="110" t="e">
        <f t="shared" ref="CZ83:DA83" si="19">+CZ82/CZ77</f>
        <v>#REF!</v>
      </c>
      <c r="DA83" s="110" t="e">
        <f t="shared" si="19"/>
        <v>#REF!</v>
      </c>
      <c r="DB83" s="110" t="e">
        <f t="shared" ref="DB83" si="20">+DB82/DB77</f>
        <v>#REF!</v>
      </c>
      <c r="DC83" s="110" t="e">
        <f t="shared" ref="DC83" si="21">+DC82/DC77</f>
        <v>#REF!</v>
      </c>
      <c r="DD83" s="110" t="e">
        <f t="shared" ref="DD83:DG83" si="22">+DD82/DD77</f>
        <v>#REF!</v>
      </c>
      <c r="DE83" s="110" t="e">
        <f t="shared" si="22"/>
        <v>#REF!</v>
      </c>
      <c r="DF83" s="110">
        <f t="shared" si="22"/>
        <v>-9.4302323581245595</v>
      </c>
      <c r="DG83" s="110">
        <f t="shared" si="22"/>
        <v>-10.087507012174118</v>
      </c>
      <c r="DH83" s="110"/>
    </row>
    <row r="84" spans="2:112" x14ac:dyDescent="0.25">
      <c r="BO84" s="114"/>
      <c r="BV84" s="116"/>
      <c r="BW84" s="134"/>
      <c r="BX84" s="134"/>
      <c r="BY84" s="134"/>
      <c r="BZ84" s="134"/>
      <c r="CA84" s="134"/>
      <c r="CB84" s="134"/>
      <c r="CC84" s="134"/>
      <c r="CD84" s="134"/>
      <c r="CE84" s="134"/>
      <c r="CF84" s="134"/>
      <c r="CG84" s="134"/>
      <c r="CH84" s="134"/>
      <c r="CI84" s="135"/>
      <c r="CJ84" s="116"/>
      <c r="CK84" s="116"/>
      <c r="CL84" s="116"/>
      <c r="CM84" s="116"/>
      <c r="CN84" s="116"/>
      <c r="CO84" s="116"/>
      <c r="CP84" s="116"/>
      <c r="CQ84" s="116"/>
      <c r="CR84" s="116"/>
      <c r="CS84" s="116"/>
      <c r="DG84" s="174"/>
    </row>
    <row r="85" spans="2:112" x14ac:dyDescent="0.25">
      <c r="BL85" s="116"/>
      <c r="BM85" s="116"/>
      <c r="BN85" s="116"/>
      <c r="BO85" s="116"/>
      <c r="BP85" s="116"/>
      <c r="BQ85" s="116"/>
      <c r="BR85" s="116"/>
      <c r="BS85" s="116"/>
      <c r="BT85" s="116"/>
      <c r="BU85" s="116"/>
      <c r="BV85" s="116"/>
      <c r="BW85" s="136"/>
      <c r="BX85" s="136"/>
      <c r="BY85" s="136"/>
      <c r="BZ85" s="136"/>
      <c r="CA85" s="136"/>
      <c r="CB85" s="110" t="e">
        <f t="shared" ref="CB85" si="23">CB77/BX77-1</f>
        <v>#REF!</v>
      </c>
      <c r="CC85" s="110" t="e">
        <f t="shared" ref="CC85" si="24">CC77/BY77-1</f>
        <v>#REF!</v>
      </c>
      <c r="CD85" s="110" t="e">
        <f t="shared" ref="CD85" si="25">CD77/BZ77-1</f>
        <v>#REF!</v>
      </c>
      <c r="CE85" s="110" t="e">
        <f t="shared" ref="CE85" si="26">CE77/CA77-1</f>
        <v>#REF!</v>
      </c>
      <c r="CF85" s="110" t="e">
        <f t="shared" ref="CF85" si="27">CF77/CB77-1</f>
        <v>#REF!</v>
      </c>
      <c r="CG85" s="110" t="e">
        <f t="shared" ref="CG85" si="28">CG77/CC77-1</f>
        <v>#REF!</v>
      </c>
      <c r="CH85" s="110" t="e">
        <f t="shared" ref="CH85" si="29">CH77/CD77-1</f>
        <v>#REF!</v>
      </c>
      <c r="CI85" s="110" t="e">
        <f t="shared" ref="CI85" si="30">CI77/CE77-1</f>
        <v>#REF!</v>
      </c>
      <c r="CJ85" s="110" t="e">
        <f t="shared" ref="CJ85" si="31">CJ77/CF77-1</f>
        <v>#REF!</v>
      </c>
      <c r="CK85" s="110" t="e">
        <f t="shared" ref="CK85:CU85" si="32">CK77/CG77-1</f>
        <v>#REF!</v>
      </c>
      <c r="CL85" s="110" t="e">
        <f t="shared" si="32"/>
        <v>#REF!</v>
      </c>
      <c r="CM85" s="110" t="e">
        <f t="shared" si="32"/>
        <v>#REF!</v>
      </c>
      <c r="CN85" s="110" t="e">
        <f t="shared" si="32"/>
        <v>#REF!</v>
      </c>
      <c r="CO85" s="110" t="e">
        <f t="shared" si="32"/>
        <v>#REF!</v>
      </c>
      <c r="CP85" s="110" t="e">
        <f t="shared" si="32"/>
        <v>#REF!</v>
      </c>
      <c r="CQ85" s="110" t="e">
        <f t="shared" si="32"/>
        <v>#REF!</v>
      </c>
      <c r="CR85" s="110" t="e">
        <f t="shared" si="32"/>
        <v>#REF!</v>
      </c>
      <c r="CS85" s="110" t="e">
        <f t="shared" si="32"/>
        <v>#REF!</v>
      </c>
      <c r="CT85" s="110" t="e">
        <f t="shared" si="32"/>
        <v>#REF!</v>
      </c>
      <c r="CU85" s="110" t="e">
        <f t="shared" si="32"/>
        <v>#REF!</v>
      </c>
      <c r="CV85" s="110" t="e">
        <f t="shared" ref="CV85" si="33">CV77/CR77-1</f>
        <v>#REF!</v>
      </c>
      <c r="CW85" s="110" t="e">
        <f t="shared" ref="CW85" si="34">CW77/CS77-1</f>
        <v>#REF!</v>
      </c>
      <c r="CX85" s="110" t="e">
        <f>CX77/CT77-1</f>
        <v>#REF!</v>
      </c>
      <c r="CY85" s="110" t="e">
        <f t="shared" ref="CY85" si="35">CY77/CU77-1</f>
        <v>#REF!</v>
      </c>
      <c r="CZ85" s="110" t="e">
        <f t="shared" ref="CZ85" si="36">CZ77/CV77-1</f>
        <v>#REF!</v>
      </c>
      <c r="DA85" s="110" t="e">
        <f t="shared" ref="DA85" si="37">DA77/CW77-1</f>
        <v>#REF!</v>
      </c>
      <c r="DB85" s="110" t="e">
        <f t="shared" ref="DB85" si="38">DB77/CX77-1</f>
        <v>#REF!</v>
      </c>
      <c r="DC85" s="110" t="e">
        <f t="shared" ref="DC85" si="39">DC77/CY77-1</f>
        <v>#REF!</v>
      </c>
      <c r="DD85" s="110" t="e">
        <f t="shared" ref="DD85" si="40">DD77/CZ77-1</f>
        <v>#REF!</v>
      </c>
      <c r="DE85" s="110" t="e">
        <f t="shared" ref="DE85" si="41">DE77/DA77-1</f>
        <v>#REF!</v>
      </c>
      <c r="DF85" s="110" t="e">
        <f t="shared" ref="DF85" si="42">DF77/DB77-1</f>
        <v>#REF!</v>
      </c>
      <c r="DG85" s="110" t="e">
        <f t="shared" ref="DG85" si="43">DG77/DC77-1</f>
        <v>#REF!</v>
      </c>
    </row>
    <row r="86" spans="2:112" x14ac:dyDescent="0.25">
      <c r="BL86" s="116"/>
      <c r="BM86" s="116"/>
      <c r="BN86" s="116"/>
      <c r="BO86" s="117"/>
      <c r="BP86" s="117"/>
      <c r="BQ86" s="117"/>
      <c r="BR86" s="117"/>
      <c r="BS86" s="117"/>
      <c r="BT86" s="117"/>
      <c r="BU86" s="117"/>
      <c r="BV86" s="117"/>
      <c r="BW86" s="120"/>
      <c r="BX86" s="120"/>
      <c r="BY86" s="120"/>
      <c r="BZ86" s="120"/>
      <c r="CA86" s="120"/>
      <c r="CB86" s="110">
        <f t="shared" ref="CB86" si="44">CB80/BX80-1</f>
        <v>2.5998759114268299E-2</v>
      </c>
      <c r="CC86" s="110">
        <f t="shared" ref="CC86" si="45">CC80/BY80-1</f>
        <v>2.8567827820946468E-2</v>
      </c>
      <c r="CD86" s="110">
        <f t="shared" ref="CD86" si="46">CD80/BZ80-1</f>
        <v>2.1099188058155027E-2</v>
      </c>
      <c r="CE86" s="110">
        <f t="shared" ref="CE86" si="47">CE80/CA80-1</f>
        <v>8.3063448559248521E-3</v>
      </c>
      <c r="CF86" s="110">
        <f t="shared" ref="CF86" si="48">CF80/CB80-1</f>
        <v>-6.7769550027365622E-3</v>
      </c>
      <c r="CG86" s="110">
        <f t="shared" ref="CG86" si="49">CG80/CC80-1</f>
        <v>-1.3509892187777761E-2</v>
      </c>
      <c r="CH86" s="110">
        <f t="shared" ref="CH86" si="50">CH80/CD80-1</f>
        <v>-9.1341797228738919E-3</v>
      </c>
      <c r="CI86" s="110">
        <f t="shared" ref="CI86" si="51">CI80/CE80-1</f>
        <v>-8.3214194789593687E-4</v>
      </c>
      <c r="CJ86" s="110">
        <f t="shared" ref="CJ86" si="52">CJ80/CF80-1</f>
        <v>5.7559116882066608E-3</v>
      </c>
      <c r="CK86" s="110">
        <f t="shared" ref="CK86:CU86" si="53">CK80/CG80-1</f>
        <v>1.3341689524605238E-2</v>
      </c>
      <c r="CL86" s="110">
        <f t="shared" si="53"/>
        <v>1.6441093304173426E-2</v>
      </c>
      <c r="CM86" s="110">
        <f t="shared" si="53"/>
        <v>1.5434017395517197E-2</v>
      </c>
      <c r="CN86" s="110">
        <f t="shared" si="53"/>
        <v>1.1301575299498934E-2</v>
      </c>
      <c r="CO86" s="110">
        <f t="shared" si="53"/>
        <v>-4.5792385979237515E-4</v>
      </c>
      <c r="CP86" s="110">
        <f t="shared" si="53"/>
        <v>-1.4796729783869478E-2</v>
      </c>
      <c r="CQ86" s="110">
        <f t="shared" si="53"/>
        <v>-2.0328326992286039E-2</v>
      </c>
      <c r="CR86" s="110">
        <f t="shared" si="53"/>
        <v>-2.3613321997515757E-2</v>
      </c>
      <c r="CS86" s="110">
        <f t="shared" si="53"/>
        <v>-2.1745469453274047E-2</v>
      </c>
      <c r="CT86" s="110">
        <f t="shared" si="53"/>
        <v>-2.491707765979978E-2</v>
      </c>
      <c r="CU86" s="110">
        <f t="shared" si="53"/>
        <v>-2.9163033139291583E-2</v>
      </c>
      <c r="CV86" s="110">
        <f t="shared" ref="CV86" si="54">CV80/CR80-1</f>
        <v>-5.4765853047763158E-2</v>
      </c>
      <c r="CW86" s="110">
        <f t="shared" ref="CW86" si="55">CW80/CS80-1</f>
        <v>-5.2483394923936055E-2</v>
      </c>
      <c r="CX86" s="110">
        <f t="shared" ref="CX86" si="56">CX80/CT80-1</f>
        <v>-3.8883220335540147E-2</v>
      </c>
      <c r="CY86" s="110">
        <f t="shared" ref="CY86" si="57">CY80/CU80-1</f>
        <v>-2.2214324938192975E-2</v>
      </c>
      <c r="CZ86" s="110">
        <f t="shared" ref="CZ86" si="58">CZ80/CV80-1</f>
        <v>1.8983860092929961E-2</v>
      </c>
      <c r="DA86" s="110">
        <f t="shared" ref="DA86" si="59">DA80/CW80-1</f>
        <v>2.6536149832067091E-2</v>
      </c>
      <c r="DB86" s="110">
        <f t="shared" ref="DB86" si="60">DB80/CX80-1</f>
        <v>3.5321177879831911E-2</v>
      </c>
      <c r="DC86" s="110">
        <f t="shared" ref="DC86" si="61">DC80/CY80-1</f>
        <v>4.1862347230481101E-2</v>
      </c>
      <c r="DD86" s="110">
        <f t="shared" ref="DD86" si="62">DD80/CZ80-1</f>
        <v>4.5788924986199131E-2</v>
      </c>
      <c r="DE86" s="110">
        <f t="shared" ref="DE86" si="63">DE80/DA80-1</f>
        <v>5.2218901271301688E-2</v>
      </c>
      <c r="DF86" s="110">
        <f t="shared" ref="DF86" si="64">DF80/DB80-1</f>
        <v>4.7384176862570015E-2</v>
      </c>
      <c r="DG86" s="110">
        <f>DG80/DC80-1</f>
        <v>4.0164609484111269E-2</v>
      </c>
    </row>
    <row r="87" spans="2:112" x14ac:dyDescent="0.25">
      <c r="BL87" s="116"/>
      <c r="BM87" s="118"/>
      <c r="BN87" s="118"/>
      <c r="BO87" s="118"/>
      <c r="BP87" s="118"/>
      <c r="BQ87" s="118"/>
      <c r="BR87" s="118"/>
      <c r="BS87" s="118"/>
      <c r="BT87" s="118"/>
      <c r="BU87" s="118"/>
      <c r="BV87" s="118"/>
      <c r="BW87" s="118"/>
      <c r="BX87" s="116"/>
      <c r="BY87" s="116"/>
      <c r="BZ87" s="116"/>
      <c r="CA87" s="116"/>
      <c r="CB87" s="116"/>
      <c r="CC87" s="137"/>
      <c r="CD87" s="137"/>
      <c r="CE87" s="137"/>
      <c r="CF87" s="137"/>
      <c r="CG87" s="137"/>
      <c r="CH87" s="116"/>
      <c r="CI87" s="116"/>
      <c r="CJ87" s="116"/>
      <c r="CK87" s="116"/>
      <c r="CL87" s="116"/>
      <c r="CM87" s="116"/>
      <c r="CN87" s="116"/>
      <c r="CO87" s="116"/>
      <c r="CP87" s="116"/>
      <c r="CQ87" s="116"/>
      <c r="CR87" s="116"/>
      <c r="CS87" s="116"/>
      <c r="DG87" s="174"/>
    </row>
    <row r="88" spans="2:112" x14ac:dyDescent="0.25">
      <c r="D88" s="137">
        <f t="shared" ref="D88:BO88" si="65">D77/C77-1</f>
        <v>1.8881910655002221E-2</v>
      </c>
      <c r="E88" s="137">
        <f t="shared" si="65"/>
        <v>8.1824674719745971E-3</v>
      </c>
      <c r="F88" s="137">
        <f t="shared" si="65"/>
        <v>4.3275376156961531E-3</v>
      </c>
      <c r="G88" s="137">
        <f t="shared" si="65"/>
        <v>-3.6793151339107766E-2</v>
      </c>
      <c r="H88" s="137">
        <f t="shared" si="65"/>
        <v>-3.6067609426384206E-2</v>
      </c>
      <c r="I88" s="137">
        <f t="shared" si="65"/>
        <v>-5.07758769166885E-2</v>
      </c>
      <c r="J88" s="137">
        <f t="shared" si="65"/>
        <v>7.496980030920497E-2</v>
      </c>
      <c r="K88" s="137">
        <f t="shared" si="65"/>
        <v>0.14215323572663952</v>
      </c>
      <c r="L88" s="137">
        <f t="shared" si="65"/>
        <v>7.8358095646839931E-2</v>
      </c>
      <c r="M88" s="137">
        <f t="shared" si="65"/>
        <v>6.719369815025833E-2</v>
      </c>
      <c r="N88" s="137">
        <f t="shared" si="65"/>
        <v>5.1229547849368728E-2</v>
      </c>
      <c r="O88" s="137">
        <f t="shared" si="65"/>
        <v>3.7517800874522944E-2</v>
      </c>
      <c r="P88" s="137">
        <f t="shared" si="65"/>
        <v>5.9257777784946786E-3</v>
      </c>
      <c r="Q88" s="137">
        <f t="shared" si="65"/>
        <v>3.8035713999393872E-2</v>
      </c>
      <c r="R88" s="137">
        <f t="shared" si="65"/>
        <v>4.3852400142725401E-3</v>
      </c>
      <c r="S88" s="137" t="e">
        <f t="shared" si="65"/>
        <v>#REF!</v>
      </c>
      <c r="T88" s="137" t="e">
        <f t="shared" si="65"/>
        <v>#REF!</v>
      </c>
      <c r="U88" s="137" t="e">
        <f t="shared" si="65"/>
        <v>#REF!</v>
      </c>
      <c r="V88" s="137" t="e">
        <f t="shared" si="65"/>
        <v>#REF!</v>
      </c>
      <c r="W88" s="137" t="e">
        <f t="shared" si="65"/>
        <v>#REF!</v>
      </c>
      <c r="X88" s="137" t="e">
        <f t="shared" si="65"/>
        <v>#REF!</v>
      </c>
      <c r="Y88" s="137" t="e">
        <f t="shared" si="65"/>
        <v>#REF!</v>
      </c>
      <c r="Z88" s="137" t="e">
        <f t="shared" si="65"/>
        <v>#REF!</v>
      </c>
      <c r="AA88" s="137" t="e">
        <f t="shared" si="65"/>
        <v>#REF!</v>
      </c>
      <c r="AB88" s="137" t="e">
        <f t="shared" si="65"/>
        <v>#REF!</v>
      </c>
      <c r="AC88" s="137" t="e">
        <f t="shared" si="65"/>
        <v>#REF!</v>
      </c>
      <c r="AD88" s="137" t="e">
        <f t="shared" si="65"/>
        <v>#REF!</v>
      </c>
      <c r="AE88" s="137" t="e">
        <f t="shared" si="65"/>
        <v>#REF!</v>
      </c>
      <c r="AF88" s="137" t="e">
        <f t="shared" si="65"/>
        <v>#REF!</v>
      </c>
      <c r="AG88" s="137" t="e">
        <f t="shared" si="65"/>
        <v>#REF!</v>
      </c>
      <c r="AH88" s="137" t="e">
        <f t="shared" si="65"/>
        <v>#REF!</v>
      </c>
      <c r="AI88" s="137" t="e">
        <f t="shared" si="65"/>
        <v>#REF!</v>
      </c>
      <c r="AJ88" s="137" t="e">
        <f t="shared" si="65"/>
        <v>#REF!</v>
      </c>
      <c r="AK88" s="137" t="e">
        <f t="shared" si="65"/>
        <v>#REF!</v>
      </c>
      <c r="AL88" s="137" t="e">
        <f t="shared" si="65"/>
        <v>#REF!</v>
      </c>
      <c r="AM88" s="137" t="e">
        <f t="shared" si="65"/>
        <v>#REF!</v>
      </c>
      <c r="AN88" s="137" t="e">
        <f t="shared" si="65"/>
        <v>#REF!</v>
      </c>
      <c r="AO88" s="137" t="e">
        <f t="shared" si="65"/>
        <v>#REF!</v>
      </c>
      <c r="AP88" s="137" t="e">
        <f t="shared" si="65"/>
        <v>#REF!</v>
      </c>
      <c r="AQ88" s="137" t="e">
        <f t="shared" si="65"/>
        <v>#REF!</v>
      </c>
      <c r="AR88" s="137" t="e">
        <f t="shared" si="65"/>
        <v>#REF!</v>
      </c>
      <c r="AS88" s="137" t="e">
        <f t="shared" si="65"/>
        <v>#REF!</v>
      </c>
      <c r="AT88" s="137" t="e">
        <f t="shared" si="65"/>
        <v>#REF!</v>
      </c>
      <c r="AU88" s="137" t="e">
        <f t="shared" si="65"/>
        <v>#REF!</v>
      </c>
      <c r="AV88" s="137" t="e">
        <f t="shared" si="65"/>
        <v>#REF!</v>
      </c>
      <c r="AW88" s="137" t="e">
        <f t="shared" si="65"/>
        <v>#REF!</v>
      </c>
      <c r="AX88" s="137" t="e">
        <f t="shared" si="65"/>
        <v>#REF!</v>
      </c>
      <c r="AY88" s="137" t="e">
        <f t="shared" si="65"/>
        <v>#REF!</v>
      </c>
      <c r="AZ88" s="137" t="e">
        <f t="shared" si="65"/>
        <v>#REF!</v>
      </c>
      <c r="BA88" s="137" t="e">
        <f t="shared" si="65"/>
        <v>#REF!</v>
      </c>
      <c r="BB88" s="137" t="e">
        <f t="shared" si="65"/>
        <v>#REF!</v>
      </c>
      <c r="BC88" s="137" t="e">
        <f t="shared" si="65"/>
        <v>#REF!</v>
      </c>
      <c r="BD88" s="137" t="e">
        <f t="shared" si="65"/>
        <v>#REF!</v>
      </c>
      <c r="BE88" s="137" t="e">
        <f t="shared" si="65"/>
        <v>#REF!</v>
      </c>
      <c r="BF88" s="137" t="e">
        <f t="shared" si="65"/>
        <v>#REF!</v>
      </c>
      <c r="BG88" s="137" t="e">
        <f t="shared" si="65"/>
        <v>#REF!</v>
      </c>
      <c r="BH88" s="137" t="e">
        <f t="shared" si="65"/>
        <v>#REF!</v>
      </c>
      <c r="BI88" s="137" t="e">
        <f t="shared" si="65"/>
        <v>#REF!</v>
      </c>
      <c r="BJ88" s="137" t="e">
        <f t="shared" si="65"/>
        <v>#REF!</v>
      </c>
      <c r="BK88" s="137" t="e">
        <f t="shared" si="65"/>
        <v>#REF!</v>
      </c>
      <c r="BL88" s="137" t="e">
        <f t="shared" si="65"/>
        <v>#REF!</v>
      </c>
      <c r="BM88" s="137" t="e">
        <f t="shared" si="65"/>
        <v>#REF!</v>
      </c>
      <c r="BN88" s="137" t="e">
        <f t="shared" si="65"/>
        <v>#REF!</v>
      </c>
      <c r="BO88" s="137" t="e">
        <f t="shared" si="65"/>
        <v>#REF!</v>
      </c>
      <c r="BP88" s="137" t="e">
        <f t="shared" ref="BP88:CE88" si="66">BP77/BO77-1</f>
        <v>#REF!</v>
      </c>
      <c r="BQ88" s="137" t="e">
        <f t="shared" si="66"/>
        <v>#REF!</v>
      </c>
      <c r="BR88" s="137" t="e">
        <f t="shared" si="66"/>
        <v>#REF!</v>
      </c>
      <c r="BS88" s="137" t="e">
        <f t="shared" si="66"/>
        <v>#REF!</v>
      </c>
      <c r="BT88" s="137" t="e">
        <f t="shared" si="66"/>
        <v>#REF!</v>
      </c>
      <c r="BU88" s="137" t="e">
        <f t="shared" si="66"/>
        <v>#REF!</v>
      </c>
      <c r="BV88" s="137" t="e">
        <f t="shared" si="66"/>
        <v>#REF!</v>
      </c>
      <c r="BW88" s="137" t="e">
        <f t="shared" si="66"/>
        <v>#REF!</v>
      </c>
      <c r="BX88" s="137" t="e">
        <f t="shared" si="66"/>
        <v>#REF!</v>
      </c>
      <c r="BY88" s="137" t="e">
        <f t="shared" si="66"/>
        <v>#REF!</v>
      </c>
      <c r="BZ88" s="137" t="e">
        <f t="shared" si="66"/>
        <v>#REF!</v>
      </c>
      <c r="CA88" s="137" t="e">
        <f t="shared" si="66"/>
        <v>#REF!</v>
      </c>
      <c r="CB88" s="137" t="e">
        <f t="shared" si="66"/>
        <v>#REF!</v>
      </c>
      <c r="CC88" s="137" t="e">
        <f t="shared" si="66"/>
        <v>#REF!</v>
      </c>
      <c r="CD88" s="137" t="e">
        <f t="shared" si="66"/>
        <v>#REF!</v>
      </c>
      <c r="CE88" s="137" t="e">
        <f t="shared" si="66"/>
        <v>#REF!</v>
      </c>
      <c r="CF88" s="137" t="e">
        <f>CF77/CE77-1</f>
        <v>#REF!</v>
      </c>
      <c r="CG88" s="137" t="e">
        <f t="shared" ref="CG88:CT88" si="67">CG77/CF77-1</f>
        <v>#REF!</v>
      </c>
      <c r="CH88" s="137" t="e">
        <f t="shared" si="67"/>
        <v>#REF!</v>
      </c>
      <c r="CI88" s="137" t="e">
        <f t="shared" si="67"/>
        <v>#REF!</v>
      </c>
      <c r="CJ88" s="137" t="e">
        <f t="shared" si="67"/>
        <v>#REF!</v>
      </c>
      <c r="CK88" s="137" t="e">
        <f t="shared" si="67"/>
        <v>#REF!</v>
      </c>
      <c r="CL88" s="137" t="e">
        <f t="shared" si="67"/>
        <v>#REF!</v>
      </c>
      <c r="CM88" s="137" t="e">
        <f t="shared" si="67"/>
        <v>#REF!</v>
      </c>
      <c r="CN88" s="137" t="e">
        <f t="shared" si="67"/>
        <v>#REF!</v>
      </c>
      <c r="CO88" s="137" t="e">
        <f t="shared" si="67"/>
        <v>#REF!</v>
      </c>
      <c r="CP88" s="137" t="e">
        <f t="shared" si="67"/>
        <v>#REF!</v>
      </c>
      <c r="CQ88" s="137" t="e">
        <f t="shared" si="67"/>
        <v>#REF!</v>
      </c>
      <c r="CR88" s="137" t="e">
        <f t="shared" si="67"/>
        <v>#REF!</v>
      </c>
      <c r="CS88" s="137" t="e">
        <f t="shared" si="67"/>
        <v>#REF!</v>
      </c>
      <c r="CT88" s="137" t="e">
        <f t="shared" si="67"/>
        <v>#REF!</v>
      </c>
      <c r="CU88" s="137" t="e">
        <f t="shared" ref="CU88" si="68">CU77/CT77-1</f>
        <v>#REF!</v>
      </c>
      <c r="CV88" s="137" t="e">
        <f t="shared" ref="CV88" si="69">CV77/CU77-1</f>
        <v>#REF!</v>
      </c>
      <c r="CW88" s="137" t="e">
        <f t="shared" ref="CW88" si="70">CW77/CV77-1</f>
        <v>#REF!</v>
      </c>
      <c r="CX88" s="137" t="e">
        <f t="shared" ref="CX88" si="71">CX77/CW77-1</f>
        <v>#REF!</v>
      </c>
      <c r="CY88" s="137" t="e">
        <f t="shared" ref="CY88" si="72">CY77/CX77-1</f>
        <v>#REF!</v>
      </c>
      <c r="CZ88" s="137" t="e">
        <f t="shared" ref="CZ88" si="73">CZ77/CY77-1</f>
        <v>#REF!</v>
      </c>
      <c r="DA88" s="137" t="e">
        <f t="shared" ref="DA88" si="74">DA77/CZ77-1</f>
        <v>#REF!</v>
      </c>
      <c r="DB88" s="137" t="e">
        <f t="shared" ref="DB88" si="75">DB77/DA77-1</f>
        <v>#REF!</v>
      </c>
      <c r="DC88" s="137" t="e">
        <f>DC77/DB77-1</f>
        <v>#REF!</v>
      </c>
      <c r="DD88" s="137" t="e">
        <f t="shared" ref="DD88" si="76">DD77/DC77-1</f>
        <v>#REF!</v>
      </c>
      <c r="DE88" s="137" t="e">
        <f t="shared" ref="DE88" si="77">DE77/DD77-1</f>
        <v>#REF!</v>
      </c>
      <c r="DF88" s="137" t="e">
        <f t="shared" ref="DF88" si="78">DF77/DE77-1</f>
        <v>#REF!</v>
      </c>
      <c r="DG88" s="137">
        <f t="shared" ref="DG88" si="79">DG77/DF77-1</f>
        <v>-4.6651456558147397E-2</v>
      </c>
    </row>
    <row r="89" spans="2:112" x14ac:dyDescent="0.25">
      <c r="D89" s="137">
        <f t="shared" ref="D89:BO89" si="80">D80/C80-1</f>
        <v>1.2038654058442511E-2</v>
      </c>
      <c r="E89" s="137">
        <f t="shared" si="80"/>
        <v>1.8150637595251151E-2</v>
      </c>
      <c r="F89" s="137">
        <f t="shared" si="80"/>
        <v>2.7936342923576385E-2</v>
      </c>
      <c r="G89" s="137">
        <f t="shared" si="80"/>
        <v>2.6893125612091007E-2</v>
      </c>
      <c r="H89" s="137">
        <f t="shared" si="80"/>
        <v>1.3797201251942948E-2</v>
      </c>
      <c r="I89" s="137">
        <f t="shared" si="80"/>
        <v>1.5811854216203125E-2</v>
      </c>
      <c r="J89" s="137">
        <f t="shared" si="80"/>
        <v>3.0610544900967041E-2</v>
      </c>
      <c r="K89" s="137">
        <f t="shared" si="80"/>
        <v>2.6139978026531674E-2</v>
      </c>
      <c r="L89" s="137">
        <f t="shared" si="80"/>
        <v>3.0269121034327551E-3</v>
      </c>
      <c r="M89" s="137">
        <f t="shared" si="80"/>
        <v>6.0126968849152362E-3</v>
      </c>
      <c r="N89" s="137">
        <f t="shared" si="80"/>
        <v>6.2670106669402426E-3</v>
      </c>
      <c r="O89" s="137">
        <f t="shared" si="80"/>
        <v>-3.4462572999882646E-3</v>
      </c>
      <c r="P89" s="137">
        <f t="shared" si="80"/>
        <v>-1.2763623721122053E-2</v>
      </c>
      <c r="Q89" s="137">
        <f t="shared" si="80"/>
        <v>-9.9565927599319926E-3</v>
      </c>
      <c r="R89" s="137">
        <f t="shared" si="80"/>
        <v>3.2843571274736583E-3</v>
      </c>
      <c r="S89" s="137">
        <f t="shared" si="80"/>
        <v>4.6659312483221527E-4</v>
      </c>
      <c r="T89" s="137">
        <f t="shared" si="80"/>
        <v>-1.4517986747783262E-2</v>
      </c>
      <c r="U89" s="137">
        <f t="shared" si="80"/>
        <v>5.2465302216009313E-4</v>
      </c>
      <c r="V89" s="137">
        <f t="shared" si="80"/>
        <v>1.1619176716613611E-2</v>
      </c>
      <c r="W89" s="137">
        <f t="shared" si="80"/>
        <v>4.8969862708114764E-3</v>
      </c>
      <c r="X89" s="137">
        <f t="shared" si="80"/>
        <v>-1.3780712205798462E-2</v>
      </c>
      <c r="Y89" s="137">
        <f t="shared" si="80"/>
        <v>-2.5380853484613719E-2</v>
      </c>
      <c r="Z89" s="137">
        <f t="shared" si="80"/>
        <v>-2.4094693017366886E-2</v>
      </c>
      <c r="AA89" s="137">
        <f t="shared" si="80"/>
        <v>-4.6714408079467695E-2</v>
      </c>
      <c r="AB89" s="137">
        <f t="shared" si="80"/>
        <v>-2.738648120123266E-2</v>
      </c>
      <c r="AC89" s="137">
        <f t="shared" si="80"/>
        <v>-1.1915227459575628E-2</v>
      </c>
      <c r="AD89" s="137">
        <f t="shared" si="80"/>
        <v>1.0984689589757179E-2</v>
      </c>
      <c r="AE89" s="137">
        <f t="shared" si="80"/>
        <v>2.7217668342717438E-2</v>
      </c>
      <c r="AF89" s="137">
        <f t="shared" si="80"/>
        <v>1.8243807291248748E-2</v>
      </c>
      <c r="AG89" s="137">
        <f t="shared" si="80"/>
        <v>2.3876067904188281E-2</v>
      </c>
      <c r="AH89" s="137">
        <f t="shared" si="80"/>
        <v>3.578591612903903E-2</v>
      </c>
      <c r="AI89" s="137">
        <f t="shared" si="80"/>
        <v>3.2908561876796139E-2</v>
      </c>
      <c r="AJ89" s="137">
        <f t="shared" si="80"/>
        <v>1.9594129601260502E-2</v>
      </c>
      <c r="AK89" s="137">
        <f t="shared" si="80"/>
        <v>3.3097441480675061E-2</v>
      </c>
      <c r="AL89" s="137">
        <f t="shared" si="80"/>
        <v>3.6916713097582488E-2</v>
      </c>
      <c r="AM89" s="137">
        <f t="shared" si="80"/>
        <v>3.315590057172102E-2</v>
      </c>
      <c r="AN89" s="137">
        <f t="shared" si="80"/>
        <v>2.0661127859283646E-2</v>
      </c>
      <c r="AO89" s="137">
        <f t="shared" si="80"/>
        <v>1.9914199929033094E-2</v>
      </c>
      <c r="AP89" s="137">
        <f t="shared" si="80"/>
        <v>3.6378294599923144E-2</v>
      </c>
      <c r="AQ89" s="137">
        <f t="shared" si="80"/>
        <v>2.5989972498378755E-2</v>
      </c>
      <c r="AR89" s="137">
        <f t="shared" si="80"/>
        <v>1.1889271519589517E-2</v>
      </c>
      <c r="AS89" s="137">
        <f t="shared" si="80"/>
        <v>1.3921632723792543E-2</v>
      </c>
      <c r="AT89" s="137">
        <f t="shared" si="80"/>
        <v>3.1497604507115806E-2</v>
      </c>
      <c r="AU89" s="137">
        <f t="shared" si="80"/>
        <v>2.5640122824049261E-2</v>
      </c>
      <c r="AV89" s="137">
        <f t="shared" si="80"/>
        <v>1.2131582778413863E-2</v>
      </c>
      <c r="AW89" s="137">
        <f t="shared" si="80"/>
        <v>1.6244805714213273E-2</v>
      </c>
      <c r="AX89" s="137">
        <f t="shared" si="80"/>
        <v>3.1854783438089784E-2</v>
      </c>
      <c r="AY89" s="137">
        <f t="shared" si="80"/>
        <v>1.630997409064272E-2</v>
      </c>
      <c r="AZ89" s="137">
        <f t="shared" si="80"/>
        <v>8.8268402114370925E-3</v>
      </c>
      <c r="BA89" s="137">
        <f t="shared" si="80"/>
        <v>1.2794676982488262E-3</v>
      </c>
      <c r="BB89" s="137">
        <f t="shared" si="80"/>
        <v>4.7996233897984464E-3</v>
      </c>
      <c r="BC89" s="137">
        <f t="shared" si="80"/>
        <v>-1.109442637630198E-2</v>
      </c>
      <c r="BD89" s="137">
        <f t="shared" si="80"/>
        <v>-1.6012553386058559E-2</v>
      </c>
      <c r="BE89" s="137">
        <f t="shared" si="80"/>
        <v>-1.8466498280785837E-3</v>
      </c>
      <c r="BF89" s="137">
        <f t="shared" si="80"/>
        <v>1.4414840583713451E-2</v>
      </c>
      <c r="BG89" s="137">
        <f t="shared" si="80"/>
        <v>1.1531865291720012E-2</v>
      </c>
      <c r="BH89" s="137">
        <f t="shared" si="80"/>
        <v>4.2399423771644074E-4</v>
      </c>
      <c r="BI89" s="137">
        <f t="shared" si="80"/>
        <v>5.7924684455776809E-3</v>
      </c>
      <c r="BJ89" s="137">
        <f t="shared" si="80"/>
        <v>2.0623402395710366E-2</v>
      </c>
      <c r="BK89" s="137">
        <f t="shared" si="80"/>
        <v>1.8669426925234545E-2</v>
      </c>
      <c r="BL89" s="137">
        <f t="shared" si="80"/>
        <v>4.4820215737897406E-3</v>
      </c>
      <c r="BM89" s="137">
        <f t="shared" si="80"/>
        <v>5.993661455636401E-3</v>
      </c>
      <c r="BN89" s="137">
        <f t="shared" si="80"/>
        <v>1.5933867597682116E-2</v>
      </c>
      <c r="BO89" s="137">
        <f t="shared" si="80"/>
        <v>4.0393881072731119E-3</v>
      </c>
      <c r="BP89" s="137">
        <f t="shared" ref="BP89:CE89" si="81">BP80/BO80-1</f>
        <v>-1.0174398873821211E-2</v>
      </c>
      <c r="BQ89" s="137">
        <f t="shared" si="81"/>
        <v>-3.6901049573105915E-3</v>
      </c>
      <c r="BR89" s="137">
        <f t="shared" si="81"/>
        <v>1.1660814899515204E-2</v>
      </c>
      <c r="BS89" s="137">
        <f t="shared" si="81"/>
        <v>8.1968866813377783E-3</v>
      </c>
      <c r="BT89" s="137">
        <f t="shared" si="81"/>
        <v>-6.1826525838201141E-3</v>
      </c>
      <c r="BU89" s="137">
        <f t="shared" si="81"/>
        <v>-1.9392598345947532E-3</v>
      </c>
      <c r="BV89" s="137">
        <f t="shared" si="81"/>
        <v>8.8562284490307785E-3</v>
      </c>
      <c r="BW89" s="137">
        <f t="shared" si="81"/>
        <v>1.3017046641858876E-3</v>
      </c>
      <c r="BX89" s="137">
        <f t="shared" si="81"/>
        <v>-9.1191297208665922E-3</v>
      </c>
      <c r="BY89" s="137">
        <f t="shared" si="81"/>
        <v>4.9372940222647266E-4</v>
      </c>
      <c r="BZ89" s="137">
        <f t="shared" si="81"/>
        <v>1.1634395144974663E-2</v>
      </c>
      <c r="CA89" s="137">
        <f t="shared" si="81"/>
        <v>1.2081951525542145E-2</v>
      </c>
      <c r="CB89" s="137">
        <f t="shared" si="81"/>
        <v>1.5974209423059715E-3</v>
      </c>
      <c r="CC89" s="137">
        <f t="shared" si="81"/>
        <v>2.9989343146126224E-3</v>
      </c>
      <c r="CD89" s="137">
        <f t="shared" si="81"/>
        <v>4.2887124737658322E-3</v>
      </c>
      <c r="CE89" s="137">
        <f t="shared" si="81"/>
        <v>-5.9791921090990297E-4</v>
      </c>
      <c r="CF89" s="137">
        <f>CF80/CE80-1</f>
        <v>-1.3385519822480374E-2</v>
      </c>
      <c r="CG89" s="137">
        <f t="shared" ref="CG89:CT89" si="82">CG80/CF80-1</f>
        <v>-3.8002724249190933E-3</v>
      </c>
      <c r="CH89" s="137">
        <f t="shared" si="82"/>
        <v>8.7433730960395639E-3</v>
      </c>
      <c r="CI89" s="137">
        <f t="shared" si="82"/>
        <v>7.7756402128899005E-3</v>
      </c>
      <c r="CJ89" s="137">
        <f t="shared" si="82"/>
        <v>-6.8802373905210157E-3</v>
      </c>
      <c r="CK89" s="137">
        <f t="shared" si="82"/>
        <v>3.7134291862210844E-3</v>
      </c>
      <c r="CL89" s="137">
        <f t="shared" si="82"/>
        <v>1.1828712479101E-2</v>
      </c>
      <c r="CM89" s="137">
        <f t="shared" si="82"/>
        <v>6.7771499164284155E-3</v>
      </c>
      <c r="CN89" s="137">
        <f t="shared" si="82"/>
        <v>-1.0921868696040393E-2</v>
      </c>
      <c r="CO89" s="137">
        <f t="shared" si="82"/>
        <v>-7.9578343764696857E-3</v>
      </c>
      <c r="CP89" s="137">
        <f t="shared" si="82"/>
        <v>-2.6863498509128725E-3</v>
      </c>
      <c r="CQ89" s="137">
        <f t="shared" si="82"/>
        <v>1.1244223622925986E-3</v>
      </c>
      <c r="CR89" s="137">
        <f t="shared" si="82"/>
        <v>-1.4238405052695691E-2</v>
      </c>
      <c r="CS89" s="137">
        <f t="shared" si="82"/>
        <v>-6.0600324862946087E-3</v>
      </c>
      <c r="CT89" s="137">
        <f t="shared" si="82"/>
        <v>-5.9197498082073086E-3</v>
      </c>
      <c r="CU89" s="137">
        <f t="shared" ref="CU89" si="83">CU80/CT80-1</f>
        <v>-3.2349296778195757E-3</v>
      </c>
      <c r="CV89" s="137">
        <f t="shared" ref="CV89" si="84">CV80/CU80-1</f>
        <v>-4.0234815829814918E-2</v>
      </c>
      <c r="CW89" s="137">
        <f t="shared" ref="CW89" si="85">CW80/CV80-1</f>
        <v>-3.6599643542207794E-3</v>
      </c>
      <c r="CX89" s="137">
        <f t="shared" ref="CX89" si="86">CX80/CW80-1</f>
        <v>8.3487758145170954E-3</v>
      </c>
      <c r="CY89" s="137">
        <f>CY80/CX80-1</f>
        <v>1.4052223189005231E-2</v>
      </c>
      <c r="CZ89" s="137">
        <f t="shared" ref="CZ89" si="87">CZ80/CY80-1</f>
        <v>2.0409082667049994E-4</v>
      </c>
      <c r="DA89" s="137">
        <f t="shared" ref="DA89" si="88">DA80/CZ80-1</f>
        <v>3.7244986609372699E-3</v>
      </c>
      <c r="DB89" s="137">
        <f t="shared" ref="DB89" si="89">DB80/DA80-1</f>
        <v>1.6978157525924908E-2</v>
      </c>
      <c r="DC89" s="137">
        <f t="shared" ref="DC89" si="90">DC80/DB80-1</f>
        <v>2.0459015075427356E-2</v>
      </c>
      <c r="DD89" s="137">
        <f t="shared" ref="DD89" si="91">DD80/DC80-1</f>
        <v>3.9736666681029487E-3</v>
      </c>
      <c r="DE89" s="137">
        <f t="shared" ref="DE89" si="92">DE80/DD80-1</f>
        <v>9.8958441102607875E-3</v>
      </c>
      <c r="DF89" s="137">
        <f t="shared" ref="DF89" si="93">DF80/DE80-1</f>
        <v>1.2305356918183463E-2</v>
      </c>
      <c r="DG89" s="137">
        <f t="shared" ref="DG89" si="94">DG80/DF80-1</f>
        <v>1.3425041506759161E-2</v>
      </c>
    </row>
    <row r="90" spans="2:112" x14ac:dyDescent="0.25">
      <c r="BO90" s="115"/>
      <c r="BV90" s="116"/>
      <c r="BW90" s="133"/>
      <c r="BX90" s="133"/>
      <c r="BY90" s="133"/>
      <c r="BZ90" s="133"/>
      <c r="CA90" s="133"/>
      <c r="CB90" s="133"/>
      <c r="CC90" s="133"/>
      <c r="CD90" s="133"/>
      <c r="CE90" s="133"/>
      <c r="CF90" s="133"/>
      <c r="CG90" s="133"/>
      <c r="CH90" s="136"/>
      <c r="CI90" s="318"/>
      <c r="CJ90" s="138"/>
      <c r="CK90" s="136"/>
      <c r="CL90" s="136"/>
      <c r="CM90" s="136"/>
      <c r="CN90" s="136"/>
      <c r="CO90" s="136"/>
      <c r="CP90" s="136"/>
      <c r="CQ90" s="136"/>
      <c r="CR90" s="136"/>
      <c r="CS90" s="135"/>
    </row>
    <row r="91" spans="2:112" x14ac:dyDescent="0.25">
      <c r="BO91" s="112"/>
      <c r="BV91" s="116"/>
      <c r="BW91" s="139"/>
      <c r="BX91" s="139"/>
      <c r="BY91" s="139"/>
      <c r="BZ91" s="139"/>
      <c r="CA91" s="139"/>
      <c r="CB91" s="139"/>
      <c r="CC91" s="139"/>
      <c r="CD91" s="139"/>
      <c r="CE91" s="139"/>
      <c r="CF91" s="139"/>
      <c r="CG91" s="139"/>
      <c r="CH91" s="116"/>
      <c r="CI91" s="318"/>
      <c r="CJ91" s="138"/>
      <c r="CK91" s="136"/>
      <c r="CL91" s="136"/>
      <c r="CM91" s="136"/>
      <c r="CN91" s="136"/>
      <c r="CO91" s="136"/>
      <c r="CP91" s="136"/>
      <c r="CQ91" s="136"/>
      <c r="CR91" s="136"/>
      <c r="CS91" s="135"/>
    </row>
    <row r="92" spans="2:112" x14ac:dyDescent="0.25">
      <c r="BO92" s="112"/>
      <c r="BV92" s="116"/>
      <c r="BW92" s="116"/>
      <c r="BX92" s="116"/>
      <c r="BY92" s="116"/>
      <c r="BZ92" s="116"/>
      <c r="CA92" s="116"/>
      <c r="CB92" s="116"/>
      <c r="CC92" s="116"/>
      <c r="CD92" s="116"/>
      <c r="CE92" s="116"/>
      <c r="CF92" s="116"/>
      <c r="CG92" s="116"/>
      <c r="CH92" s="116"/>
      <c r="CI92" s="318"/>
      <c r="CJ92" s="138"/>
      <c r="CK92" s="136"/>
      <c r="CL92" s="136"/>
      <c r="CM92" s="136"/>
      <c r="CN92" s="136"/>
      <c r="CO92" s="136"/>
      <c r="CP92" s="136"/>
      <c r="CQ92" s="136"/>
      <c r="CR92" s="136"/>
      <c r="CS92" s="135"/>
    </row>
    <row r="93" spans="2:112" x14ac:dyDescent="0.25">
      <c r="BO93" s="112"/>
    </row>
    <row r="94" spans="2:112" x14ac:dyDescent="0.25">
      <c r="BO94" s="112"/>
    </row>
    <row r="95" spans="2:112" x14ac:dyDescent="0.25">
      <c r="BO95" s="112"/>
    </row>
    <row r="97" spans="60:87" x14ac:dyDescent="0.25">
      <c r="BO97">
        <v>6418149.0000000885</v>
      </c>
      <c r="BP97">
        <v>6354533.0000000056</v>
      </c>
      <c r="BQ97">
        <v>6327265.9999999758</v>
      </c>
      <c r="BR97">
        <v>6395927.0000000121</v>
      </c>
      <c r="BS97">
        <v>6451011.9999999069</v>
      </c>
      <c r="BT97">
        <v>6409564.0000002282</v>
      </c>
      <c r="BU97">
        <v>6397463.0000000307</v>
      </c>
      <c r="BV97">
        <v>6449732.9999999823</v>
      </c>
      <c r="BW97">
        <v>6459867.0000000317</v>
      </c>
      <c r="BX97">
        <v>6402404.9999999609</v>
      </c>
      <c r="BY97">
        <v>6406093.9999998827</v>
      </c>
      <c r="BZ97">
        <v>6475006.0000001453</v>
      </c>
      <c r="CA97">
        <v>6553927.0000000531</v>
      </c>
    </row>
    <row r="99" spans="60:87" x14ac:dyDescent="0.25">
      <c r="BO99" s="77" t="e">
        <f t="shared" ref="BO99:BZ99" si="95">BO97-BO77</f>
        <v>#REF!</v>
      </c>
      <c r="BP99" s="77" t="e">
        <f t="shared" si="95"/>
        <v>#REF!</v>
      </c>
      <c r="BQ99" s="77" t="e">
        <f t="shared" si="95"/>
        <v>#REF!</v>
      </c>
      <c r="BR99" s="77" t="e">
        <f t="shared" si="95"/>
        <v>#REF!</v>
      </c>
      <c r="BS99" s="77" t="e">
        <f t="shared" si="95"/>
        <v>#REF!</v>
      </c>
      <c r="BT99" s="77" t="e">
        <f t="shared" si="95"/>
        <v>#REF!</v>
      </c>
      <c r="BU99" s="77" t="e">
        <f t="shared" si="95"/>
        <v>#REF!</v>
      </c>
      <c r="BV99" s="77" t="e">
        <f t="shared" si="95"/>
        <v>#REF!</v>
      </c>
      <c r="BW99" s="77" t="e">
        <f t="shared" si="95"/>
        <v>#REF!</v>
      </c>
      <c r="BX99" s="77" t="e">
        <f t="shared" si="95"/>
        <v>#REF!</v>
      </c>
      <c r="BY99" s="77" t="e">
        <f t="shared" si="95"/>
        <v>#REF!</v>
      </c>
      <c r="BZ99" s="77" t="e">
        <f t="shared" si="95"/>
        <v>#REF!</v>
      </c>
      <c r="CA99" s="77" t="e">
        <f>CA97-CA77</f>
        <v>#REF!</v>
      </c>
    </row>
    <row r="101" spans="60:87" ht="15.75" thickBot="1" x14ac:dyDescent="0.3"/>
    <row r="102" spans="60:87" ht="16.5" thickTop="1" thickBot="1" x14ac:dyDescent="0.3">
      <c r="BH102" s="321" t="s">
        <v>154</v>
      </c>
      <c r="BI102" s="322"/>
      <c r="BJ102" s="78" t="s">
        <v>155</v>
      </c>
      <c r="BK102" s="79" t="s">
        <v>156</v>
      </c>
      <c r="BL102" s="79" t="s">
        <v>157</v>
      </c>
      <c r="BM102" s="79" t="s">
        <v>158</v>
      </c>
      <c r="BN102" s="79" t="s">
        <v>159</v>
      </c>
      <c r="BO102" s="79" t="s">
        <v>160</v>
      </c>
      <c r="BP102" s="79" t="s">
        <v>161</v>
      </c>
      <c r="BQ102" s="79" t="s">
        <v>162</v>
      </c>
      <c r="BR102" s="79" t="s">
        <v>163</v>
      </c>
      <c r="BS102" s="79" t="s">
        <v>164</v>
      </c>
      <c r="BT102" s="79" t="s">
        <v>165</v>
      </c>
      <c r="BU102" s="79" t="s">
        <v>166</v>
      </c>
      <c r="BV102" s="79" t="s">
        <v>167</v>
      </c>
      <c r="BW102" s="80" t="s">
        <v>168</v>
      </c>
      <c r="BX102" s="81"/>
    </row>
    <row r="103" spans="60:87" ht="19.5" thickTop="1" thickBot="1" x14ac:dyDescent="0.3">
      <c r="BH103" s="323"/>
      <c r="BI103" s="324"/>
      <c r="BJ103" s="82" t="s">
        <v>169</v>
      </c>
      <c r="BK103" s="83" t="s">
        <v>169</v>
      </c>
      <c r="BL103" s="83" t="s">
        <v>169</v>
      </c>
      <c r="BM103" s="83" t="s">
        <v>169</v>
      </c>
      <c r="BN103" s="83" t="s">
        <v>169</v>
      </c>
      <c r="BO103" s="83" t="s">
        <v>169</v>
      </c>
      <c r="BP103" s="83" t="s">
        <v>169</v>
      </c>
      <c r="BQ103" s="83" t="s">
        <v>169</v>
      </c>
      <c r="BR103" s="83" t="s">
        <v>169</v>
      </c>
      <c r="BS103" s="83" t="s">
        <v>169</v>
      </c>
      <c r="BT103" s="83" t="s">
        <v>169</v>
      </c>
      <c r="BU103" s="83" t="s">
        <v>169</v>
      </c>
      <c r="BV103" s="83" t="s">
        <v>169</v>
      </c>
      <c r="BW103" s="84" t="s">
        <v>169</v>
      </c>
      <c r="BX103" s="81"/>
      <c r="CC103" s="314" t="s">
        <v>154</v>
      </c>
      <c r="CD103" s="315"/>
      <c r="CE103" s="121" t="s">
        <v>176</v>
      </c>
      <c r="CF103" s="122" t="s">
        <v>177</v>
      </c>
      <c r="CG103" s="122" t="s">
        <v>178</v>
      </c>
      <c r="CH103" s="123" t="s">
        <v>179</v>
      </c>
      <c r="CI103" s="124"/>
    </row>
    <row r="104" spans="60:87" ht="16.5" thickTop="1" thickBot="1" x14ac:dyDescent="0.3">
      <c r="BH104" s="325" t="s">
        <v>170</v>
      </c>
      <c r="BI104" s="85" t="s">
        <v>11</v>
      </c>
      <c r="BJ104" s="86">
        <v>365567.99999999965</v>
      </c>
      <c r="BK104" s="87">
        <v>353770.99999999948</v>
      </c>
      <c r="BL104" s="87">
        <v>342045.99999999983</v>
      </c>
      <c r="BM104" s="87">
        <v>352103.00000000035</v>
      </c>
      <c r="BN104" s="87">
        <v>370763.99999999983</v>
      </c>
      <c r="BO104" s="87">
        <v>360864.00000000035</v>
      </c>
      <c r="BP104" s="87">
        <v>338510.00000000122</v>
      </c>
      <c r="BQ104" s="87">
        <v>340168.00000000064</v>
      </c>
      <c r="BR104" s="87">
        <v>356944.99999999965</v>
      </c>
      <c r="BS104" s="87">
        <v>349231.00000000175</v>
      </c>
      <c r="BT104" s="87">
        <v>344885.00000000023</v>
      </c>
      <c r="BU104" s="87">
        <v>355396.99999999983</v>
      </c>
      <c r="BV104" s="87">
        <v>369978.00000000105</v>
      </c>
      <c r="BW104" s="88">
        <v>356346.00000000099</v>
      </c>
      <c r="BX104" s="81"/>
      <c r="CC104" s="316"/>
      <c r="CD104" s="317"/>
      <c r="CE104" s="125" t="s">
        <v>169</v>
      </c>
      <c r="CF104" s="126" t="s">
        <v>169</v>
      </c>
      <c r="CG104" s="126" t="s">
        <v>169</v>
      </c>
      <c r="CH104" s="127" t="s">
        <v>169</v>
      </c>
      <c r="CI104" s="124"/>
    </row>
    <row r="105" spans="60:87" ht="16.5" thickTop="1" thickBot="1" x14ac:dyDescent="0.3">
      <c r="BH105" s="326"/>
      <c r="BI105" s="89" t="s">
        <v>15</v>
      </c>
      <c r="BJ105" s="90">
        <v>16124.000000000011</v>
      </c>
      <c r="BK105" s="91">
        <v>15563.000000000002</v>
      </c>
      <c r="BL105" s="91">
        <v>14810.000000000004</v>
      </c>
      <c r="BM105" s="91">
        <v>14605.999999999984</v>
      </c>
      <c r="BN105" s="91">
        <v>15030.999999999998</v>
      </c>
      <c r="BO105" s="91">
        <v>15168.999999999985</v>
      </c>
      <c r="BP105" s="91">
        <v>14816.000000000013</v>
      </c>
      <c r="BQ105" s="91">
        <v>15163.000000000009</v>
      </c>
      <c r="BR105" s="91">
        <v>14982.000000000009</v>
      </c>
      <c r="BS105" s="91">
        <v>15192.000000000011</v>
      </c>
      <c r="BT105" s="91">
        <v>14908.000000000015</v>
      </c>
      <c r="BU105" s="91">
        <v>15125.000000000009</v>
      </c>
      <c r="BV105" s="91">
        <v>15167.999999999993</v>
      </c>
      <c r="BW105" s="92">
        <v>15127.000000000005</v>
      </c>
      <c r="BX105" s="81"/>
      <c r="CC105" s="131" t="s">
        <v>180</v>
      </c>
      <c r="CD105" s="132" t="s">
        <v>181</v>
      </c>
      <c r="CE105" s="128">
        <v>6607716.9999999236</v>
      </c>
      <c r="CF105" s="129">
        <v>6515079.9999998296</v>
      </c>
      <c r="CG105" s="129">
        <v>6595292.0000000577</v>
      </c>
      <c r="CH105" s="130">
        <v>6499821.0000000261</v>
      </c>
      <c r="CI105" s="124"/>
    </row>
    <row r="106" spans="60:87" ht="15.75" thickTop="1" x14ac:dyDescent="0.25">
      <c r="BH106" s="326"/>
      <c r="BI106" s="89" t="s">
        <v>18</v>
      </c>
      <c r="BJ106" s="90">
        <v>70484.000000000044</v>
      </c>
      <c r="BK106" s="91">
        <v>70989.000000000073</v>
      </c>
      <c r="BL106" s="91">
        <v>70918.999999999956</v>
      </c>
      <c r="BM106" s="91">
        <v>71668.999999999913</v>
      </c>
      <c r="BN106" s="91">
        <v>72607.000000000073</v>
      </c>
      <c r="BO106" s="91">
        <v>73321.000000000102</v>
      </c>
      <c r="BP106" s="91">
        <v>74132.999999999927</v>
      </c>
      <c r="BQ106" s="91">
        <v>75418.99999999984</v>
      </c>
      <c r="BR106" s="91">
        <v>77172</v>
      </c>
      <c r="BS106" s="91">
        <v>78663.999999999884</v>
      </c>
      <c r="BT106" s="91">
        <v>80657.999999999869</v>
      </c>
      <c r="BU106" s="91">
        <v>82262.999999999884</v>
      </c>
      <c r="BV106" s="91">
        <v>83922.000000000116</v>
      </c>
      <c r="BW106" s="92">
        <v>83751.000000000029</v>
      </c>
      <c r="BX106" s="81"/>
    </row>
    <row r="107" spans="60:87" x14ac:dyDescent="0.25">
      <c r="BH107" s="326"/>
      <c r="BI107" s="89" t="s">
        <v>23</v>
      </c>
      <c r="BJ107" s="90">
        <v>1285758.9999999849</v>
      </c>
      <c r="BK107" s="91">
        <v>1282498.0000000068</v>
      </c>
      <c r="BL107" s="91">
        <v>1279812.0000000168</v>
      </c>
      <c r="BM107" s="91">
        <v>1287796.9999999923</v>
      </c>
      <c r="BN107" s="91">
        <v>1295474.0000000137</v>
      </c>
      <c r="BO107" s="91">
        <v>1293808.0000000219</v>
      </c>
      <c r="BP107" s="91">
        <v>1290663.0000000035</v>
      </c>
      <c r="BQ107" s="91">
        <v>1293990.9999999893</v>
      </c>
      <c r="BR107" s="91">
        <v>1288747.0000000058</v>
      </c>
      <c r="BS107" s="91">
        <v>1278631.0000000016</v>
      </c>
      <c r="BT107" s="91">
        <v>1272811.9999999932</v>
      </c>
      <c r="BU107" s="91">
        <v>1273491.0000000007</v>
      </c>
      <c r="BV107" s="91">
        <v>1278640.0000000086</v>
      </c>
      <c r="BW107" s="92">
        <v>1292632.9999999932</v>
      </c>
      <c r="BX107" s="81"/>
    </row>
    <row r="108" spans="60:87" x14ac:dyDescent="0.25">
      <c r="BH108" s="326"/>
      <c r="BI108" s="89" t="s">
        <v>48</v>
      </c>
      <c r="BJ108" s="90">
        <v>60027.000000000007</v>
      </c>
      <c r="BK108" s="91">
        <v>60666.999999999956</v>
      </c>
      <c r="BL108" s="91">
        <v>60917.999999999993</v>
      </c>
      <c r="BM108" s="91">
        <v>61593.000000000044</v>
      </c>
      <c r="BN108" s="91">
        <v>62336.999999999905</v>
      </c>
      <c r="BO108" s="91">
        <v>62948.999999999898</v>
      </c>
      <c r="BP108" s="91">
        <v>64090.000000000073</v>
      </c>
      <c r="BQ108" s="91">
        <v>65180.999999999978</v>
      </c>
      <c r="BR108" s="91">
        <v>65731.000000000015</v>
      </c>
      <c r="BS108" s="91">
        <v>66521</v>
      </c>
      <c r="BT108" s="91">
        <v>67388.999999999942</v>
      </c>
      <c r="BU108" s="91">
        <v>68130.000000000015</v>
      </c>
      <c r="BV108" s="91">
        <v>68804</v>
      </c>
      <c r="BW108" s="92">
        <v>69564.999999999927</v>
      </c>
      <c r="BX108" s="81"/>
    </row>
    <row r="109" spans="60:87" x14ac:dyDescent="0.25">
      <c r="BH109" s="326"/>
      <c r="BI109" s="89" t="s">
        <v>52</v>
      </c>
      <c r="BJ109" s="90">
        <v>464814.99999999924</v>
      </c>
      <c r="BK109" s="91">
        <v>460367.00000000128</v>
      </c>
      <c r="BL109" s="91">
        <v>449855.99999999965</v>
      </c>
      <c r="BM109" s="91">
        <v>446539.00000000029</v>
      </c>
      <c r="BN109" s="91">
        <v>443931.00000000052</v>
      </c>
      <c r="BO109" s="91">
        <v>451771.00000000029</v>
      </c>
      <c r="BP109" s="91">
        <v>453520.00000000116</v>
      </c>
      <c r="BQ109" s="91">
        <v>454364.00000000041</v>
      </c>
      <c r="BR109" s="91">
        <v>440985.99999999919</v>
      </c>
      <c r="BS109" s="91">
        <v>443460.99999999977</v>
      </c>
      <c r="BT109" s="91">
        <v>448992.00000000041</v>
      </c>
      <c r="BU109" s="91">
        <v>457538.00000000023</v>
      </c>
      <c r="BV109" s="91">
        <v>462564.99999999907</v>
      </c>
      <c r="BW109" s="92">
        <v>479953.00000000006</v>
      </c>
      <c r="BX109" s="81"/>
    </row>
    <row r="110" spans="60:87" x14ac:dyDescent="0.25">
      <c r="BH110" s="326"/>
      <c r="BI110" s="89" t="s">
        <v>55</v>
      </c>
      <c r="BJ110" s="90">
        <v>1152336.0000000063</v>
      </c>
      <c r="BK110" s="91">
        <v>1136974.000000003</v>
      </c>
      <c r="BL110" s="91">
        <v>1137343.0000000023</v>
      </c>
      <c r="BM110" s="91">
        <v>1153506.0000000005</v>
      </c>
      <c r="BN110" s="91">
        <v>1165476.0000000047</v>
      </c>
      <c r="BO110" s="91">
        <v>1150248.0000000061</v>
      </c>
      <c r="BP110" s="91">
        <v>1151880.0000000058</v>
      </c>
      <c r="BQ110" s="91">
        <v>1164818.0000000063</v>
      </c>
      <c r="BR110" s="91">
        <v>1173153.0000000051</v>
      </c>
      <c r="BS110" s="91">
        <v>1154822.0000000007</v>
      </c>
      <c r="BT110" s="91">
        <v>1156367.9999999912</v>
      </c>
      <c r="BU110" s="91">
        <v>1164054.0000000026</v>
      </c>
      <c r="BV110" s="91">
        <v>1177683.0000000068</v>
      </c>
      <c r="BW110" s="92">
        <v>1172729.9999999991</v>
      </c>
      <c r="BX110" s="81"/>
    </row>
    <row r="111" spans="60:87" x14ac:dyDescent="0.25">
      <c r="BH111" s="326"/>
      <c r="BI111" s="89" t="s">
        <v>60</v>
      </c>
      <c r="BJ111" s="90">
        <v>271815.00000000058</v>
      </c>
      <c r="BK111" s="91">
        <v>253280.00000000047</v>
      </c>
      <c r="BL111" s="91">
        <v>255538.00000000079</v>
      </c>
      <c r="BM111" s="91">
        <v>266083.00000000035</v>
      </c>
      <c r="BN111" s="91">
        <v>281277.99999999977</v>
      </c>
      <c r="BO111" s="91">
        <v>257484.00000000006</v>
      </c>
      <c r="BP111" s="91">
        <v>260358.00000000015</v>
      </c>
      <c r="BQ111" s="91">
        <v>270305</v>
      </c>
      <c r="BR111" s="91">
        <v>284635.99999999983</v>
      </c>
      <c r="BS111" s="91">
        <v>262370.00000000023</v>
      </c>
      <c r="BT111" s="91">
        <v>262959.99999999971</v>
      </c>
      <c r="BU111" s="91">
        <v>271980.99999999919</v>
      </c>
      <c r="BV111" s="91">
        <v>289656.00000000029</v>
      </c>
      <c r="BW111" s="92">
        <v>267843.00000000035</v>
      </c>
      <c r="BX111" s="81"/>
    </row>
    <row r="112" spans="60:87" x14ac:dyDescent="0.25">
      <c r="BH112" s="326"/>
      <c r="BI112" s="89" t="s">
        <v>63</v>
      </c>
      <c r="BJ112" s="90">
        <v>552994.99999999837</v>
      </c>
      <c r="BK112" s="91">
        <v>555321.99999999686</v>
      </c>
      <c r="BL112" s="91">
        <v>552419.00000000081</v>
      </c>
      <c r="BM112" s="91">
        <v>556680.00000000175</v>
      </c>
      <c r="BN112" s="91">
        <v>558761.9999999993</v>
      </c>
      <c r="BO112" s="91">
        <v>559267.00000000244</v>
      </c>
      <c r="BP112" s="91">
        <v>562619.0000000007</v>
      </c>
      <c r="BQ112" s="91">
        <v>565027.99999999825</v>
      </c>
      <c r="BR112" s="91">
        <v>566162.00000000058</v>
      </c>
      <c r="BS112" s="91">
        <v>564490.99999999662</v>
      </c>
      <c r="BT112" s="91">
        <v>565339.00000000244</v>
      </c>
      <c r="BU112" s="91">
        <v>568046.99999999953</v>
      </c>
      <c r="BV112" s="91">
        <v>572017.00000000105</v>
      </c>
      <c r="BW112" s="92">
        <v>576646.00000000047</v>
      </c>
      <c r="BX112" s="81"/>
    </row>
    <row r="113" spans="60:81" x14ac:dyDescent="0.25">
      <c r="BH113" s="326"/>
      <c r="BI113" s="89" t="s">
        <v>70</v>
      </c>
      <c r="BJ113" s="90">
        <v>160237.00000000064</v>
      </c>
      <c r="BK113" s="91">
        <v>161301.99999999988</v>
      </c>
      <c r="BL113" s="91">
        <v>162573.99999999991</v>
      </c>
      <c r="BM113" s="91">
        <v>163304.99999999962</v>
      </c>
      <c r="BN113" s="91">
        <v>163720.9999999998</v>
      </c>
      <c r="BO113" s="91">
        <v>164235.00000000009</v>
      </c>
      <c r="BP113" s="91">
        <v>164694.9999999998</v>
      </c>
      <c r="BQ113" s="91">
        <v>164931.99999999953</v>
      </c>
      <c r="BR113" s="91">
        <v>165449.00000000012</v>
      </c>
      <c r="BS113" s="91">
        <v>164816</v>
      </c>
      <c r="BT113" s="91">
        <v>165204.00000000055</v>
      </c>
      <c r="BU113" s="91">
        <v>162479.99999999974</v>
      </c>
      <c r="BV113" s="91">
        <v>163149.00000000012</v>
      </c>
      <c r="BW113" s="92">
        <v>163750</v>
      </c>
      <c r="BX113" s="81"/>
    </row>
    <row r="114" spans="60:81" x14ac:dyDescent="0.25">
      <c r="BH114" s="326"/>
      <c r="BI114" s="89" t="s">
        <v>75</v>
      </c>
      <c r="BJ114" s="90">
        <v>919448.00000000233</v>
      </c>
      <c r="BK114" s="91">
        <v>890480.00000000081</v>
      </c>
      <c r="BL114" s="91">
        <v>881065.0000000014</v>
      </c>
      <c r="BM114" s="91">
        <v>889743.99999999534</v>
      </c>
      <c r="BN114" s="91">
        <v>900740.99999999721</v>
      </c>
      <c r="BO114" s="91">
        <v>879527.00000000186</v>
      </c>
      <c r="BP114" s="91">
        <v>877856.9999999943</v>
      </c>
      <c r="BQ114" s="91">
        <v>886942.00000000268</v>
      </c>
      <c r="BR114" s="91">
        <v>885047.99999999756</v>
      </c>
      <c r="BS114" s="91">
        <v>863759.99999999988</v>
      </c>
      <c r="BT114" s="91">
        <v>856438.99999999814</v>
      </c>
      <c r="BU114" s="91">
        <v>873349.99999999639</v>
      </c>
      <c r="BV114" s="91">
        <v>893280.99999999872</v>
      </c>
      <c r="BW114" s="92">
        <v>884885.00000000268</v>
      </c>
      <c r="BX114" s="81"/>
    </row>
    <row r="115" spans="60:81" x14ac:dyDescent="0.25">
      <c r="BH115" s="326"/>
      <c r="BI115" s="89" t="s">
        <v>83</v>
      </c>
      <c r="BJ115" s="90">
        <v>425158.99999999942</v>
      </c>
      <c r="BK115" s="91">
        <v>442733.99999999988</v>
      </c>
      <c r="BL115" s="91">
        <v>445610.00000000064</v>
      </c>
      <c r="BM115" s="91">
        <v>449624.00000000041</v>
      </c>
      <c r="BN115" s="91">
        <v>433739.00000000023</v>
      </c>
      <c r="BO115" s="91">
        <v>457210.99999999953</v>
      </c>
      <c r="BP115" s="91">
        <v>456512.99999999942</v>
      </c>
      <c r="BQ115" s="91">
        <v>458129.00000000029</v>
      </c>
      <c r="BR115" s="91">
        <v>439970.99999999983</v>
      </c>
      <c r="BS115" s="91">
        <v>465266.00000000012</v>
      </c>
      <c r="BT115" s="91">
        <v>470360.99999999977</v>
      </c>
      <c r="BU115" s="91">
        <v>473202.00000000047</v>
      </c>
      <c r="BV115" s="91">
        <v>459956.99999999942</v>
      </c>
      <c r="BW115" s="92">
        <v>488115.00000000041</v>
      </c>
      <c r="BX115" s="81"/>
    </row>
    <row r="116" spans="60:81" x14ac:dyDescent="0.25">
      <c r="BH116" s="326"/>
      <c r="BI116" s="89" t="s">
        <v>86</v>
      </c>
      <c r="BJ116" s="90">
        <v>280547.00000000023</v>
      </c>
      <c r="BK116" s="91">
        <v>281692.99999999994</v>
      </c>
      <c r="BL116" s="91">
        <v>284712.99999999936</v>
      </c>
      <c r="BM116" s="91">
        <v>287784.99999999983</v>
      </c>
      <c r="BN116" s="91">
        <v>290107.00000000023</v>
      </c>
      <c r="BO116" s="91">
        <v>291092.99999999977</v>
      </c>
      <c r="BP116" s="91">
        <v>293848.00000000023</v>
      </c>
      <c r="BQ116" s="91">
        <v>296677.00000000029</v>
      </c>
      <c r="BR116" s="91">
        <v>299709.00000000058</v>
      </c>
      <c r="BS116" s="91">
        <v>299511.00000000041</v>
      </c>
      <c r="BT116" s="91">
        <v>303078</v>
      </c>
      <c r="BU116" s="91">
        <v>306786.00000000017</v>
      </c>
      <c r="BV116" s="91">
        <v>309437.00000000006</v>
      </c>
      <c r="BW116" s="92">
        <v>310949.99999999971</v>
      </c>
      <c r="BX116" s="81"/>
    </row>
    <row r="117" spans="60:81" x14ac:dyDescent="0.25">
      <c r="BH117" s="326"/>
      <c r="BI117" s="89" t="s">
        <v>89</v>
      </c>
      <c r="BJ117" s="90">
        <v>392835.00000000035</v>
      </c>
      <c r="BK117" s="91">
        <v>388893.00000000041</v>
      </c>
      <c r="BL117" s="91">
        <v>389642.99999999854</v>
      </c>
      <c r="BM117" s="91">
        <v>394892.99999999936</v>
      </c>
      <c r="BN117" s="91">
        <v>397044.00000000186</v>
      </c>
      <c r="BO117" s="91">
        <v>392617.00000000035</v>
      </c>
      <c r="BP117" s="91">
        <v>393961.00000000169</v>
      </c>
      <c r="BQ117" s="91">
        <v>398615.99999999953</v>
      </c>
      <c r="BR117" s="91">
        <v>401176.00000000047</v>
      </c>
      <c r="BS117" s="91">
        <v>395669.00000000035</v>
      </c>
      <c r="BT117" s="91">
        <v>396701.00000000076</v>
      </c>
      <c r="BU117" s="91">
        <v>403161.99999999889</v>
      </c>
      <c r="BV117" s="91">
        <v>409670.00000000012</v>
      </c>
      <c r="BW117" s="92">
        <v>406206.99999999872</v>
      </c>
      <c r="BX117" s="81"/>
    </row>
    <row r="118" spans="60:81" ht="15.75" thickBot="1" x14ac:dyDescent="0.3">
      <c r="BH118" s="327"/>
      <c r="BI118" s="93" t="s">
        <v>171</v>
      </c>
      <c r="BJ118" s="94">
        <v>6418149.0000000885</v>
      </c>
      <c r="BK118" s="95">
        <v>6354533.0000000056</v>
      </c>
      <c r="BL118" s="95">
        <v>6327265.9999999758</v>
      </c>
      <c r="BM118" s="95">
        <v>6395927.0000000121</v>
      </c>
      <c r="BN118" s="95">
        <v>6451011.9999999069</v>
      </c>
      <c r="BO118" s="95">
        <v>6409564.0000002282</v>
      </c>
      <c r="BP118" s="95">
        <v>6397463.0000000307</v>
      </c>
      <c r="BQ118" s="95">
        <v>6449732.9999999823</v>
      </c>
      <c r="BR118" s="95">
        <v>6459867.0000000317</v>
      </c>
      <c r="BS118" s="95">
        <v>6402404.9999999609</v>
      </c>
      <c r="BT118" s="95">
        <v>6406093.9999998827</v>
      </c>
      <c r="BU118" s="95">
        <v>6475006.0000001453</v>
      </c>
      <c r="BV118" s="95">
        <v>6553927.0000000531</v>
      </c>
      <c r="BW118" s="96">
        <v>6568500.9999999572</v>
      </c>
      <c r="BX118" s="81"/>
    </row>
    <row r="120" spans="60:81" x14ac:dyDescent="0.25">
      <c r="BK120" t="e">
        <f t="shared" ref="BK120:BV120" si="96">+BK118/BG118-1</f>
        <v>#DIV/0!</v>
      </c>
      <c r="BL120" t="e">
        <f t="shared" si="96"/>
        <v>#DIV/0!</v>
      </c>
      <c r="BM120" t="e">
        <f t="shared" si="96"/>
        <v>#VALUE!</v>
      </c>
      <c r="BN120" s="97">
        <f t="shared" si="96"/>
        <v>5.1203236322212575E-3</v>
      </c>
      <c r="BO120" s="97">
        <f t="shared" si="96"/>
        <v>8.6601171164304436E-3</v>
      </c>
      <c r="BP120" s="97">
        <f t="shared" si="96"/>
        <v>1.1094365244017856E-2</v>
      </c>
      <c r="BQ120" s="97">
        <f t="shared" si="96"/>
        <v>8.4125412938531596E-3</v>
      </c>
      <c r="BR120" s="97">
        <f t="shared" si="96"/>
        <v>1.3726528489057532E-3</v>
      </c>
      <c r="BS120" s="97">
        <f t="shared" si="96"/>
        <v>-1.1169246457741755E-3</v>
      </c>
      <c r="BT120" s="97">
        <f t="shared" si="96"/>
        <v>1.3491285529672048E-3</v>
      </c>
      <c r="BU120" s="97">
        <f t="shared" si="96"/>
        <v>3.918456779554047E-3</v>
      </c>
      <c r="BV120" s="97">
        <f t="shared" si="96"/>
        <v>1.4560671295557714E-2</v>
      </c>
      <c r="BW120" s="97">
        <f>+BW118/BS118-1</f>
        <v>2.5942751200525027E-2</v>
      </c>
    </row>
    <row r="122" spans="60:81" ht="15.75" thickBot="1" x14ac:dyDescent="0.3">
      <c r="BS122" s="313" t="s">
        <v>172</v>
      </c>
      <c r="BT122" s="313"/>
      <c r="BU122" s="313"/>
      <c r="BV122" s="313"/>
      <c r="BW122" s="313"/>
      <c r="BX122" s="313"/>
      <c r="BY122" s="313"/>
      <c r="BZ122" s="313"/>
      <c r="CA122" s="313"/>
      <c r="CB122" s="313"/>
      <c r="CC122" s="313"/>
    </row>
    <row r="123" spans="60:81" ht="15.75" thickTop="1" x14ac:dyDescent="0.25">
      <c r="BS123" s="98" t="s">
        <v>159</v>
      </c>
      <c r="BT123" s="99" t="s">
        <v>160</v>
      </c>
      <c r="BU123" s="99" t="s">
        <v>161</v>
      </c>
      <c r="BV123" s="99" t="s">
        <v>162</v>
      </c>
      <c r="BW123" s="99" t="s">
        <v>163</v>
      </c>
      <c r="BX123" s="99" t="s">
        <v>164</v>
      </c>
      <c r="BY123" s="99" t="s">
        <v>165</v>
      </c>
      <c r="BZ123" s="99" t="s">
        <v>166</v>
      </c>
      <c r="CA123" s="99" t="s">
        <v>167</v>
      </c>
      <c r="CB123" s="99" t="s">
        <v>168</v>
      </c>
      <c r="CC123" s="100" t="s">
        <v>173</v>
      </c>
    </row>
    <row r="124" spans="60:81" ht="15.75" thickBot="1" x14ac:dyDescent="0.3">
      <c r="BS124" s="101" t="s">
        <v>169</v>
      </c>
      <c r="BT124" s="102" t="s">
        <v>169</v>
      </c>
      <c r="BU124" s="102" t="s">
        <v>169</v>
      </c>
      <c r="BV124" s="102" t="s">
        <v>169</v>
      </c>
      <c r="BW124" s="102" t="s">
        <v>169</v>
      </c>
      <c r="BX124" s="102" t="s">
        <v>169</v>
      </c>
      <c r="BY124" s="102" t="s">
        <v>169</v>
      </c>
      <c r="BZ124" s="102" t="s">
        <v>169</v>
      </c>
      <c r="CA124" s="102" t="s">
        <v>169</v>
      </c>
      <c r="CB124" s="102" t="s">
        <v>169</v>
      </c>
      <c r="CC124" s="103" t="s">
        <v>169</v>
      </c>
    </row>
    <row r="125" spans="60:81" ht="16.5" thickTop="1" thickBot="1" x14ac:dyDescent="0.3">
      <c r="BS125" s="104">
        <v>6453950.0000001797</v>
      </c>
      <c r="BT125" s="105">
        <v>6413582.0000001164</v>
      </c>
      <c r="BU125" s="105">
        <v>6401985.9999999022</v>
      </c>
      <c r="BV125" s="105">
        <v>6454420.9999999525</v>
      </c>
      <c r="BW125" s="105">
        <v>6463297.0000000764</v>
      </c>
      <c r="BX125" s="105">
        <v>6407070.9999999683</v>
      </c>
      <c r="BY125" s="105">
        <v>6410154.9999999776</v>
      </c>
      <c r="BZ125" s="105">
        <v>6480716.9999998696</v>
      </c>
      <c r="CA125" s="105">
        <v>6556614.0000000224</v>
      </c>
      <c r="CB125" s="105">
        <v>6568292.9999999963</v>
      </c>
      <c r="CC125" s="106">
        <v>6584272.0000000978</v>
      </c>
    </row>
  </sheetData>
  <mergeCells count="114">
    <mergeCell ref="BH102:BI103"/>
    <mergeCell ref="BH104:BH118"/>
    <mergeCell ref="CA5:CA6"/>
    <mergeCell ref="CB5:CB6"/>
    <mergeCell ref="BZ5:BZ6"/>
    <mergeCell ref="BY5:BY6"/>
    <mergeCell ref="BW5:BW6"/>
    <mergeCell ref="BI5:BI6"/>
    <mergeCell ref="BJ5:BJ6"/>
    <mergeCell ref="BK5:BK6"/>
    <mergeCell ref="BP5:BP6"/>
    <mergeCell ref="BQ5:BQ6"/>
    <mergeCell ref="BR5:BR6"/>
    <mergeCell ref="BS5:BS6"/>
    <mergeCell ref="BU5:BU6"/>
    <mergeCell ref="BV5:BV6"/>
    <mergeCell ref="P5:P6"/>
    <mergeCell ref="Q5:Q6"/>
    <mergeCell ref="R5:R6"/>
    <mergeCell ref="S5:S6"/>
    <mergeCell ref="T5:T6"/>
    <mergeCell ref="A5:A6"/>
    <mergeCell ref="B5:B6"/>
    <mergeCell ref="C5:C6"/>
    <mergeCell ref="D5:D6"/>
    <mergeCell ref="E5:E6"/>
    <mergeCell ref="F5:F6"/>
    <mergeCell ref="G5:G6"/>
    <mergeCell ref="H5:H6"/>
    <mergeCell ref="I5:I6"/>
    <mergeCell ref="J5:J6"/>
    <mergeCell ref="K5:K6"/>
    <mergeCell ref="L5:L6"/>
    <mergeCell ref="M5:M6"/>
    <mergeCell ref="N5:N6"/>
    <mergeCell ref="O5:O6"/>
    <mergeCell ref="Z5:Z6"/>
    <mergeCell ref="AA5:AA6"/>
    <mergeCell ref="AB5:AB6"/>
    <mergeCell ref="AC5:AC6"/>
    <mergeCell ref="AD5:AD6"/>
    <mergeCell ref="U5:U6"/>
    <mergeCell ref="V5:V6"/>
    <mergeCell ref="W5:W6"/>
    <mergeCell ref="X5:X6"/>
    <mergeCell ref="Y5:Y6"/>
    <mergeCell ref="AJ5:AJ6"/>
    <mergeCell ref="AK5:AK6"/>
    <mergeCell ref="AL5:AL6"/>
    <mergeCell ref="AM5:AM6"/>
    <mergeCell ref="AN5:AN6"/>
    <mergeCell ref="AE5:AE6"/>
    <mergeCell ref="AF5:AF6"/>
    <mergeCell ref="AG5:AG6"/>
    <mergeCell ref="AH5:AH6"/>
    <mergeCell ref="AI5:AI6"/>
    <mergeCell ref="AT5:AT6"/>
    <mergeCell ref="AU5:AU6"/>
    <mergeCell ref="AV5:AV6"/>
    <mergeCell ref="AW5:AW6"/>
    <mergeCell ref="AX5:AX6"/>
    <mergeCell ref="AO5:AO6"/>
    <mergeCell ref="AP5:AP6"/>
    <mergeCell ref="AQ5:AQ6"/>
    <mergeCell ref="AR5:AR6"/>
    <mergeCell ref="AS5:AS6"/>
    <mergeCell ref="AY5:AY6"/>
    <mergeCell ref="AZ5:AZ6"/>
    <mergeCell ref="BA5:BA6"/>
    <mergeCell ref="BB5:BB6"/>
    <mergeCell ref="BO5:BO6"/>
    <mergeCell ref="BC5:BC6"/>
    <mergeCell ref="BD5:BD6"/>
    <mergeCell ref="BE5:BE6"/>
    <mergeCell ref="BF5:BF6"/>
    <mergeCell ref="BG5:BG6"/>
    <mergeCell ref="BH5:BH6"/>
    <mergeCell ref="BL5:BL6"/>
    <mergeCell ref="BM5:BM6"/>
    <mergeCell ref="BN5:BN6"/>
    <mergeCell ref="CK5:CK6"/>
    <mergeCell ref="BS122:CC122"/>
    <mergeCell ref="CC5:CC6"/>
    <mergeCell ref="BX5:BX6"/>
    <mergeCell ref="CC103:CD104"/>
    <mergeCell ref="CF5:CF6"/>
    <mergeCell ref="BT5:BT6"/>
    <mergeCell ref="CI90:CI92"/>
    <mergeCell ref="CD5:CD6"/>
    <mergeCell ref="CE5:CE6"/>
    <mergeCell ref="CG5:CG6"/>
    <mergeCell ref="CH5:CH6"/>
    <mergeCell ref="CI5:CI6"/>
    <mergeCell ref="CJ5:CJ6"/>
    <mergeCell ref="CQ5:CQ6"/>
    <mergeCell ref="CR5:CR6"/>
    <mergeCell ref="DG5:DG6"/>
    <mergeCell ref="DH5:DH6"/>
    <mergeCell ref="CL5:CL6"/>
    <mergeCell ref="CM5:CM6"/>
    <mergeCell ref="CN5:CN6"/>
    <mergeCell ref="CO5:CO6"/>
    <mergeCell ref="CP5:CP6"/>
    <mergeCell ref="CS5:CS6"/>
    <mergeCell ref="CT5:CT6"/>
    <mergeCell ref="CU5:CU6"/>
    <mergeCell ref="CV5:CV6"/>
    <mergeCell ref="CW5:CW6"/>
    <mergeCell ref="CX5:CX6"/>
    <mergeCell ref="CY5:CY6"/>
    <mergeCell ref="CZ5:CZ6"/>
    <mergeCell ref="DA5:DA6"/>
    <mergeCell ref="DB5:DB6"/>
    <mergeCell ref="DC5:DC6"/>
  </mergeCells>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29</vt:i4>
      </vt:variant>
      <vt:variant>
        <vt:lpstr>Rangos con nombre</vt:lpstr>
      </vt:variant>
      <vt:variant>
        <vt:i4>39</vt:i4>
      </vt:variant>
    </vt:vector>
  </HeadingPairs>
  <TitlesOfParts>
    <vt:vector size="68" baseType="lpstr">
      <vt:lpstr>Carátula</vt:lpstr>
      <vt:lpstr>Indice</vt:lpstr>
      <vt:lpstr>Metodología</vt:lpstr>
      <vt:lpstr>Partidos de GBA</vt:lpstr>
      <vt:lpstr>Capital Federal</vt:lpstr>
      <vt:lpstr>Resto de Buenos Aires</vt:lpstr>
      <vt:lpstr>Catamarca</vt:lpstr>
      <vt:lpstr>Cordoba</vt:lpstr>
      <vt:lpstr>Corrientes</vt:lpstr>
      <vt:lpstr>Chaco</vt:lpstr>
      <vt:lpstr>Chubut</vt:lpstr>
      <vt:lpstr>Entre Rios</vt:lpstr>
      <vt:lpstr>Formosa</vt:lpstr>
      <vt:lpstr>Jujuy</vt:lpstr>
      <vt:lpstr>La Pampa</vt:lpstr>
      <vt:lpstr>La Rioja</vt:lpstr>
      <vt:lpstr>Mendoza</vt:lpstr>
      <vt:lpstr>Misiones</vt:lpstr>
      <vt:lpstr>Neuquen</vt:lpstr>
      <vt:lpstr>Rio Negro</vt:lpstr>
      <vt:lpstr>San Juan</vt:lpstr>
      <vt:lpstr>Salta</vt:lpstr>
      <vt:lpstr>San Luis</vt:lpstr>
      <vt:lpstr>Santa Cruz</vt:lpstr>
      <vt:lpstr>Santa Fe</vt:lpstr>
      <vt:lpstr>Santiago del Estero</vt:lpstr>
      <vt:lpstr>Tucuman</vt:lpstr>
      <vt:lpstr>Tierra del Fuego</vt:lpstr>
      <vt:lpstr>Hoja1</vt:lpstr>
      <vt:lpstr>'Capital Federal'!Área_de_impresión</vt:lpstr>
      <vt:lpstr>Catamarca!Área_de_impresión</vt:lpstr>
      <vt:lpstr>Chaco!Área_de_impresión</vt:lpstr>
      <vt:lpstr>'Entre Rios'!Área_de_impresión</vt:lpstr>
      <vt:lpstr>Jujuy!Área_de_impresión</vt:lpstr>
      <vt:lpstr>'La Pampa'!Área_de_impresión</vt:lpstr>
      <vt:lpstr>'La Rioja'!Área_de_impresión</vt:lpstr>
      <vt:lpstr>Mendoza!Área_de_impresión</vt:lpstr>
      <vt:lpstr>Misiones!Área_de_impresión</vt:lpstr>
      <vt:lpstr>Neuquen!Área_de_impresión</vt:lpstr>
      <vt:lpstr>'Partidos de GBA'!Área_de_impresión</vt:lpstr>
      <vt:lpstr>'Rio Negro'!Área_de_impresión</vt:lpstr>
      <vt:lpstr>Salta!Área_de_impresión</vt:lpstr>
      <vt:lpstr>'San Juan'!Área_de_impresión</vt:lpstr>
      <vt:lpstr>'San Luis'!Área_de_impresión</vt:lpstr>
      <vt:lpstr>'Santa Cruz'!Área_de_impresión</vt:lpstr>
      <vt:lpstr>'Santa Fe'!Área_de_impresión</vt:lpstr>
      <vt:lpstr>'Santiago del Estero'!Área_de_impresión</vt:lpstr>
      <vt:lpstr>'Tierra del Fuego'!Área_de_impresión</vt:lpstr>
      <vt:lpstr>Carátula!OLE_LINK1</vt:lpstr>
      <vt:lpstr>'Capital Federal'!Títulos_a_imprimir</vt:lpstr>
      <vt:lpstr>Catamarca!Títulos_a_imprimir</vt:lpstr>
      <vt:lpstr>Chaco!Títulos_a_imprimir</vt:lpstr>
      <vt:lpstr>'Entre Rios'!Títulos_a_imprimir</vt:lpstr>
      <vt:lpstr>Jujuy!Títulos_a_imprimir</vt:lpstr>
      <vt:lpstr>'La Pampa'!Títulos_a_imprimir</vt:lpstr>
      <vt:lpstr>'La Rioja'!Títulos_a_imprimir</vt:lpstr>
      <vt:lpstr>Mendoza!Títulos_a_imprimir</vt:lpstr>
      <vt:lpstr>Misiones!Títulos_a_imprimir</vt:lpstr>
      <vt:lpstr>Neuquen!Títulos_a_imprimir</vt:lpstr>
      <vt:lpstr>'Partidos de GBA'!Títulos_a_imprimir</vt:lpstr>
      <vt:lpstr>'Rio Negro'!Títulos_a_imprimir</vt:lpstr>
      <vt:lpstr>Salta!Títulos_a_imprimir</vt:lpstr>
      <vt:lpstr>'San Juan'!Títulos_a_imprimir</vt:lpstr>
      <vt:lpstr>'San Luis'!Títulos_a_imprimir</vt:lpstr>
      <vt:lpstr>'Santa Cruz'!Títulos_a_imprimir</vt:lpstr>
      <vt:lpstr>'Santa Fe'!Títulos_a_imprimir</vt:lpstr>
      <vt:lpstr>'Santiago del Estero'!Títulos_a_imprimir</vt:lpstr>
      <vt:lpstr>'Tierra del Fuego'!Títulos_a_imprimir</vt:lpstr>
    </vt:vector>
  </TitlesOfParts>
  <Company>MTEySS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DAMORIN</dc:creator>
  <cp:lastModifiedBy>mteyss</cp:lastModifiedBy>
  <cp:lastPrinted>2012-06-06T19:45:36Z</cp:lastPrinted>
  <dcterms:created xsi:type="dcterms:W3CDTF">2011-12-15T15:18:52Z</dcterms:created>
  <dcterms:modified xsi:type="dcterms:W3CDTF">2026-06-18T18:43:04Z</dcterms:modified>
</cp:coreProperties>
</file>